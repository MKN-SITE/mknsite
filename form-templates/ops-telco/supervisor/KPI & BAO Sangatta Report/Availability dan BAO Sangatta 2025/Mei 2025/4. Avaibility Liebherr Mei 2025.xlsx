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Mei 2025\"/>
    </mc:Choice>
  </mc:AlternateContent>
  <xr:revisionPtr revIDLastSave="0" documentId="13_ncr:1_{93DB8D0B-7704-4067-A37A-60B04AAB49B0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B24" i="11"/>
  <c r="C28" i="11" l="1"/>
</calcChain>
</file>

<file path=xl/sharedStrings.xml><?xml version="1.0" encoding="utf-8"?>
<sst xmlns="http://schemas.openxmlformats.org/spreadsheetml/2006/main" count="62" uniqueCount="29">
  <si>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</si>
  <si>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</si>
  <si>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</si>
  <si>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</si>
  <si>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</si>
  <si>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</si>
  <si>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</si>
  <si>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</si>
  <si>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</si>
  <si>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</si>
  <si>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</si>
  <si>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</si>
  <si>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</si>
  <si>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</si>
  <si>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</si>
  <si>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</si>
  <si>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</si>
  <si>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</si>
  <si>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</si>
  <si>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</si>
  <si>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Kaltim Operation</t>
  </si>
  <si>
    <t>Wanto</t>
  </si>
  <si>
    <t>Project Manager</t>
  </si>
  <si>
    <t>MCB Trip di Tower Surya</t>
  </si>
  <si>
    <t>27 Mei 2025</t>
  </si>
  <si>
    <t>PT LIEBHERR INDONESIA PERKASA</t>
  </si>
  <si>
    <t>Site Sangatta</t>
  </si>
  <si>
    <t>Yohanes Kurniawan</t>
  </si>
  <si>
    <t>IT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</si>
</sst>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2"/>
      <name val="Arial"/>
      <family val="2"/>
    </font>
    <font>
      <sz val="12"/>
      <name val="Calibri"/>
      <family val="2"/>
    </font>
    <font>
      <sz val="12"/>
      <name val="Tahoma"/>
      <family val="2"/>
    </font>
    <font>
      <u/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35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16" fontId="8" fillId="0" borderId="3" xfId="0" applyNumberFormat="1" applyFont="1" applyBorder="1" applyAlignment="1">
      <alignment horizontal="center"/>
    </xf>
    <xf numFmtId="15" fontId="8" fillId="0" borderId="4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9" fillId="0" borderId="0" xfId="0" applyFont="1"/>
    <xf numFmtId="9" fontId="39" fillId="0" borderId="0" xfId="0" applyNumberFormat="1" applyFont="1"/>
    <xf numFmtId="0" fontId="40" fillId="0" borderId="0" xfId="0" applyFont="1" applyAlignment="1">
      <alignment vertical="center"/>
    </xf>
    <xf numFmtId="0" fontId="37" fillId="0" borderId="0" xfId="0" applyFont="1"/>
    <xf numFmtId="10" fontId="6" fillId="0" borderId="0" xfId="0" applyNumberFormat="1" applyFont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4"/>
  <sheetViews>
    <sheetView tabSelected="1" zoomScaleNormal="100" workbookViewId="0">
      <selection activeCell="D15" sqref="D15:AH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4" width="9.140625" customWidth="1"/>
    <col min="35" max="35" width="10.14062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8">
        <v>45778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6" t="s">
        <v>2</v>
      </c>
      <c r="B10" s="66" t="s">
        <v>0</v>
      </c>
      <c r="C10" s="66" t="s">
        <v>7</v>
      </c>
      <c r="D10" s="56">
        <f>C7</f>
        <v>45778</v>
      </c>
      <c r="E10" s="56">
        <f>D10+1</f>
        <v>45779</v>
      </c>
      <c r="F10" s="56">
        <f t="shared" ref="F10:AH10" si="0">E10+1</f>
        <v>45780</v>
      </c>
      <c r="G10" s="56">
        <f t="shared" si="0"/>
        <v>45781</v>
      </c>
      <c r="H10" s="56">
        <f t="shared" si="0"/>
        <v>45782</v>
      </c>
      <c r="I10" s="56">
        <f t="shared" si="0"/>
        <v>45783</v>
      </c>
      <c r="J10" s="56">
        <f t="shared" si="0"/>
        <v>45784</v>
      </c>
      <c r="K10" s="56">
        <f t="shared" si="0"/>
        <v>45785</v>
      </c>
      <c r="L10" s="56">
        <f t="shared" si="0"/>
        <v>45786</v>
      </c>
      <c r="M10" s="56">
        <f t="shared" si="0"/>
        <v>45787</v>
      </c>
      <c r="N10" s="56">
        <f t="shared" si="0"/>
        <v>45788</v>
      </c>
      <c r="O10" s="56">
        <f t="shared" si="0"/>
        <v>45789</v>
      </c>
      <c r="P10" s="56">
        <f t="shared" si="0"/>
        <v>45790</v>
      </c>
      <c r="Q10" s="56">
        <f t="shared" si="0"/>
        <v>45791</v>
      </c>
      <c r="R10" s="56">
        <f t="shared" si="0"/>
        <v>45792</v>
      </c>
      <c r="S10" s="56">
        <f t="shared" si="0"/>
        <v>45793</v>
      </c>
      <c r="T10" s="56">
        <f t="shared" si="0"/>
        <v>45794</v>
      </c>
      <c r="U10" s="56">
        <f t="shared" si="0"/>
        <v>45795</v>
      </c>
      <c r="V10" s="56">
        <f t="shared" si="0"/>
        <v>45796</v>
      </c>
      <c r="W10" s="56">
        <f t="shared" si="0"/>
        <v>45797</v>
      </c>
      <c r="X10" s="56">
        <f t="shared" si="0"/>
        <v>45798</v>
      </c>
      <c r="Y10" s="56">
        <f t="shared" si="0"/>
        <v>45799</v>
      </c>
      <c r="Z10" s="56">
        <f t="shared" si="0"/>
        <v>45800</v>
      </c>
      <c r="AA10" s="56">
        <f t="shared" si="0"/>
        <v>45801</v>
      </c>
      <c r="AB10" s="56">
        <f t="shared" si="0"/>
        <v>45802</v>
      </c>
      <c r="AC10" s="56">
        <f t="shared" si="0"/>
        <v>45803</v>
      </c>
      <c r="AD10" s="56">
        <f t="shared" si="0"/>
        <v>45804</v>
      </c>
      <c r="AE10" s="56">
        <f t="shared" si="0"/>
        <v>45805</v>
      </c>
      <c r="AF10" s="56">
        <f t="shared" si="0"/>
        <v>45806</v>
      </c>
      <c r="AG10" s="56">
        <f t="shared" si="0"/>
        <v>45807</v>
      </c>
      <c r="AH10" s="58">
        <f t="shared" si="0"/>
        <v>45808</v>
      </c>
    </row>
    <row r="11" spans="1:34" s="1" customFormat="1" x14ac:dyDescent="0.2">
      <c r="A11" s="67"/>
      <c r="B11" s="67"/>
      <c r="C11" s="67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4"/>
      <c r="B12" s="35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4" s="44" customFormat="1" ht="39.950000000000003" customHeight="1" x14ac:dyDescent="0.2">
      <c r="A13" s="41">
        <v>1</v>
      </c>
      <c r="B13" s="42" t="s">
        <v>15</v>
      </c>
      <c r="C13" s="42" t="s">
        <v>16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7">
        <v>0</v>
      </c>
      <c r="AB13" s="43">
        <v>0</v>
      </c>
      <c r="AC13" s="43">
        <v>0</v>
      </c>
      <c r="AD13" s="43">
        <v>9.375E-2</v>
      </c>
      <c r="AE13" s="43">
        <v>0</v>
      </c>
      <c r="AF13" s="43">
        <v>0</v>
      </c>
      <c r="AG13" s="43">
        <v>0</v>
      </c>
      <c r="AH13" s="43">
        <v>0</v>
      </c>
    </row>
    <row r="14" spans="1:34" s="14" customFormat="1" ht="24" customHeight="1" x14ac:dyDescent="0.2">
      <c r="A14" s="70" t="s">
        <v>19</v>
      </c>
      <c r="B14" s="71"/>
      <c r="C14" s="54" t="s">
        <v>24</v>
      </c>
      <c r="D14" s="74" t="s">
        <v>23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</row>
    <row r="15" spans="1:34" s="14" customFormat="1" ht="24" customHeight="1" x14ac:dyDescent="0.2">
      <c r="A15" s="72"/>
      <c r="B15" s="73"/>
      <c r="C15" s="5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</row>
    <row r="16" spans="1:34" s="14" customFormat="1" ht="24" customHeight="1" x14ac:dyDescent="0.2">
      <c r="A16" s="72"/>
      <c r="B16" s="73"/>
      <c r="C16" s="57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</row>
    <row r="17" spans="1:35" s="14" customFormat="1" ht="24" customHeight="1" x14ac:dyDescent="0.2">
      <c r="A17" s="72"/>
      <c r="B17" s="73"/>
      <c r="C17" s="5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</row>
    <row r="18" spans="1:35" s="14" customFormat="1" ht="24" customHeight="1" x14ac:dyDescent="0.2">
      <c r="A18" s="52"/>
      <c r="B18" s="52"/>
      <c r="C18" s="53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</row>
    <row r="19" spans="1:35" s="14" customFormat="1" ht="25.5" x14ac:dyDescent="0.2">
      <c r="A19" s="48"/>
      <c r="B19" s="48"/>
      <c r="C19" s="49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AI19" s="51"/>
    </row>
    <row r="20" spans="1:35" s="14" customFormat="1" ht="15" x14ac:dyDescent="0.2">
      <c r="A20" s="15"/>
      <c r="D20" s="16"/>
      <c r="E20" s="15"/>
      <c r="G20" s="59" t="s">
        <v>12</v>
      </c>
      <c r="I20" s="26"/>
      <c r="Z20" s="59" t="s">
        <v>25</v>
      </c>
    </row>
    <row r="21" spans="1:35" s="14" customFormat="1" ht="15" x14ac:dyDescent="0.2">
      <c r="A21" s="25" t="s">
        <v>11</v>
      </c>
      <c r="D21" s="16"/>
      <c r="E21" s="15"/>
      <c r="G21" s="59" t="s">
        <v>20</v>
      </c>
      <c r="Z21" s="59" t="s">
        <v>26</v>
      </c>
      <c r="AF21" s="32"/>
    </row>
    <row r="22" spans="1:35" s="14" customFormat="1" ht="15.75" x14ac:dyDescent="0.2">
      <c r="A22" s="69" t="s">
        <v>2</v>
      </c>
      <c r="B22" s="69" t="s">
        <v>8</v>
      </c>
      <c r="C22" s="69" t="s">
        <v>1</v>
      </c>
      <c r="D22" s="68" t="s">
        <v>6</v>
      </c>
      <c r="E22" s="68"/>
      <c r="G22" s="60"/>
      <c r="Z22" s="61"/>
      <c r="AF22" s="32"/>
    </row>
    <row r="23" spans="1:35" s="14" customFormat="1" ht="15.75" x14ac:dyDescent="0.2">
      <c r="A23" s="69"/>
      <c r="B23" s="69"/>
      <c r="C23" s="69"/>
      <c r="D23" s="28" t="s">
        <v>9</v>
      </c>
      <c r="E23" s="24" t="s">
        <v>10</v>
      </c>
      <c r="G23" s="60"/>
      <c r="Z23" s="61"/>
      <c r="AF23" s="32"/>
    </row>
    <row r="24" spans="1:35" s="17" customFormat="1" ht="15.75" x14ac:dyDescent="0.25">
      <c r="A24" s="39">
        <v>1</v>
      </c>
      <c r="B24" s="40" t="str">
        <f>B13</f>
        <v>Link Wireless  to Megashop</v>
      </c>
      <c r="C24" s="33">
        <f>1-(((D24*3600)+(LEFT(E24,2)*60)+RIGHT(E24,2))/((60*60*24)*$C$8))</f>
        <v>0.99697580645161288</v>
      </c>
      <c r="D24" s="22" t="str">
        <f>TEXT(SUM(D13:AH13),"[h]")</f>
        <v>2</v>
      </c>
      <c r="E24" s="22" t="str">
        <f>TEXT(SUM(D13:AH13),"mm ss")</f>
        <v>15 00</v>
      </c>
      <c r="F24" s="14"/>
      <c r="G24" s="59"/>
      <c r="H24" s="2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61"/>
      <c r="AA24" s="14"/>
      <c r="AB24" s="14"/>
      <c r="AC24" s="14"/>
      <c r="AD24" s="14"/>
      <c r="AE24" s="14"/>
      <c r="AF24" s="32"/>
      <c r="AG24" s="14"/>
      <c r="AH24" s="14"/>
      <c r="AI24" s="14"/>
    </row>
    <row r="25" spans="1:35" ht="15" x14ac:dyDescent="0.2">
      <c r="A25" s="15"/>
      <c r="B25" s="14"/>
      <c r="C25" s="27"/>
      <c r="D25" s="15"/>
      <c r="E25" s="15"/>
      <c r="F25" s="14"/>
      <c r="G25" s="61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61"/>
      <c r="AA25" s="14"/>
      <c r="AB25" s="14"/>
      <c r="AC25" s="14"/>
      <c r="AD25" s="14"/>
      <c r="AE25" s="14"/>
      <c r="AF25" s="14"/>
      <c r="AG25" s="14"/>
      <c r="AH25" s="14"/>
      <c r="AI25" s="14"/>
    </row>
    <row r="26" spans="1:35" ht="15" x14ac:dyDescent="0.2">
      <c r="A26" s="15"/>
      <c r="B26" s="14"/>
      <c r="C26" s="14"/>
      <c r="D26" s="16"/>
      <c r="E26" s="15"/>
      <c r="F26" s="14"/>
      <c r="G26" s="62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14"/>
      <c r="T26" s="14"/>
      <c r="U26" s="14"/>
      <c r="V26" s="14"/>
      <c r="W26" s="14"/>
      <c r="X26" s="14"/>
      <c r="Y26" s="14"/>
      <c r="Z26" s="61"/>
      <c r="AA26" s="14"/>
      <c r="AB26" s="14"/>
      <c r="AC26" s="14"/>
      <c r="AD26" s="14"/>
      <c r="AE26" s="14"/>
      <c r="AF26" s="14"/>
      <c r="AG26" s="14"/>
      <c r="AH26" s="14"/>
      <c r="AI26" s="17"/>
    </row>
    <row r="27" spans="1:35" ht="15" x14ac:dyDescent="0.2">
      <c r="A27" s="15"/>
      <c r="B27" s="26" t="s">
        <v>17</v>
      </c>
      <c r="C27" s="21"/>
      <c r="D27" s="20"/>
      <c r="E27" s="20"/>
      <c r="F27" s="20"/>
      <c r="G27" s="63" t="s">
        <v>21</v>
      </c>
      <c r="H27" s="20"/>
      <c r="I27" s="20"/>
      <c r="J27" s="20"/>
      <c r="K27" s="46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63" t="s">
        <v>27</v>
      </c>
      <c r="AA27" s="20"/>
      <c r="AB27" s="20"/>
      <c r="AC27" s="20"/>
      <c r="AD27" s="20"/>
      <c r="AE27" s="20"/>
      <c r="AF27" s="20"/>
      <c r="AG27" s="20"/>
      <c r="AH27" s="17"/>
    </row>
    <row r="28" spans="1:35" ht="15" x14ac:dyDescent="0.2">
      <c r="B28" s="14" t="s">
        <v>18</v>
      </c>
      <c r="C28" s="28">
        <f>C24</f>
        <v>0.99697580645161288</v>
      </c>
      <c r="G28" s="64" t="s">
        <v>22</v>
      </c>
      <c r="H28" s="37"/>
      <c r="Z28" s="64" t="s">
        <v>28</v>
      </c>
    </row>
    <row r="30" spans="1:35" x14ac:dyDescent="0.2">
      <c r="H30" s="45"/>
    </row>
    <row r="33" spans="6:33" x14ac:dyDescent="0.2"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41" spans="6:33" x14ac:dyDescent="0.2"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6:33" x14ac:dyDescent="0.2"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6:33" x14ac:dyDescent="0.2"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6:33" x14ac:dyDescent="0.2">
      <c r="F44" s="2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</sheetData>
  <mergeCells count="14">
    <mergeCell ref="H26:R26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9" type="noConversion"/>
  <conditionalFormatting sqref="D13:AH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2025-06-02T01:18:23Z</dcterms:modified>
</cp:coreProperties>
</file>