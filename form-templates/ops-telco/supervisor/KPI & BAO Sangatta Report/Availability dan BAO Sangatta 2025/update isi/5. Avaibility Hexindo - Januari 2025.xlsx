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Y:\3. KPI\2025\Januari 2025\BAO Sangatta\"/>
    </mc:Choice>
  </mc:AlternateContent>
  <xr:revisionPtr revIDLastSave="0" documentId="13_ncr:1_{432BE2C6-6E8B-48E6-92DC-686F6DA750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owntime LINK Hexindo - Pama So" sheetId="11" r:id="rId1"/>
  </sheets>
  <definedNames>
    <definedName name="_xlnm.Print_Area" localSheetId="0">'Downtime LINK Hexindo - Pama So'!$A$1:$AH$30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<sst xmlns="http://schemas.openxmlformats.org/spreadsheetml/2006/main" count="54" uniqueCount="21">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</sst>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9" fontId="13" fillId="0" borderId="0" xfId="0" applyNumberFormat="1" applyFont="1"/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8" fillId="0" borderId="4" xfId="0" applyNumberFormat="1" applyFont="1" applyBorder="1" applyAlignment="1">
      <alignment horizontal="left"/>
    </xf>
    <xf numFmtId="46" fontId="8" fillId="0" borderId="17" xfId="0" applyNumberFormat="1" applyFont="1" applyBorder="1" applyAlignment="1">
      <alignment horizontal="left"/>
    </xf>
    <xf numFmtId="46" fontId="8" fillId="0" borderId="2" xfId="0" applyNumberFormat="1" applyFont="1" applyBorder="1" applyAlignment="1">
      <alignment horizontal="left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" xfId="0" applyFont="1" applyBorder="1" applyAlignment="1">
      <alignment horizontal="left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6"/>
  <sheetViews>
    <sheetView tabSelected="1" view="pageBreakPreview" zoomScale="60" zoomScaleNormal="85" workbookViewId="0">
      <pane xSplit="3" ySplit="9" topLeftCell="P10" activePane="bottomRight" state="frozen"/>
      <selection pane="topRight" activeCell="D1" sqref="D1"/>
      <selection pane="bottomLeft" activeCell="A10" sqref="A10"/>
      <selection pane="bottomRight" activeCell="T8" sqref="T8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  <col min="32" max="32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7">
        <v>45658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55" t="s">
        <v>2</v>
      </c>
      <c r="B10" s="55" t="s">
        <v>0</v>
      </c>
      <c r="C10" s="55" t="s">
        <v>7</v>
      </c>
      <c r="D10" s="53">
        <f>C7</f>
        <v>45658</v>
      </c>
      <c r="E10" s="53">
        <f>D10+1</f>
        <v>45659</v>
      </c>
      <c r="F10" s="53">
        <f t="shared" ref="F10:AH10" si="0">E10+1</f>
        <v>45660</v>
      </c>
      <c r="G10" s="53">
        <f t="shared" si="0"/>
        <v>45661</v>
      </c>
      <c r="H10" s="53">
        <f t="shared" si="0"/>
        <v>45662</v>
      </c>
      <c r="I10" s="53">
        <f t="shared" si="0"/>
        <v>45663</v>
      </c>
      <c r="J10" s="53">
        <f t="shared" si="0"/>
        <v>45664</v>
      </c>
      <c r="K10" s="53">
        <f t="shared" si="0"/>
        <v>45665</v>
      </c>
      <c r="L10" s="53">
        <f t="shared" si="0"/>
        <v>45666</v>
      </c>
      <c r="M10" s="53">
        <f t="shared" si="0"/>
        <v>45667</v>
      </c>
      <c r="N10" s="53">
        <f t="shared" si="0"/>
        <v>45668</v>
      </c>
      <c r="O10" s="53">
        <f t="shared" si="0"/>
        <v>45669</v>
      </c>
      <c r="P10" s="53">
        <f t="shared" si="0"/>
        <v>45670</v>
      </c>
      <c r="Q10" s="53">
        <f t="shared" si="0"/>
        <v>45671</v>
      </c>
      <c r="R10" s="53">
        <f t="shared" si="0"/>
        <v>45672</v>
      </c>
      <c r="S10" s="53">
        <f t="shared" si="0"/>
        <v>45673</v>
      </c>
      <c r="T10" s="53">
        <f t="shared" si="0"/>
        <v>45674</v>
      </c>
      <c r="U10" s="53">
        <f t="shared" si="0"/>
        <v>45675</v>
      </c>
      <c r="V10" s="53">
        <f t="shared" si="0"/>
        <v>45676</v>
      </c>
      <c r="W10" s="53">
        <f t="shared" si="0"/>
        <v>45677</v>
      </c>
      <c r="X10" s="53">
        <f t="shared" si="0"/>
        <v>45678</v>
      </c>
      <c r="Y10" s="53">
        <f t="shared" si="0"/>
        <v>45679</v>
      </c>
      <c r="Z10" s="53">
        <f t="shared" si="0"/>
        <v>45680</v>
      </c>
      <c r="AA10" s="53">
        <f t="shared" si="0"/>
        <v>45681</v>
      </c>
      <c r="AB10" s="53">
        <f t="shared" si="0"/>
        <v>45682</v>
      </c>
      <c r="AC10" s="53">
        <f t="shared" si="0"/>
        <v>45683</v>
      </c>
      <c r="AD10" s="53">
        <f t="shared" si="0"/>
        <v>45684</v>
      </c>
      <c r="AE10" s="53">
        <f t="shared" si="0"/>
        <v>45685</v>
      </c>
      <c r="AF10" s="53">
        <f t="shared" si="0"/>
        <v>45686</v>
      </c>
      <c r="AG10" s="53">
        <f t="shared" si="0"/>
        <v>45687</v>
      </c>
      <c r="AH10" s="54">
        <f t="shared" si="0"/>
        <v>45688</v>
      </c>
    </row>
    <row r="11" spans="1:34" s="1" customFormat="1" x14ac:dyDescent="0.2">
      <c r="A11" s="56"/>
      <c r="B11" s="56"/>
      <c r="C11" s="56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  <c r="AH12" s="49"/>
    </row>
    <row r="13" spans="1:34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45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</row>
    <row r="14" spans="1:34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36">
        <v>0</v>
      </c>
      <c r="AG14" s="36">
        <v>0</v>
      </c>
      <c r="AH14" s="36">
        <v>0</v>
      </c>
    </row>
    <row r="15" spans="1:34" s="14" customFormat="1" ht="15.75" x14ac:dyDescent="0.2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4" s="14" customFormat="1" ht="15.75" x14ac:dyDescent="0.2">
      <c r="A16" s="61"/>
      <c r="B16" s="64" t="s">
        <v>14</v>
      </c>
      <c r="C16" s="48"/>
      <c r="D16" s="67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14" customFormat="1" ht="15.75" x14ac:dyDescent="0.2">
      <c r="A17" s="62"/>
      <c r="B17" s="65"/>
      <c r="C17" s="48"/>
      <c r="D17" s="73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5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75" x14ac:dyDescent="0.2">
      <c r="A18" s="62"/>
      <c r="B18" s="65"/>
      <c r="C18" s="48"/>
      <c r="D18" s="70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2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75" x14ac:dyDescent="0.2">
      <c r="A19" s="62"/>
      <c r="B19" s="65"/>
      <c r="C19" s="48"/>
      <c r="D19" s="70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2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75" x14ac:dyDescent="0.2">
      <c r="A20" s="62"/>
      <c r="B20" s="65"/>
      <c r="C20" s="48"/>
      <c r="D20" s="70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2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75" x14ac:dyDescent="0.2">
      <c r="A21" s="63"/>
      <c r="B21" s="66"/>
      <c r="C21" s="48"/>
      <c r="D21" s="70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2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59" t="s">
        <v>2</v>
      </c>
      <c r="B24" s="59" t="s">
        <v>8</v>
      </c>
      <c r="C24" s="59" t="s">
        <v>1</v>
      </c>
      <c r="D24" s="57" t="s">
        <v>6</v>
      </c>
      <c r="E24" s="58"/>
      <c r="AC24" s="30"/>
    </row>
    <row r="25" spans="1:31" s="14" customFormat="1" x14ac:dyDescent="0.2">
      <c r="A25" s="60"/>
      <c r="B25" s="60"/>
      <c r="C25" s="60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1</v>
      </c>
      <c r="D26" s="41" t="str">
        <f>TEXT(SUM(D13:AH13),"[h]")</f>
        <v>0</v>
      </c>
      <c r="E26" s="41" t="str">
        <f>TEXT(SUM(D13:AH13),"mm ss")</f>
        <v>00 00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1</v>
      </c>
      <c r="D27" s="41" t="str">
        <f>TEXT(SUM(D14:AH14),"[h]")</f>
        <v>0</v>
      </c>
      <c r="E27" s="41" t="str">
        <f>TEXT(SUM(D14:AH14),"mm ss")</f>
        <v>00 00</v>
      </c>
    </row>
    <row r="28" spans="1:31" s="14" customFormat="1" x14ac:dyDescent="0.2">
      <c r="A28" s="15"/>
      <c r="D28" s="16"/>
      <c r="E28" s="15"/>
    </row>
    <row r="29" spans="1:31" s="17" customFormat="1" x14ac:dyDescent="0.2">
      <c r="A29" s="26" t="s">
        <v>15</v>
      </c>
      <c r="C29" s="21"/>
      <c r="D29" s="20"/>
      <c r="E29" s="20"/>
      <c r="F29" s="20"/>
      <c r="G29" s="20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1</v>
      </c>
      <c r="H30" s="52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F14">
    <cfRule type="cellIs" dxfId="7" priority="3" stopIfTrue="1" operator="greaterThan">
      <formula>0</formula>
    </cfRule>
  </conditionalFormatting>
  <conditionalFormatting sqref="G14:I14 D15:I15 D18:D21">
    <cfRule type="cellIs" dxfId="6" priority="35" stopIfTrue="1" operator="greaterThan">
      <formula>0</formula>
    </cfRule>
  </conditionalFormatting>
  <conditionalFormatting sqref="G13:N13">
    <cfRule type="cellIs" dxfId="5" priority="40" stopIfTrue="1" operator="greaterThan">
      <formula>0</formula>
    </cfRule>
  </conditionalFormatting>
  <conditionalFormatting sqref="J14:N15">
    <cfRule type="cellIs" dxfId="4" priority="21" stopIfTrue="1" operator="greaterThan">
      <formula>0</formula>
    </cfRule>
  </conditionalFormatting>
  <conditionalFormatting sqref="O13:X15">
    <cfRule type="cellIs" dxfId="3" priority="12" stopIfTrue="1" operator="greaterThan">
      <formula>0</formula>
    </cfRule>
  </conditionalFormatting>
  <conditionalFormatting sqref="V16:X21">
    <cfRule type="cellIs" dxfId="2" priority="43" stopIfTrue="1" operator="greaterThan">
      <formula>0</formula>
    </cfRule>
  </conditionalFormatting>
  <conditionalFormatting sqref="Y15:AE21">
    <cfRule type="cellIs" dxfId="1" priority="22" stopIfTrue="1" operator="greaterThan">
      <formula>0</formula>
    </cfRule>
  </conditionalFormatting>
  <conditionalFormatting sqref="Y13:AH14">
    <cfRule type="cellIs" dxfId="0" priority="1" stopIfTrue="1" operator="greaterThan">
      <formula>0</formula>
    </cfRule>
  </conditionalFormatting>
  <pageMargins left="0.25" right="0.25" top="0.75" bottom="0.75" header="0.3" footer="0.3"/>
  <pageSetup paperSize="8" scale="5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Downtime LINK Hexindo - Pama So</vt:lpstr>
      <vt:lpstr>'Downtime LINK Hexindo - Pama So'!Print_Area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Andi Arafah</cp:lastModifiedBy>
  <cp:lastPrinted>2025-02-03T02:47:39Z</cp:lastPrinted>
  <dcterms:created xsi:type="dcterms:W3CDTF">2006-10-16T02:50:45Z</dcterms:created>
  <dcterms:modified xsi:type="dcterms:W3CDTF">2025-02-03T05:23:01Z</dcterms:modified>
</cp:coreProperties>
</file>