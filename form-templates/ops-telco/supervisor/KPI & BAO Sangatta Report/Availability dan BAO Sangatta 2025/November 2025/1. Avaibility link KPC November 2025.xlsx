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November 2025\"/>
    </mc:Choice>
  </mc:AlternateContent>
  <xr:revisionPtr revIDLastSave="0" documentId="13_ncr:1_{2792B2B1-1E2A-4A6E-8382-878578A51001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<sst xmlns="http://schemas.openxmlformats.org/spreadsheetml/2006/main" count="114" uniqueCount="52">
  <si>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</si>
  <si>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</si>
  <si>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</si>
  <si>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</si>
  <si>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</si>
  <si>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</si>
  <si>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</si>
  <si>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</si>
  <si>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</si>
  <si>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</si>
  <si>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</si>
  <si>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</si>
  <si>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</si>
  <si>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</si>
  <si>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</si>
  <si>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</si>
  <si>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</si>
  <si>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</si>
  <si>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</si>
  <si>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</si>
  <si>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</si>
  <si>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</si>
  <si>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</si>
  <si>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</si>
  <si>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</si>
  <si>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</si>
  <si>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</si>
  <si>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</si>
  <si>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</si>
  <si>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</si>
  <si>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</si>
  <si>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</si>
  <si>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</si>
  <si>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</si>
  <si>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</si>
  <si>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</si>
  <si>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</si>
  <si>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</si>
  <si>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</si>
  <si>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</si>
  <si>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</si>
  <si>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</si>
  <si>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</si>
  <si>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</si>
  <si>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</si>
  <si>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</si>
  <si>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</si>
  <si>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</si>
  <si>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</si>
  <si>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30</t>
  </si>
  <si>
    <t>1 - 30 November</t>
  </si>
  <si>
    <t>TBTS Pinang South Status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</si>
</sst>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46" fontId="0" fillId="34" borderId="1" xfId="0" applyNumberFormat="1" applyFill="1" applyBorder="1"/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Normal="100" workbookViewId="0">
      <pane xSplit="3" ySplit="11" topLeftCell="D24" activePane="bottomRight" state="frozen"/>
      <selection pane="topRight" activeCell="D1" sqref="D1"/>
      <selection pane="bottomLeft" activeCell="A12" sqref="A12"/>
      <selection pane="bottomRight" activeCell="D35" sqref="D35:AG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5">
        <v>45962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7" t="s">
        <v>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">
      <c r="A10" s="83" t="s">
        <v>2</v>
      </c>
      <c r="B10" s="85" t="s">
        <v>0</v>
      </c>
      <c r="C10" s="85" t="s">
        <v>8</v>
      </c>
      <c r="D10" s="40">
        <f>C7</f>
        <v>45962</v>
      </c>
      <c r="E10" s="40">
        <f>D10+1</f>
        <v>45963</v>
      </c>
      <c r="F10" s="40">
        <f t="shared" ref="F10:AF10" si="0">E10+1</f>
        <v>45964</v>
      </c>
      <c r="G10" s="40">
        <f t="shared" si="0"/>
        <v>45965</v>
      </c>
      <c r="H10" s="40">
        <f t="shared" si="0"/>
        <v>45966</v>
      </c>
      <c r="I10" s="40">
        <f t="shared" si="0"/>
        <v>45967</v>
      </c>
      <c r="J10" s="40">
        <f t="shared" si="0"/>
        <v>45968</v>
      </c>
      <c r="K10" s="40">
        <f t="shared" si="0"/>
        <v>45969</v>
      </c>
      <c r="L10" s="40">
        <f t="shared" si="0"/>
        <v>45970</v>
      </c>
      <c r="M10" s="40">
        <f t="shared" si="0"/>
        <v>45971</v>
      </c>
      <c r="N10" s="40">
        <f t="shared" si="0"/>
        <v>45972</v>
      </c>
      <c r="O10" s="40">
        <f t="shared" si="0"/>
        <v>45973</v>
      </c>
      <c r="P10" s="40">
        <f t="shared" si="0"/>
        <v>45974</v>
      </c>
      <c r="Q10" s="40">
        <f t="shared" si="0"/>
        <v>45975</v>
      </c>
      <c r="R10" s="40">
        <f t="shared" si="0"/>
        <v>45976</v>
      </c>
      <c r="S10" s="40">
        <f t="shared" si="0"/>
        <v>45977</v>
      </c>
      <c r="T10" s="40">
        <f t="shared" si="0"/>
        <v>45978</v>
      </c>
      <c r="U10" s="40">
        <f t="shared" si="0"/>
        <v>45979</v>
      </c>
      <c r="V10" s="40">
        <f t="shared" si="0"/>
        <v>45980</v>
      </c>
      <c r="W10" s="40">
        <f t="shared" si="0"/>
        <v>45981</v>
      </c>
      <c r="X10" s="40">
        <f t="shared" si="0"/>
        <v>45982</v>
      </c>
      <c r="Y10" s="40">
        <f t="shared" si="0"/>
        <v>45983</v>
      </c>
      <c r="Z10" s="40">
        <f t="shared" si="0"/>
        <v>45984</v>
      </c>
      <c r="AA10" s="40">
        <f t="shared" si="0"/>
        <v>45985</v>
      </c>
      <c r="AB10" s="40">
        <f t="shared" si="0"/>
        <v>45986</v>
      </c>
      <c r="AC10" s="40">
        <f t="shared" si="0"/>
        <v>45987</v>
      </c>
      <c r="AD10" s="40">
        <f t="shared" si="0"/>
        <v>45988</v>
      </c>
      <c r="AE10" s="40">
        <f t="shared" si="0"/>
        <v>45989</v>
      </c>
      <c r="AF10" s="40">
        <f t="shared" si="0"/>
        <v>45990</v>
      </c>
      <c r="AG10" s="72">
        <f>AF10+1</f>
        <v>45991</v>
      </c>
    </row>
    <row r="11" spans="1:33" s="1" customFormat="1" x14ac:dyDescent="0.2">
      <c r="A11" s="84"/>
      <c r="B11" s="86"/>
      <c r="C11" s="86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</row>
    <row r="14" spans="1:33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</row>
    <row r="15" spans="1:33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</row>
    <row r="16" spans="1:33" s="11" customFormat="1" ht="15.75" customHeight="1" x14ac:dyDescent="0.25">
      <c r="A16" s="42" t="s">
        <v>24</v>
      </c>
      <c r="B16" s="27" t="s">
        <v>43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</row>
    <row r="17" spans="1:33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</row>
    <row r="18" spans="1:33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</row>
    <row r="19" spans="1:33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</row>
    <row r="20" spans="1:33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</row>
    <row r="21" spans="1:33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</row>
    <row r="22" spans="1:33" s="11" customFormat="1" ht="15.75" customHeight="1" x14ac:dyDescent="0.25">
      <c r="A22" s="42" t="s">
        <v>30</v>
      </c>
      <c r="B22" s="43" t="s">
        <v>44</v>
      </c>
      <c r="C22" s="31"/>
      <c r="D22" s="97">
        <v>0</v>
      </c>
      <c r="E22" s="97">
        <v>0</v>
      </c>
      <c r="F22" s="97">
        <v>0</v>
      </c>
      <c r="G22" s="97">
        <v>0</v>
      </c>
      <c r="H22" s="97">
        <v>0</v>
      </c>
      <c r="I22" s="97">
        <v>0</v>
      </c>
      <c r="J22" s="97">
        <v>0</v>
      </c>
      <c r="K22" s="97">
        <v>0</v>
      </c>
      <c r="L22" s="97">
        <v>0</v>
      </c>
      <c r="M22" s="97">
        <v>0</v>
      </c>
      <c r="N22" s="97">
        <v>0</v>
      </c>
      <c r="O22" s="97">
        <v>0</v>
      </c>
      <c r="P22" s="97">
        <v>0</v>
      </c>
      <c r="Q22" s="97">
        <v>0</v>
      </c>
      <c r="R22" s="97">
        <v>0</v>
      </c>
      <c r="S22" s="97">
        <v>0</v>
      </c>
      <c r="T22" s="97">
        <v>0</v>
      </c>
      <c r="U22" s="97">
        <v>0</v>
      </c>
      <c r="V22" s="97">
        <v>0</v>
      </c>
      <c r="W22" s="97">
        <v>0</v>
      </c>
      <c r="X22" s="97">
        <v>0</v>
      </c>
      <c r="Y22" s="97">
        <v>0</v>
      </c>
      <c r="Z22" s="97">
        <v>0</v>
      </c>
      <c r="AA22" s="97">
        <v>0</v>
      </c>
      <c r="AB22" s="97">
        <v>0</v>
      </c>
      <c r="AC22" s="97">
        <v>0</v>
      </c>
      <c r="AD22" s="97">
        <v>0</v>
      </c>
      <c r="AE22" s="97">
        <v>0</v>
      </c>
      <c r="AF22" s="97">
        <v>0</v>
      </c>
      <c r="AG22" s="97">
        <v>0</v>
      </c>
    </row>
    <row r="23" spans="1:33" s="11" customFormat="1" ht="15.75" customHeight="1" x14ac:dyDescent="0.25">
      <c r="A23" s="42" t="s">
        <v>32</v>
      </c>
      <c r="B23" s="43" t="s">
        <v>46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</row>
    <row r="24" spans="1:33" s="11" customFormat="1" ht="15.75" customHeight="1" x14ac:dyDescent="0.25">
      <c r="A24" s="42" t="s">
        <v>33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</row>
    <row r="25" spans="1:33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</row>
    <row r="26" spans="1:33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</row>
    <row r="27" spans="1:33" s="11" customFormat="1" ht="15.75" customHeight="1" x14ac:dyDescent="0.25">
      <c r="A27" s="68" t="s">
        <v>39</v>
      </c>
      <c r="B27" s="27" t="s">
        <v>45</v>
      </c>
      <c r="C27" s="70"/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  <c r="AF27" s="80">
        <v>0</v>
      </c>
      <c r="AG27" s="80">
        <v>0</v>
      </c>
    </row>
    <row r="28" spans="1:33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spans="1:33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3" s="11" customFormat="1" ht="16.5" customHeight="1" x14ac:dyDescent="0.2">
      <c r="A30" s="89"/>
      <c r="B30" s="92" t="s">
        <v>36</v>
      </c>
      <c r="C30" s="73" t="s">
        <v>50</v>
      </c>
      <c r="D30" s="98" t="s">
        <v>48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100"/>
    </row>
    <row r="31" spans="1:33" s="11" customFormat="1" ht="16.5" customHeight="1" x14ac:dyDescent="0.2">
      <c r="A31" s="90"/>
      <c r="B31" s="93"/>
      <c r="C31" s="73" t="s">
        <v>50</v>
      </c>
      <c r="D31" s="95" t="s">
        <v>51</v>
      </c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</row>
    <row r="32" spans="1:33" s="11" customFormat="1" ht="16.5" customHeight="1" x14ac:dyDescent="0.2">
      <c r="A32" s="90"/>
      <c r="B32" s="93"/>
      <c r="C32" s="62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</row>
    <row r="33" spans="1:33" s="11" customFormat="1" ht="16.5" customHeight="1" x14ac:dyDescent="0.2">
      <c r="A33" s="90"/>
      <c r="B33" s="93"/>
      <c r="C33" s="62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</row>
    <row r="34" spans="1:33" s="11" customFormat="1" ht="15" customHeight="1" x14ac:dyDescent="0.2">
      <c r="A34" s="90"/>
      <c r="B34" s="93"/>
      <c r="C34" s="62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</row>
    <row r="35" spans="1:33" s="11" customFormat="1" ht="15" customHeight="1" x14ac:dyDescent="0.2">
      <c r="A35" s="90"/>
      <c r="B35" s="93"/>
      <c r="C35" s="62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</row>
    <row r="36" spans="1:33" s="11" customFormat="1" ht="15" customHeight="1" x14ac:dyDescent="0.2">
      <c r="A36" s="91"/>
      <c r="B36" s="94"/>
      <c r="C36" s="62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87" t="s">
        <v>2</v>
      </c>
      <c r="B41" s="87" t="s">
        <v>9</v>
      </c>
      <c r="C41" s="87" t="s">
        <v>1</v>
      </c>
      <c r="D41" s="81" t="s">
        <v>7</v>
      </c>
      <c r="E41" s="82"/>
      <c r="AB41" s="26"/>
      <c r="AC41" s="26"/>
      <c r="AD41" s="26"/>
      <c r="AE41" s="26"/>
    </row>
    <row r="42" spans="1:33" s="11" customFormat="1" x14ac:dyDescent="0.2">
      <c r="A42" s="88"/>
      <c r="B42" s="88"/>
      <c r="C42" s="88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TEXT(SUM(D13:AG13),"[h]")</f>
        <v>0</v>
      </c>
      <c r="E43" s="16" t="str">
        <f>TEXT(SUM(D13:AG13),"mm ss")</f>
        <v>00 00</v>
      </c>
      <c r="G43" s="76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>TEXT(SUM(D14:AG14),"[h]")</f>
        <v>0</v>
      </c>
      <c r="E44" s="16" t="str">
        <f>TEXT(SUM(D14:AG14),"mm ss")</f>
        <v>00 00</v>
      </c>
      <c r="G44" s="77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>TEXT(SUM(D15:AG15),"[h]")</f>
        <v>0</v>
      </c>
      <c r="E45" s="16" t="str">
        <f>TEXT(SUM(D15:AG15),"mm ss")</f>
        <v>00 00</v>
      </c>
      <c r="G45" s="78"/>
      <c r="H45" s="79"/>
    </row>
    <row r="46" spans="1:33" s="11" customFormat="1" ht="15.75" x14ac:dyDescent="0.25">
      <c r="A46" s="36" t="s">
        <v>24</v>
      </c>
      <c r="B46" s="27" t="s">
        <v>43</v>
      </c>
      <c r="C46" s="33">
        <f t="shared" si="1"/>
        <v>1</v>
      </c>
      <c r="D46" s="16" t="str">
        <f>TEXT(SUM(D16:AG16),"[h]")</f>
        <v>0</v>
      </c>
      <c r="E46" s="16" t="str">
        <f>TEXT(SUM(D16:AG16),"mm ss")</f>
        <v>00 00</v>
      </c>
      <c r="G46" s="78"/>
    </row>
    <row r="47" spans="1:33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>TEXT(SUM(D17:AG17),"[h]")</f>
        <v>0</v>
      </c>
      <c r="E47" s="16" t="str">
        <f>TEXT(SUM(D17:AG17),"mm ss")</f>
        <v>00 00</v>
      </c>
      <c r="G47" s="17"/>
    </row>
    <row r="48" spans="1:33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>TEXT(SUM(D18:AG18),"[h]")</f>
        <v>0</v>
      </c>
      <c r="E48" s="16" t="str">
        <f>TEXT(SUM(D18:AG18),"mm ss")</f>
        <v>00 00</v>
      </c>
      <c r="G48" s="17"/>
      <c r="J48" s="20"/>
    </row>
    <row r="49" spans="1:33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>TEXT(SUM(D19:AG19),"[h]")</f>
        <v>0</v>
      </c>
      <c r="E49" s="16" t="str">
        <f>TEXT(SUM(D19:AG19),"mm ss")</f>
        <v>00 00</v>
      </c>
      <c r="G49" s="17"/>
    </row>
    <row r="50" spans="1:33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>TEXT(SUM(D20:AG20),"[h]")</f>
        <v>0</v>
      </c>
      <c r="E50" s="16" t="str">
        <f>TEXT(SUM(D20:AG20),"mm ss")</f>
        <v>00 00</v>
      </c>
      <c r="G50" s="17"/>
    </row>
    <row r="51" spans="1:33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>TEXT(SUM(D21:AG21),"[h]")</f>
        <v>0</v>
      </c>
      <c r="E51" s="16" t="str">
        <f>TEXT(SUM(D21:AG21),"mm ss")</f>
        <v>00 00</v>
      </c>
      <c r="G51" s="17"/>
      <c r="O51" s="53"/>
    </row>
    <row r="52" spans="1:33" s="11" customFormat="1" ht="15.75" x14ac:dyDescent="0.25">
      <c r="A52" s="36" t="s">
        <v>30</v>
      </c>
      <c r="B52" s="43" t="s">
        <v>44</v>
      </c>
      <c r="C52" s="33">
        <f t="shared" ref="C52" si="2">1-(((D52*3600)+(LEFT(E52,2)*60)+RIGHT(E52,2))/((60*60*24)*$C$8))</f>
        <v>1</v>
      </c>
      <c r="D52" s="16" t="str">
        <f>TEXT(SUM(D22:AG22),"[h]")</f>
        <v>0</v>
      </c>
      <c r="E52" s="16" t="str">
        <f>TEXT(SUM(D22:AG22),"mm ss")</f>
        <v>00 00</v>
      </c>
      <c r="G52" s="17"/>
      <c r="O52" s="53"/>
    </row>
    <row r="53" spans="1:33" s="11" customFormat="1" ht="15.75" x14ac:dyDescent="0.25">
      <c r="A53" s="36" t="s">
        <v>32</v>
      </c>
      <c r="B53" s="43" t="s">
        <v>46</v>
      </c>
      <c r="C53" s="28">
        <f>1-(((D53*3600)+(LEFT(E53,2)*60)+RIGHT(E53,2))/((60*60*24)*$C$8))</f>
        <v>1</v>
      </c>
      <c r="D53" s="16" t="str">
        <f>TEXT(SUM(D23:AG23),"[h]")</f>
        <v>0</v>
      </c>
      <c r="E53" s="16" t="str">
        <f>TEXT(SUM(D23:AG23),"mm ss")</f>
        <v>00 00</v>
      </c>
      <c r="G53" s="17"/>
      <c r="O53" s="53"/>
    </row>
    <row r="54" spans="1:33" s="11" customFormat="1" ht="15.75" x14ac:dyDescent="0.25">
      <c r="A54" s="36" t="s">
        <v>33</v>
      </c>
      <c r="B54" s="43" t="s">
        <v>47</v>
      </c>
      <c r="C54" s="28">
        <f>1-(((D54*3600)+(LEFT(E54,2)*60)+RIGHT(E54,2))/((60*60*24)*$C$8))</f>
        <v>1</v>
      </c>
      <c r="D54" s="16" t="str">
        <f>TEXT(SUM(D24:AG24),"[h]")</f>
        <v>0</v>
      </c>
      <c r="E54" s="16" t="str">
        <f>TEXT(SUM(D24:AG24),"mm ss")</f>
        <v>00 00</v>
      </c>
      <c r="G54" s="17"/>
      <c r="O54" s="53"/>
    </row>
    <row r="55" spans="1:33" s="11" customFormat="1" ht="15.75" x14ac:dyDescent="0.25">
      <c r="A55" s="36" t="s">
        <v>34</v>
      </c>
      <c r="B55" s="43" t="s">
        <v>40</v>
      </c>
      <c r="C55" s="28">
        <f t="shared" ref="C55:C56" si="3">1-(((D55*3600)+(LEFT(E55,2)*60)+RIGHT(E55,2))/((60*60*24)*$C$8))</f>
        <v>1</v>
      </c>
      <c r="D55" s="16" t="str">
        <f>TEXT(SUM(D25:AG25),"[h]")</f>
        <v>0</v>
      </c>
      <c r="E55" s="16" t="str">
        <f>TEXT(SUM(D25:AG25),"mm ss")</f>
        <v>00 00</v>
      </c>
      <c r="G55" s="17"/>
      <c r="O55" s="53"/>
    </row>
    <row r="56" spans="1:33" s="13" customFormat="1" ht="15.75" x14ac:dyDescent="0.25">
      <c r="A56" s="52" t="s">
        <v>38</v>
      </c>
      <c r="B56" s="43" t="s">
        <v>35</v>
      </c>
      <c r="C56" s="28">
        <f t="shared" si="3"/>
        <v>1</v>
      </c>
      <c r="D56" s="16" t="str">
        <f>TEXT(SUM(D26:AG26),"[h]")</f>
        <v>0</v>
      </c>
      <c r="E56" s="16" t="str">
        <f>TEXT(SUM(D26:AG26),"mm ss")</f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2" t="s">
        <v>39</v>
      </c>
      <c r="B57" s="27" t="s">
        <v>45</v>
      </c>
      <c r="C57" s="28">
        <f>1-(((D57*3600)+(LEFT(E57,2)*60)+RIGHT(E57,2))/((60*60*24)*$C$8))</f>
        <v>1</v>
      </c>
      <c r="D57" s="16" t="str">
        <f>TEXT(SUM(D27:AG27),"[h]")</f>
        <v>0</v>
      </c>
      <c r="E57" s="16" t="str">
        <f>TEXT(SUM(D27:AG27),"mm ss")</f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3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3" x14ac:dyDescent="0.2">
      <c r="A62" s="12"/>
      <c r="B62" s="20" t="s">
        <v>42</v>
      </c>
      <c r="C62" s="74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3" x14ac:dyDescent="0.2">
      <c r="A63"/>
      <c r="B63" s="11" t="s">
        <v>41</v>
      </c>
      <c r="C63" s="75">
        <f>(SUM(C43:C57))/(100%*15)</f>
        <v>1</v>
      </c>
      <c r="G63" s="34"/>
      <c r="L63" s="55"/>
      <c r="M63" s="55"/>
      <c r="N63" s="55"/>
      <c r="O63" s="55"/>
    </row>
    <row r="64" spans="1:33" x14ac:dyDescent="0.2">
      <c r="L64" s="55"/>
      <c r="M64" s="55"/>
      <c r="N64" s="55"/>
      <c r="O64" s="55"/>
    </row>
    <row r="65" spans="1:33" x14ac:dyDescent="0.2">
      <c r="L65" s="55"/>
      <c r="M65" s="55"/>
      <c r="N65" s="55"/>
    </row>
    <row r="66" spans="1:33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x14ac:dyDescent="0.2">
      <c r="B67" s="11"/>
      <c r="L67" s="55"/>
      <c r="M67" s="55"/>
      <c r="N67" s="55"/>
    </row>
    <row r="68" spans="1:33" x14ac:dyDescent="0.2">
      <c r="B68" s="11"/>
      <c r="L68" s="55"/>
      <c r="M68" s="55"/>
      <c r="N68" s="55"/>
    </row>
    <row r="69" spans="1:33" x14ac:dyDescent="0.2">
      <c r="B69" s="11"/>
      <c r="E69" s="57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3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3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G36"/>
    <mergeCell ref="D31:AG31"/>
    <mergeCell ref="D32:AG32"/>
    <mergeCell ref="D33:AG33"/>
    <mergeCell ref="D34:AG34"/>
    <mergeCell ref="D35:AG35"/>
    <mergeCell ref="D30:AG30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">
    <cfRule type="cellIs" dxfId="1" priority="28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2025-12-01T10:13:26Z</dcterms:modified>
</cp:coreProperties>
</file>