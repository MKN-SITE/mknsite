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4EA39500-89AD-4CEF-BF30-23547DC0E40E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4" i="11" l="1"/>
  <c r="C28" i="11" s="1"/>
  <c r="B24" i="11" l="1"/>
</calcChain>
</file>

<file path=xl/sharedStrings.xml><?xml version="1.0" encoding="utf-8"?>
<sst xmlns="http://schemas.openxmlformats.org/spreadsheetml/2006/main" count="53" uniqueCount="22">
  <si>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</si>
  <si>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</si>
  <si>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</si>
  <si>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</si>
  <si>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</si>
  <si>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</si>
  <si>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</si>
  <si>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</si>
  <si>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</si>
  <si>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</si>
  <si>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</si>
  <si>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</si>
  <si>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</si>
  <si>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</si>
  <si>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</si>
  <si>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</si>
  <si>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</si>
  <si>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</si>
  <si>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</si>
  <si>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</si>
  <si>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 xml:space="preserve">Problem Power MCB Trip </t>
  </si>
  <si>
    <t>Pergantian braket akses point dan Pointing di TBTS Lignite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</si>
</sst>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7" applyNumberFormat="0" applyAlignment="0" applyProtection="0"/>
    <xf numFmtId="0" fontId="25" fillId="6" borderId="8" applyNumberFormat="0" applyAlignment="0" applyProtection="0"/>
    <xf numFmtId="0" fontId="26" fillId="6" borderId="7" applyNumberFormat="0" applyAlignment="0" applyProtection="0"/>
    <xf numFmtId="0" fontId="27" fillId="0" borderId="9" applyNumberFormat="0" applyFill="0" applyAlignment="0" applyProtection="0"/>
    <xf numFmtId="0" fontId="28" fillId="7" borderId="10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0" borderId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0" borderId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5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1" applyNumberFormat="0" applyFont="0" applyAlignment="0" applyProtection="0"/>
    <xf numFmtId="0" fontId="4" fillId="0" borderId="0"/>
    <xf numFmtId="0" fontId="4" fillId="8" borderId="11" applyNumberFormat="0" applyFont="0" applyAlignment="0" applyProtection="0"/>
    <xf numFmtId="0" fontId="4" fillId="8" borderId="11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1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1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1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1" applyNumberFormat="0" applyFont="0" applyAlignment="0" applyProtection="0"/>
    <xf numFmtId="0" fontId="3" fillId="8" borderId="11" applyNumberFormat="0" applyFont="0" applyAlignment="0" applyProtection="0"/>
    <xf numFmtId="0" fontId="3" fillId="0" borderId="0"/>
    <xf numFmtId="0" fontId="3" fillId="8" borderId="11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1" applyNumberFormat="0" applyFont="0" applyAlignment="0" applyProtection="0"/>
    <xf numFmtId="0" fontId="2" fillId="0" borderId="0"/>
    <xf numFmtId="0" fontId="2" fillId="8" borderId="11" applyNumberFormat="0" applyFont="0" applyAlignment="0" applyProtection="0"/>
    <xf numFmtId="0" fontId="2" fillId="8" borderId="11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1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1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1" applyNumberFormat="0" applyFont="0" applyAlignment="0" applyProtection="0"/>
    <xf numFmtId="0" fontId="1" fillId="8" borderId="11" applyNumberFormat="0" applyFont="0" applyAlignment="0" applyProtection="0"/>
    <xf numFmtId="0" fontId="1" fillId="0" borderId="0"/>
    <xf numFmtId="0" fontId="1" fillId="0" borderId="0"/>
    <xf numFmtId="0" fontId="1" fillId="8" borderId="11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19" applyNumberFormat="0" applyAlignment="0" applyProtection="0"/>
    <xf numFmtId="0" fontId="44" fillId="52" borderId="20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1" applyNumberFormat="0" applyFill="0" applyAlignment="0" applyProtection="0"/>
    <xf numFmtId="0" fontId="48" fillId="0" borderId="22" applyNumberFormat="0" applyFill="0" applyAlignment="0" applyProtection="0"/>
    <xf numFmtId="0" fontId="49" fillId="0" borderId="23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19" applyNumberFormat="0" applyAlignment="0" applyProtection="0"/>
    <xf numFmtId="0" fontId="51" fillId="0" borderId="24" applyNumberFormat="0" applyFill="0" applyAlignment="0" applyProtection="0"/>
    <xf numFmtId="0" fontId="52" fillId="53" borderId="0" applyNumberFormat="0" applyBorder="0" applyAlignment="0" applyProtection="0"/>
    <xf numFmtId="0" fontId="6" fillId="54" borderId="25" applyNumberFormat="0" applyAlignment="0" applyProtection="0"/>
    <xf numFmtId="0" fontId="53" fillId="51" borderId="26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27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4" applyNumberFormat="0" applyFill="0" applyAlignment="0" applyProtection="0"/>
    <xf numFmtId="0" fontId="60" fillId="0" borderId="5" applyNumberFormat="0" applyFill="0" applyAlignment="0" applyProtection="0"/>
    <xf numFmtId="0" fontId="61" fillId="0" borderId="6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7" applyNumberFormat="0" applyAlignment="0" applyProtection="0"/>
    <xf numFmtId="0" fontId="66" fillId="6" borderId="8" applyNumberFormat="0" applyAlignment="0" applyProtection="0"/>
    <xf numFmtId="0" fontId="67" fillId="6" borderId="7" applyNumberFormat="0" applyAlignment="0" applyProtection="0"/>
    <xf numFmtId="0" fontId="68" fillId="0" borderId="9" applyNumberFormat="0" applyFill="0" applyAlignment="0" applyProtection="0"/>
    <xf numFmtId="0" fontId="69" fillId="7" borderId="10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2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1" applyNumberFormat="0" applyFon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6" fillId="54" borderId="29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43" fillId="51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  <xf numFmtId="0" fontId="43" fillId="51" borderId="28" applyNumberFormat="0" applyAlignment="0" applyProtection="0"/>
    <xf numFmtId="0" fontId="53" fillId="51" borderId="30" applyNumberFormat="0" applyAlignment="0" applyProtection="0"/>
    <xf numFmtId="0" fontId="50" fillId="38" borderId="28" applyNumberFormat="0" applyAlignment="0" applyProtection="0"/>
    <xf numFmtId="0" fontId="50" fillId="38" borderId="28" applyNumberFormat="0" applyAlignment="0" applyProtection="0"/>
    <xf numFmtId="0" fontId="6" fillId="54" borderId="29" applyNumberFormat="0" applyAlignment="0" applyProtection="0"/>
    <xf numFmtId="0" fontId="53" fillId="51" borderId="30" applyNumberFormat="0" applyAlignment="0" applyProtection="0"/>
    <xf numFmtId="0" fontId="55" fillId="0" borderId="31" applyNumberFormat="0" applyFill="0" applyAlignment="0" applyProtection="0"/>
    <xf numFmtId="0" fontId="43" fillId="51" borderId="28" applyNumberFormat="0" applyAlignment="0" applyProtection="0"/>
    <xf numFmtId="0" fontId="55" fillId="0" borderId="31" applyNumberFormat="0" applyFill="0" applyAlignment="0" applyProtection="0"/>
    <xf numFmtId="0" fontId="6" fillId="54" borderId="29" applyNumberFormat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3" xfId="0" applyFont="1" applyBorder="1" applyAlignment="1">
      <alignment horizontal="center" vertical="top"/>
    </xf>
    <xf numFmtId="0" fontId="33" fillId="0" borderId="3" xfId="0" applyFont="1" applyBorder="1" applyAlignment="1">
      <alignment vertical="top"/>
    </xf>
    <xf numFmtId="46" fontId="0" fillId="0" borderId="3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3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7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/>
    </xf>
    <xf numFmtId="15" fontId="7" fillId="0" borderId="18" xfId="0" applyNumberFormat="1" applyFont="1" applyBorder="1" applyAlignment="1">
      <alignment horizontal="center" vertical="center"/>
    </xf>
    <xf numFmtId="15" fontId="33" fillId="0" borderId="3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3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6" fontId="7" fillId="0" borderId="33" xfId="0" applyNumberFormat="1" applyFont="1" applyBorder="1" applyAlignment="1">
      <alignment horizontal="center"/>
    </xf>
    <xf numFmtId="16" fontId="7" fillId="0" borderId="32" xfId="0" applyNumberFormat="1" applyFont="1" applyBorder="1" applyAlignment="1">
      <alignment horizontal="center"/>
    </xf>
    <xf numFmtId="0" fontId="11" fillId="0" borderId="3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3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10" fontId="7" fillId="0" borderId="33" xfId="0" applyNumberFormat="1" applyFont="1" applyBorder="1" applyAlignment="1">
      <alignment horizontal="left" vertical="center"/>
    </xf>
    <xf numFmtId="10" fontId="7" fillId="0" borderId="34" xfId="0" applyNumberFormat="1" applyFont="1" applyBorder="1" applyAlignment="1">
      <alignment horizontal="left" vertical="center"/>
    </xf>
    <xf numFmtId="10" fontId="7" fillId="0" borderId="35" xfId="0" applyNumberFormat="1" applyFont="1" applyBorder="1" applyAlignment="1">
      <alignment horizontal="left" vertical="center"/>
    </xf>
    <xf numFmtId="10" fontId="6" fillId="0" borderId="33" xfId="0" applyNumberFormat="1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left" vertical="center"/>
    </xf>
    <xf numFmtId="10" fontId="6" fillId="0" borderId="35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4"/>
  <sheetViews>
    <sheetView tabSelected="1" zoomScale="85" zoomScaleNormal="85" workbookViewId="0">
      <pane xSplit="3" ySplit="9" topLeftCell="L10" activePane="bottomRight" state="frozen"/>
      <selection pane="topRight" activeCell="D1" sqref="D1"/>
      <selection pane="bottomLeft" activeCell="A10" sqref="A10"/>
      <selection pane="bottomRight" activeCell="T19" sqref="T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2" customWidth="1"/>
    <col min="17" max="32" width="9.140625" customWidth="1"/>
    <col min="33" max="33" width="9.71093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8" t="s">
        <v>16</v>
      </c>
      <c r="B4" s="58"/>
      <c r="C4" s="61"/>
      <c r="D4" s="59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4">
        <v>45748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7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65" t="s">
        <v>2</v>
      </c>
      <c r="B10" s="65" t="s">
        <v>0</v>
      </c>
      <c r="C10" s="65" t="s">
        <v>7</v>
      </c>
      <c r="D10" s="62">
        <f>C7</f>
        <v>45748</v>
      </c>
      <c r="E10" s="62">
        <f>D10+1</f>
        <v>45749</v>
      </c>
      <c r="F10" s="62">
        <f t="shared" ref="F10:AG10" si="0">E10+1</f>
        <v>45750</v>
      </c>
      <c r="G10" s="62">
        <f t="shared" si="0"/>
        <v>45751</v>
      </c>
      <c r="H10" s="62">
        <f t="shared" si="0"/>
        <v>45752</v>
      </c>
      <c r="I10" s="62">
        <f t="shared" si="0"/>
        <v>45753</v>
      </c>
      <c r="J10" s="62">
        <f t="shared" si="0"/>
        <v>45754</v>
      </c>
      <c r="K10" s="62">
        <f t="shared" si="0"/>
        <v>45755</v>
      </c>
      <c r="L10" s="62">
        <f t="shared" si="0"/>
        <v>45756</v>
      </c>
      <c r="M10" s="62">
        <f t="shared" si="0"/>
        <v>45757</v>
      </c>
      <c r="N10" s="62">
        <f t="shared" si="0"/>
        <v>45758</v>
      </c>
      <c r="O10" s="62">
        <f t="shared" si="0"/>
        <v>45759</v>
      </c>
      <c r="P10" s="62">
        <f t="shared" si="0"/>
        <v>45760</v>
      </c>
      <c r="Q10" s="62">
        <f t="shared" si="0"/>
        <v>45761</v>
      </c>
      <c r="R10" s="62">
        <f t="shared" si="0"/>
        <v>45762</v>
      </c>
      <c r="S10" s="62">
        <f t="shared" si="0"/>
        <v>45763</v>
      </c>
      <c r="T10" s="62">
        <f t="shared" si="0"/>
        <v>45764</v>
      </c>
      <c r="U10" s="62">
        <f t="shared" si="0"/>
        <v>45765</v>
      </c>
      <c r="V10" s="62">
        <f t="shared" si="0"/>
        <v>45766</v>
      </c>
      <c r="W10" s="62">
        <f t="shared" si="0"/>
        <v>45767</v>
      </c>
      <c r="X10" s="62">
        <f t="shared" si="0"/>
        <v>45768</v>
      </c>
      <c r="Y10" s="62">
        <f t="shared" si="0"/>
        <v>45769</v>
      </c>
      <c r="Z10" s="62">
        <f t="shared" si="0"/>
        <v>45770</v>
      </c>
      <c r="AA10" s="62">
        <f t="shared" si="0"/>
        <v>45771</v>
      </c>
      <c r="AB10" s="62">
        <f t="shared" si="0"/>
        <v>45772</v>
      </c>
      <c r="AC10" s="62">
        <f t="shared" si="0"/>
        <v>45773</v>
      </c>
      <c r="AD10" s="62">
        <f t="shared" si="0"/>
        <v>45774</v>
      </c>
      <c r="AE10" s="62">
        <f t="shared" si="0"/>
        <v>45775</v>
      </c>
      <c r="AF10" s="62">
        <f t="shared" si="0"/>
        <v>45776</v>
      </c>
      <c r="AG10" s="63">
        <f t="shared" si="0"/>
        <v>45777</v>
      </c>
    </row>
    <row r="11" spans="1:33" s="1" customFormat="1" x14ac:dyDescent="0.2">
      <c r="A11" s="66"/>
      <c r="B11" s="66"/>
      <c r="C11" s="66"/>
      <c r="D11" s="64" t="s">
        <v>6</v>
      </c>
      <c r="E11" s="64" t="s">
        <v>6</v>
      </c>
      <c r="F11" s="64" t="s">
        <v>6</v>
      </c>
      <c r="G11" s="64" t="s">
        <v>6</v>
      </c>
      <c r="H11" s="64" t="s">
        <v>6</v>
      </c>
      <c r="I11" s="64" t="s">
        <v>6</v>
      </c>
      <c r="J11" s="64" t="s">
        <v>6</v>
      </c>
      <c r="K11" s="64" t="s">
        <v>6</v>
      </c>
      <c r="L11" s="64" t="s">
        <v>6</v>
      </c>
      <c r="M11" s="64" t="s">
        <v>6</v>
      </c>
      <c r="N11" s="64" t="s">
        <v>6</v>
      </c>
      <c r="O11" s="64" t="s">
        <v>6</v>
      </c>
      <c r="P11" s="64" t="s">
        <v>6</v>
      </c>
      <c r="Q11" s="64" t="s">
        <v>6</v>
      </c>
      <c r="R11" s="64" t="s">
        <v>6</v>
      </c>
      <c r="S11" s="64" t="s">
        <v>6</v>
      </c>
      <c r="T11" s="64" t="s">
        <v>6</v>
      </c>
      <c r="U11" s="64" t="s">
        <v>6</v>
      </c>
      <c r="V11" s="64" t="s">
        <v>6</v>
      </c>
      <c r="W11" s="64" t="s">
        <v>6</v>
      </c>
      <c r="X11" s="64" t="s">
        <v>6</v>
      </c>
      <c r="Y11" s="64" t="s">
        <v>6</v>
      </c>
      <c r="Z11" s="64" t="s">
        <v>6</v>
      </c>
      <c r="AA11" s="64" t="s">
        <v>6</v>
      </c>
      <c r="AB11" s="64" t="s">
        <v>6</v>
      </c>
      <c r="AC11" s="64" t="s">
        <v>6</v>
      </c>
      <c r="AD11" s="64" t="s">
        <v>6</v>
      </c>
      <c r="AE11" s="64" t="s">
        <v>6</v>
      </c>
      <c r="AF11" s="64" t="s">
        <v>6</v>
      </c>
      <c r="AG11" s="64" t="s">
        <v>6</v>
      </c>
    </row>
    <row r="12" spans="1:33" x14ac:dyDescent="0.2">
      <c r="A12" s="31"/>
      <c r="B12" s="32"/>
      <c r="C12" s="33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51"/>
      <c r="AF12" s="51"/>
      <c r="AG12" s="48"/>
    </row>
    <row r="13" spans="1:33" s="40" customFormat="1" ht="39.950000000000003" customHeight="1" x14ac:dyDescent="0.2">
      <c r="A13" s="37">
        <v>1</v>
      </c>
      <c r="B13" s="38" t="s">
        <v>17</v>
      </c>
      <c r="C13" s="56" t="s">
        <v>18</v>
      </c>
      <c r="D13" s="39">
        <v>0</v>
      </c>
      <c r="E13" s="39">
        <v>0</v>
      </c>
      <c r="F13" s="39">
        <v>0</v>
      </c>
      <c r="G13" s="39">
        <v>4.583333333333333E-2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4.1666666666666664E-2</v>
      </c>
      <c r="V13" s="39">
        <v>0</v>
      </c>
      <c r="W13" s="39">
        <v>0</v>
      </c>
      <c r="X13" s="39">
        <v>0</v>
      </c>
      <c r="Y13" s="39">
        <v>0</v>
      </c>
      <c r="Z13" s="39">
        <v>0</v>
      </c>
      <c r="AA13" s="41">
        <v>0</v>
      </c>
      <c r="AB13" s="41">
        <v>0</v>
      </c>
      <c r="AC13" s="39">
        <v>0</v>
      </c>
      <c r="AD13" s="39">
        <v>0</v>
      </c>
      <c r="AE13" s="39">
        <v>0</v>
      </c>
      <c r="AF13" s="39">
        <v>0</v>
      </c>
      <c r="AG13" s="39">
        <v>0</v>
      </c>
    </row>
    <row r="14" spans="1:33" s="13" customFormat="1" ht="24" customHeight="1" x14ac:dyDescent="0.2">
      <c r="A14" s="69" t="s">
        <v>15</v>
      </c>
      <c r="B14" s="70"/>
      <c r="C14" s="53">
        <v>45751</v>
      </c>
      <c r="D14" s="73" t="s">
        <v>20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5"/>
    </row>
    <row r="15" spans="1:33" s="13" customFormat="1" ht="24" customHeight="1" x14ac:dyDescent="0.2">
      <c r="A15" s="71"/>
      <c r="B15" s="72"/>
      <c r="C15" s="53">
        <v>45766</v>
      </c>
      <c r="D15" s="73" t="s">
        <v>21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5"/>
    </row>
    <row r="16" spans="1:33" s="13" customFormat="1" ht="24" customHeight="1" x14ac:dyDescent="0.2">
      <c r="A16" s="71"/>
      <c r="B16" s="72"/>
      <c r="C16" s="50"/>
      <c r="D16" s="73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5"/>
    </row>
    <row r="17" spans="1:33" s="13" customFormat="1" ht="24" customHeight="1" x14ac:dyDescent="0.2">
      <c r="A17" s="71"/>
      <c r="B17" s="72"/>
      <c r="C17" s="52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5"/>
    </row>
    <row r="18" spans="1:33" s="13" customFormat="1" ht="24" customHeight="1" x14ac:dyDescent="0.2">
      <c r="A18" s="45"/>
      <c r="B18" s="45"/>
      <c r="C18" s="46"/>
      <c r="D18" s="76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8"/>
    </row>
    <row r="19" spans="1:33" s="13" customFormat="1" ht="25.5" x14ac:dyDescent="0.2">
      <c r="A19" s="42"/>
      <c r="B19" s="42"/>
      <c r="C19" s="43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33" s="13" customFormat="1" x14ac:dyDescent="0.2">
      <c r="A20" s="14"/>
      <c r="D20" s="15"/>
      <c r="E20" s="14"/>
    </row>
    <row r="21" spans="1:33" s="13" customFormat="1" x14ac:dyDescent="0.2">
      <c r="A21" s="22" t="s">
        <v>11</v>
      </c>
      <c r="D21" s="15"/>
      <c r="E21" s="14"/>
      <c r="AC21" s="29"/>
    </row>
    <row r="22" spans="1:33" s="13" customFormat="1" ht="18" x14ac:dyDescent="0.25">
      <c r="A22" s="68" t="s">
        <v>2</v>
      </c>
      <c r="B22" s="68" t="s">
        <v>8</v>
      </c>
      <c r="C22" s="68" t="s">
        <v>1</v>
      </c>
      <c r="D22" s="67" t="s">
        <v>6</v>
      </c>
      <c r="E22" s="67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47"/>
      <c r="R22" s="47"/>
      <c r="S22" s="47"/>
      <c r="T22" s="47"/>
      <c r="U22" s="79"/>
      <c r="V22" s="79"/>
      <c r="W22" s="79"/>
      <c r="X22" s="79"/>
      <c r="Y22" s="79"/>
      <c r="Z22" s="79"/>
      <c r="AA22" s="79"/>
      <c r="AB22" s="79"/>
      <c r="AC22" s="29"/>
    </row>
    <row r="23" spans="1:33" s="13" customFormat="1" ht="18" x14ac:dyDescent="0.25">
      <c r="A23" s="68"/>
      <c r="B23" s="68"/>
      <c r="C23" s="68"/>
      <c r="D23" s="25" t="s">
        <v>9</v>
      </c>
      <c r="E23" s="21" t="s">
        <v>10</v>
      </c>
      <c r="G23" s="28"/>
      <c r="H23" s="28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55"/>
      <c r="AB23"/>
      <c r="AC23" s="29"/>
    </row>
    <row r="24" spans="1:33" s="16" customFormat="1" ht="18" x14ac:dyDescent="0.25">
      <c r="A24" s="35">
        <v>1</v>
      </c>
      <c r="B24" s="36" t="str">
        <f>B13</f>
        <v>Link Internet 10 Mbps dedicated</v>
      </c>
      <c r="C24" s="30">
        <f>1-(((D24*3600)+(LEFT(E24,2)*60)+RIGHT(E24,2))/((60*60*24)*$C$8))</f>
        <v>0.99708333333333332</v>
      </c>
      <c r="D24" s="20" t="str">
        <f>TEXT(SUM(D13:AG13),"[h]")</f>
        <v>2</v>
      </c>
      <c r="E24" s="20" t="str">
        <f>TEXT(SUM(D13:AG13),"mm ss")</f>
        <v>06 00</v>
      </c>
      <c r="F24" s="13"/>
      <c r="G24" s="28"/>
      <c r="H24" s="28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55"/>
      <c r="AB24"/>
      <c r="AC24" s="29"/>
      <c r="AD24" s="13"/>
      <c r="AE24" s="13"/>
      <c r="AF24" s="13"/>
      <c r="AG24" s="13"/>
    </row>
    <row r="25" spans="1:33" ht="18" x14ac:dyDescent="0.25">
      <c r="A25" s="14"/>
      <c r="B25" s="13"/>
      <c r="C25" s="24"/>
      <c r="D25" s="14"/>
      <c r="E25" s="14"/>
      <c r="F25" s="13"/>
      <c r="G25" s="28"/>
      <c r="H25" s="28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54"/>
      <c r="AC25" s="13"/>
      <c r="AD25" s="13"/>
      <c r="AE25" s="13"/>
      <c r="AF25" s="13"/>
      <c r="AG25" s="13"/>
    </row>
    <row r="26" spans="1:33" ht="18" x14ac:dyDescent="0.25">
      <c r="A26" s="14"/>
      <c r="B26" s="13"/>
      <c r="C26" s="13"/>
      <c r="D26" s="15"/>
      <c r="E26" s="14"/>
      <c r="F26" s="13"/>
      <c r="G26" s="28"/>
      <c r="H26" s="28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C26" s="13"/>
      <c r="AD26" s="13"/>
      <c r="AE26" s="13"/>
      <c r="AF26" s="13"/>
      <c r="AG26" s="13"/>
    </row>
    <row r="27" spans="1:33" ht="18" x14ac:dyDescent="0.25">
      <c r="A27" s="14"/>
      <c r="B27" s="23" t="s">
        <v>14</v>
      </c>
      <c r="C27" s="19"/>
      <c r="D27" s="18"/>
      <c r="E27" s="18"/>
      <c r="F27" s="18"/>
      <c r="G27" s="28"/>
      <c r="H27" s="28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C27" s="15"/>
      <c r="AD27" s="18"/>
      <c r="AE27" s="18"/>
      <c r="AF27" s="18"/>
      <c r="AG27" s="18"/>
    </row>
    <row r="28" spans="1:33" ht="18" x14ac:dyDescent="0.25">
      <c r="B28" s="13" t="s">
        <v>19</v>
      </c>
      <c r="C28" s="25">
        <f>C24</f>
        <v>0.99708333333333332</v>
      </c>
      <c r="G28" s="28"/>
      <c r="H28" s="28"/>
      <c r="I28" s="47"/>
      <c r="J28" s="80"/>
      <c r="K28" s="80"/>
      <c r="L28" s="80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80"/>
      <c r="X28" s="80"/>
      <c r="Y28" s="80"/>
      <c r="Z28" s="47"/>
    </row>
    <row r="29" spans="1:33" ht="18" x14ac:dyDescent="0.25">
      <c r="G29" s="28"/>
      <c r="H29" s="28"/>
      <c r="I29" s="47"/>
      <c r="J29" s="79"/>
      <c r="K29" s="79"/>
      <c r="L29" s="79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79"/>
      <c r="X29" s="79"/>
      <c r="Y29" s="79"/>
      <c r="Z29" s="47"/>
    </row>
    <row r="30" spans="1:33" x14ac:dyDescent="0.2">
      <c r="B30" s="49"/>
      <c r="G30" s="28"/>
      <c r="H30" s="28"/>
      <c r="I30" s="28"/>
      <c r="J30" s="28"/>
      <c r="K30" s="28"/>
      <c r="L30" s="28"/>
      <c r="M30" s="28"/>
      <c r="N30"/>
      <c r="O30"/>
      <c r="P30"/>
    </row>
    <row r="31" spans="1:33" x14ac:dyDescent="0.2"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3" spans="6:33" x14ac:dyDescent="0.2"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41" spans="6:33" x14ac:dyDescent="0.2"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</row>
    <row r="42" spans="6:33" x14ac:dyDescent="0.2"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</row>
    <row r="43" spans="6:33" x14ac:dyDescent="0.2"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</row>
    <row r="44" spans="6:33" x14ac:dyDescent="0.2"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G14"/>
    <mergeCell ref="D15:AG15"/>
    <mergeCell ref="D16:AG16"/>
    <mergeCell ref="D17:AG17"/>
    <mergeCell ref="D18:AG18"/>
  </mergeCells>
  <phoneticPr fontId="8" type="noConversion"/>
  <conditionalFormatting sqref="D13:AG13">
    <cfRule type="cellIs" dxfId="1" priority="3" stopIfTrue="1" operator="greaterThan">
      <formula>0</formula>
    </cfRule>
  </conditionalFormatting>
  <conditionalFormatting sqref="AA23:AA24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2024-07-02T01:52:08Z</cp:lastPrinted>
  <dcterms:created xsi:type="dcterms:W3CDTF">2006-10-16T02:50:45Z</dcterms:created>
  <dcterms:modified xsi:type="dcterms:W3CDTF">2025-05-02T09:50:17Z</dcterms:modified>
</cp:coreProperties>
</file>