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Desember 2025\"/>
    </mc:Choice>
  </mc:AlternateContent>
  <xr:revisionPtr revIDLastSave="0" documentId="13_ncr:1_{BA670F11-8366-4F09-A1EF-F5CC3DB24EB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" i="11" l="1"/>
  <c r="E45" i="1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<sst xmlns="http://schemas.openxmlformats.org/spreadsheetml/2006/main" count="115" uniqueCount="52">
  <si>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</si>
  <si>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</si>
  <si>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</si>
  <si>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</si>
  <si>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</si>
  <si>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</si>
  <si>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</si>
  <si>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</si>
  <si>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</si>
  <si>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</si>
  <si>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</si>
  <si>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</si>
  <si>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</si>
  <si>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</si>
  <si>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</si>
  <si>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</si>
  <si>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</si>
  <si>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</si>
  <si>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</si>
  <si>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</si>
  <si>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</si>
  <si>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</si>
  <si>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</si>
  <si>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</si>
  <si>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</si>
  <si>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</si>
  <si>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</si>
  <si>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</si>
  <si>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</si>
  <si>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</si>
  <si>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</si>
  <si>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</si>
  <si>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</si>
  <si>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</si>
  <si>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</si>
  <si>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</si>
  <si>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</si>
  <si>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</si>
  <si>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</si>
  <si>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</si>
  <si>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</si>
  <si>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</si>
  <si>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</si>
  <si>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</si>
  <si>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</si>
  <si>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</si>
  <si>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</si>
  <si>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</si>
  <si>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</si>
  <si>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TBTS Pinang South Status Off</t>
  </si>
  <si>
    <t>1 - 30 Desember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</si>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</sst>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AB45" activePane="bottomRight" state="frozen"/>
      <selection pane="topRight" activeCell="D1" sqref="D1"/>
      <selection pane="bottomLeft" activeCell="A12" sqref="A12"/>
      <selection pane="bottomRight" activeCell="C18" sqref="C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45992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45992</v>
      </c>
      <c r="E10" s="40">
        <f>D10+1</f>
        <v>45993</v>
      </c>
      <c r="F10" s="40">
        <f t="shared" ref="F10:AF10" si="0">E10+1</f>
        <v>45994</v>
      </c>
      <c r="G10" s="40">
        <f t="shared" si="0"/>
        <v>45995</v>
      </c>
      <c r="H10" s="40">
        <f t="shared" si="0"/>
        <v>45996</v>
      </c>
      <c r="I10" s="40">
        <f t="shared" si="0"/>
        <v>45997</v>
      </c>
      <c r="J10" s="40">
        <f t="shared" si="0"/>
        <v>45998</v>
      </c>
      <c r="K10" s="40">
        <f t="shared" si="0"/>
        <v>45999</v>
      </c>
      <c r="L10" s="40">
        <f t="shared" si="0"/>
        <v>46000</v>
      </c>
      <c r="M10" s="40">
        <f t="shared" si="0"/>
        <v>46001</v>
      </c>
      <c r="N10" s="40">
        <f t="shared" si="0"/>
        <v>46002</v>
      </c>
      <c r="O10" s="40">
        <f t="shared" si="0"/>
        <v>46003</v>
      </c>
      <c r="P10" s="40">
        <f t="shared" si="0"/>
        <v>46004</v>
      </c>
      <c r="Q10" s="40">
        <f t="shared" si="0"/>
        <v>46005</v>
      </c>
      <c r="R10" s="40">
        <f t="shared" si="0"/>
        <v>46006</v>
      </c>
      <c r="S10" s="40">
        <f t="shared" si="0"/>
        <v>46007</v>
      </c>
      <c r="T10" s="40">
        <f t="shared" si="0"/>
        <v>46008</v>
      </c>
      <c r="U10" s="40">
        <f t="shared" si="0"/>
        <v>46009</v>
      </c>
      <c r="V10" s="40">
        <f t="shared" si="0"/>
        <v>46010</v>
      </c>
      <c r="W10" s="40">
        <f t="shared" si="0"/>
        <v>46011</v>
      </c>
      <c r="X10" s="40">
        <f t="shared" si="0"/>
        <v>46012</v>
      </c>
      <c r="Y10" s="40">
        <f t="shared" si="0"/>
        <v>46013</v>
      </c>
      <c r="Z10" s="40">
        <f t="shared" si="0"/>
        <v>46014</v>
      </c>
      <c r="AA10" s="40">
        <f t="shared" si="0"/>
        <v>46015</v>
      </c>
      <c r="AB10" s="40">
        <f t="shared" si="0"/>
        <v>46016</v>
      </c>
      <c r="AC10" s="40">
        <f t="shared" si="0"/>
        <v>46017</v>
      </c>
      <c r="AD10" s="40">
        <f t="shared" si="0"/>
        <v>46018</v>
      </c>
      <c r="AE10" s="40">
        <f t="shared" si="0"/>
        <v>46019</v>
      </c>
      <c r="AF10" s="40">
        <f t="shared" si="0"/>
        <v>46020</v>
      </c>
      <c r="AG10" s="72">
        <f>AF10+1</f>
        <v>46021</v>
      </c>
      <c r="AH10" s="72">
        <f>AG10+1</f>
        <v>46022</v>
      </c>
    </row>
    <row r="11" spans="1:34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44</v>
      </c>
      <c r="C22" s="31"/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  <c r="AH22" s="81">
        <v>0</v>
      </c>
    </row>
    <row r="23" spans="1:34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45</v>
      </c>
      <c r="C27" s="70"/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0">
        <v>0</v>
      </c>
      <c r="AH27" s="80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</row>
    <row r="30" spans="1:34" s="11" customFormat="1" ht="16.5" customHeight="1" x14ac:dyDescent="0.2">
      <c r="A30" s="90"/>
      <c r="B30" s="93" t="s">
        <v>36</v>
      </c>
      <c r="C30" s="73" t="s">
        <v>50</v>
      </c>
      <c r="D30" s="98" t="s">
        <v>48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100"/>
    </row>
    <row r="31" spans="1:34" s="11" customFormat="1" ht="16.5" customHeight="1" x14ac:dyDescent="0.2">
      <c r="A31" s="91"/>
      <c r="B31" s="94"/>
      <c r="C31" s="73" t="s">
        <v>50</v>
      </c>
      <c r="D31" s="96" t="s">
        <v>49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</row>
    <row r="32" spans="1:34" s="11" customFormat="1" ht="16.5" customHeight="1" x14ac:dyDescent="0.2">
      <c r="A32" s="91"/>
      <c r="B32" s="94"/>
      <c r="C32" s="62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</row>
    <row r="33" spans="1:33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</row>
    <row r="34" spans="1:33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</row>
    <row r="35" spans="1:33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</row>
    <row r="36" spans="1:33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3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 t="shared" ref="D43:D57" si="1">TEXT(SUM(D13:AG13),"[h]")</f>
        <v>0</v>
      </c>
      <c r="E43" s="16" t="str">
        <f t="shared" ref="E43:E57" si="2">TEXT(SUM(D13:AG13),"mm ss")</f>
        <v>00 00</v>
      </c>
      <c r="G43" s="76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22</v>
      </c>
      <c r="B44" s="27" t="s">
        <v>20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7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23</v>
      </c>
      <c r="B45" s="2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8"/>
      <c r="H45" s="79"/>
    </row>
    <row r="46" spans="1:33" s="11" customFormat="1" ht="15.75" x14ac:dyDescent="0.25">
      <c r="A46" s="36" t="s">
        <v>24</v>
      </c>
      <c r="B46" s="27" t="s">
        <v>43</v>
      </c>
      <c r="C46" s="33">
        <f t="shared" si="3"/>
        <v>1</v>
      </c>
      <c r="D46" s="16" t="str">
        <f t="shared" si="1"/>
        <v>0</v>
      </c>
      <c r="E46" s="16" t="str">
        <f t="shared" si="2"/>
        <v>00 00</v>
      </c>
      <c r="G46" s="78"/>
    </row>
    <row r="47" spans="1:33" s="11" customFormat="1" ht="15.75" x14ac:dyDescent="0.25">
      <c r="A47" s="36" t="s">
        <v>25</v>
      </c>
      <c r="B47" s="27" t="s">
        <v>16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17"/>
    </row>
    <row r="48" spans="1:33" s="11" customFormat="1" ht="15.75" x14ac:dyDescent="0.25">
      <c r="A48" s="36" t="s">
        <v>26</v>
      </c>
      <c r="B48" s="27" t="s">
        <v>17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42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5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G36"/>
    <mergeCell ref="D31:AG31"/>
    <mergeCell ref="D32:AG32"/>
    <mergeCell ref="D33:AG33"/>
    <mergeCell ref="D34:AG34"/>
    <mergeCell ref="D35:AG35"/>
    <mergeCell ref="D30:AG30"/>
  </mergeCells>
  <phoneticPr fontId="9" type="noConversion"/>
  <conditionalFormatting sqref="D13:D22">
    <cfRule type="cellIs" dxfId="13" priority="182" stopIfTrue="1" operator="greaterThan">
      <formula>0</formula>
    </cfRule>
  </conditionalFormatting>
  <conditionalFormatting sqref="D13:Z15 D16:K19 M16:Z20">
    <cfRule type="cellIs" dxfId="12" priority="13" stopIfTrue="1" operator="greaterThan">
      <formula>0</formula>
    </cfRule>
  </conditionalFormatting>
  <conditionalFormatting sqref="D23:Z28">
    <cfRule type="cellIs" dxfId="11" priority="38" stopIfTrue="1" operator="greaterThan">
      <formula>0</formula>
    </cfRule>
  </conditionalFormatting>
  <conditionalFormatting sqref="E20:F22">
    <cfRule type="cellIs" dxfId="10" priority="32" stopIfTrue="1" operator="greaterThan">
      <formula>0</formula>
    </cfRule>
  </conditionalFormatting>
  <conditionalFormatting sqref="G20:K21 M21:AB21">
    <cfRule type="cellIs" dxfId="9" priority="33" stopIfTrue="1" operator="greaterThan">
      <formula>0</formula>
    </cfRule>
  </conditionalFormatting>
  <conditionalFormatting sqref="G22:Z22">
    <cfRule type="cellIs" dxfId="8" priority="28" stopIfTrue="1" operator="greaterThan">
      <formula>0</formula>
    </cfRule>
  </conditionalFormatting>
  <conditionalFormatting sqref="K40:L40">
    <cfRule type="cellIs" dxfId="7" priority="71" stopIfTrue="1" operator="greaterThan">
      <formula>0</formula>
    </cfRule>
  </conditionalFormatting>
  <conditionalFormatting sqref="L16:L21">
    <cfRule type="cellIs" dxfId="6" priority="6" stopIfTrue="1" operator="greaterThan">
      <formula>0</formula>
    </cfRule>
  </conditionalFormatting>
  <conditionalFormatting sqref="AA22:AA28">
    <cfRule type="cellIs" dxfId="5" priority="30" stopIfTrue="1" operator="greaterThan">
      <formula>0</formula>
    </cfRule>
  </conditionalFormatting>
  <conditionalFormatting sqref="AA13:AB20">
    <cfRule type="cellIs" dxfId="4" priority="56" stopIfTrue="1" operator="greaterThan">
      <formula>0</formula>
    </cfRule>
  </conditionalFormatting>
  <conditionalFormatting sqref="AB22:AB27">
    <cfRule type="cellIs" dxfId="3" priority="5" stopIfTrue="1" operator="greaterThan">
      <formula>0</formula>
    </cfRule>
  </conditionalFormatting>
  <conditionalFormatting sqref="AB28:AH28">
    <cfRule type="cellIs" dxfId="2" priority="40" stopIfTrue="1" operator="greaterThan">
      <formula>0</formula>
    </cfRule>
  </conditionalFormatting>
  <conditionalFormatting sqref="AC13:AG27">
    <cfRule type="cellIs" dxfId="1" priority="4" stopIfTrue="1" operator="greaterThan">
      <formula>0</formula>
    </cfRule>
  </conditionalFormatting>
  <conditionalFormatting sqref="AH13:AH27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2026-01-03T03:46:24Z</dcterms:modified>
</cp:coreProperties>
</file>