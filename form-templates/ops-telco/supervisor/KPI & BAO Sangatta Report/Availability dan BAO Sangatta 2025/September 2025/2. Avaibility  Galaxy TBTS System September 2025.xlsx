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1257B428-38B5-45A3-B6C0-BC3043EA704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C26" i="11" s="1"/>
  <c r="C31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6" i="11" l="1"/>
</calcChain>
</file>

<file path=xl/sharedStrings.xml><?xml version="1.0" encoding="utf-8"?>
<sst xmlns="http://schemas.openxmlformats.org/spreadsheetml/2006/main" count="60" uniqueCount="24">
  <si>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</si>
  <si>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</si>
  <si>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</si>
  <si>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</si>
  <si>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</si>
  <si>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</si>
  <si>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</si>
  <si>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</si>
  <si>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</si>
  <si>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</si>
  <si>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</si>
  <si>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</si>
  <si>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</si>
  <si>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</si>
  <si>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</si>
  <si>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</si>
  <si>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</si>
  <si>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</si>
  <si>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</si>
  <si>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</si>
  <si>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</si>
  <si>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</si>
  <si>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Problem Genset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</si>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</sst>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64" fontId="35" fillId="0" borderId="20" xfId="0" applyFont="1" applyBorder="1" applyAlignment="1">
      <alignment vertical="center"/>
    </xf>
    <xf numFmtId="164" fontId="36" fillId="0" borderId="20" xfId="0" applyFont="1" applyBorder="1" applyAlignment="1">
      <alignment vertical="center"/>
    </xf>
    <xf numFmtId="164" fontId="0" fillId="0" borderId="20" xfId="0" applyBorder="1" applyAlignment="1">
      <alignment horizontal="left"/>
    </xf>
    <xf numFmtId="164" fontId="13" fillId="0" borderId="20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46" fontId="0" fillId="33" borderId="0" xfId="0" applyNumberFormat="1" applyFill="1"/>
    <xf numFmtId="46" fontId="0" fillId="0" borderId="0" xfId="0" applyNumberFormat="1" applyAlignment="1">
      <alignment horizontal="center" vertical="center"/>
    </xf>
    <xf numFmtId="164" fontId="8" fillId="0" borderId="21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2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 wrapText="1"/>
    </xf>
    <xf numFmtId="164" fontId="35" fillId="0" borderId="1" xfId="0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164" fontId="36" fillId="0" borderId="19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7"/>
  <sheetViews>
    <sheetView tabSelected="1" zoomScaleNormal="100" workbookViewId="0">
      <selection activeCell="G25" sqref="G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45901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58"/>
      <c r="B9" s="58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</row>
    <row r="10" spans="1:33" s="3" customFormat="1" x14ac:dyDescent="0.2">
      <c r="A10" s="64" t="s">
        <v>2</v>
      </c>
      <c r="B10" s="66" t="s">
        <v>0</v>
      </c>
      <c r="C10" s="66" t="s">
        <v>8</v>
      </c>
      <c r="D10" s="60">
        <f>C7</f>
        <v>45901</v>
      </c>
      <c r="E10" s="60">
        <f>D10+1</f>
        <v>45902</v>
      </c>
      <c r="F10" s="60">
        <f t="shared" ref="F10:AG10" si="0">E10+1</f>
        <v>45903</v>
      </c>
      <c r="G10" s="60">
        <f t="shared" si="0"/>
        <v>45904</v>
      </c>
      <c r="H10" s="60">
        <f t="shared" si="0"/>
        <v>45905</v>
      </c>
      <c r="I10" s="60">
        <f t="shared" si="0"/>
        <v>45906</v>
      </c>
      <c r="J10" s="60">
        <f t="shared" si="0"/>
        <v>45907</v>
      </c>
      <c r="K10" s="60">
        <f t="shared" si="0"/>
        <v>45908</v>
      </c>
      <c r="L10" s="60">
        <f t="shared" si="0"/>
        <v>45909</v>
      </c>
      <c r="M10" s="60">
        <f t="shared" si="0"/>
        <v>45910</v>
      </c>
      <c r="N10" s="60">
        <f t="shared" si="0"/>
        <v>45911</v>
      </c>
      <c r="O10" s="60">
        <f t="shared" si="0"/>
        <v>45912</v>
      </c>
      <c r="P10" s="60">
        <f t="shared" si="0"/>
        <v>45913</v>
      </c>
      <c r="Q10" s="60">
        <f t="shared" si="0"/>
        <v>45914</v>
      </c>
      <c r="R10" s="60">
        <f t="shared" si="0"/>
        <v>45915</v>
      </c>
      <c r="S10" s="60">
        <f t="shared" si="0"/>
        <v>45916</v>
      </c>
      <c r="T10" s="60">
        <f t="shared" si="0"/>
        <v>45917</v>
      </c>
      <c r="U10" s="60">
        <f t="shared" si="0"/>
        <v>45918</v>
      </c>
      <c r="V10" s="60">
        <f t="shared" si="0"/>
        <v>45919</v>
      </c>
      <c r="W10" s="60">
        <f t="shared" si="0"/>
        <v>45920</v>
      </c>
      <c r="X10" s="60">
        <f t="shared" si="0"/>
        <v>45921</v>
      </c>
      <c r="Y10" s="60">
        <f t="shared" si="0"/>
        <v>45922</v>
      </c>
      <c r="Z10" s="60">
        <f t="shared" si="0"/>
        <v>45923</v>
      </c>
      <c r="AA10" s="60">
        <f t="shared" si="0"/>
        <v>45924</v>
      </c>
      <c r="AB10" s="60">
        <f t="shared" si="0"/>
        <v>45925</v>
      </c>
      <c r="AC10" s="60">
        <f t="shared" si="0"/>
        <v>45926</v>
      </c>
      <c r="AD10" s="60">
        <f t="shared" si="0"/>
        <v>45927</v>
      </c>
      <c r="AE10" s="60">
        <f t="shared" si="0"/>
        <v>45928</v>
      </c>
      <c r="AF10" s="60">
        <f t="shared" si="0"/>
        <v>45929</v>
      </c>
      <c r="AG10" s="61">
        <f t="shared" si="0"/>
        <v>45930</v>
      </c>
    </row>
    <row r="11" spans="1:33" s="1" customFormat="1" x14ac:dyDescent="0.2">
      <c r="A11" s="65"/>
      <c r="B11" s="67"/>
      <c r="C11" s="67"/>
      <c r="D11" s="51" t="s">
        <v>7</v>
      </c>
      <c r="E11" s="51" t="s">
        <v>7</v>
      </c>
      <c r="F11" s="51" t="s">
        <v>7</v>
      </c>
      <c r="G11" s="51" t="s">
        <v>7</v>
      </c>
      <c r="H11" s="51" t="s">
        <v>7</v>
      </c>
      <c r="I11" s="51" t="s">
        <v>7</v>
      </c>
      <c r="J11" s="51" t="s">
        <v>7</v>
      </c>
      <c r="K11" s="51" t="s">
        <v>7</v>
      </c>
      <c r="L11" s="51" t="s">
        <v>7</v>
      </c>
      <c r="M11" s="51" t="s">
        <v>7</v>
      </c>
      <c r="N11" s="51" t="s">
        <v>7</v>
      </c>
      <c r="O11" s="51" t="s">
        <v>7</v>
      </c>
      <c r="P11" s="51" t="s">
        <v>7</v>
      </c>
      <c r="Q11" s="51" t="s">
        <v>7</v>
      </c>
      <c r="R11" s="51" t="s">
        <v>7</v>
      </c>
      <c r="S11" s="51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0" t="s">
        <v>20</v>
      </c>
      <c r="D13" s="54">
        <v>0</v>
      </c>
      <c r="E13" s="54">
        <v>0</v>
      </c>
      <c r="F13" s="54">
        <v>0</v>
      </c>
      <c r="G13" s="54">
        <v>0</v>
      </c>
      <c r="H13" s="54">
        <v>4.1666666666666664E-2</v>
      </c>
      <c r="I13" s="54">
        <v>0</v>
      </c>
      <c r="J13" s="54">
        <v>6.25E-2</v>
      </c>
      <c r="K13" s="54">
        <v>0</v>
      </c>
      <c r="L13" s="54">
        <v>0</v>
      </c>
      <c r="M13" s="54">
        <v>0</v>
      </c>
      <c r="N13" s="54">
        <v>0</v>
      </c>
      <c r="O13" s="54">
        <v>4.1666666666666664E-2</v>
      </c>
      <c r="P13" s="54">
        <v>0</v>
      </c>
      <c r="Q13" s="54">
        <v>0</v>
      </c>
      <c r="R13" s="54">
        <v>0</v>
      </c>
      <c r="S13" s="54">
        <v>0</v>
      </c>
      <c r="T13" s="54">
        <v>8.3333333333333329E-2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1.6666666666666666E-2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</row>
    <row r="14" spans="1:33" s="11" customFormat="1" ht="16.5" customHeight="1" x14ac:dyDescent="0.2">
      <c r="A14" s="55"/>
      <c r="B14" s="56"/>
      <c r="C14" s="57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5"/>
    </row>
    <row r="15" spans="1:33" s="11" customFormat="1" ht="24.95" customHeight="1" x14ac:dyDescent="0.2">
      <c r="A15" s="70" t="s">
        <v>16</v>
      </c>
      <c r="B15" s="71" t="s">
        <v>19</v>
      </c>
      <c r="C15" s="48">
        <v>45905</v>
      </c>
      <c r="D15" s="72" t="s">
        <v>22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</row>
    <row r="16" spans="1:33" s="11" customFormat="1" ht="24.95" customHeight="1" x14ac:dyDescent="0.2">
      <c r="A16" s="70"/>
      <c r="B16" s="71"/>
      <c r="C16" s="48">
        <v>45907</v>
      </c>
      <c r="D16" s="72" t="s">
        <v>22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</row>
    <row r="17" spans="1:33" s="11" customFormat="1" ht="24.95" customHeight="1" x14ac:dyDescent="0.2">
      <c r="A17" s="70"/>
      <c r="B17" s="71"/>
      <c r="C17" s="48">
        <v>45912</v>
      </c>
      <c r="D17" s="72" t="s">
        <v>22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</row>
    <row r="18" spans="1:33" s="11" customFormat="1" ht="24.95" customHeight="1" x14ac:dyDescent="0.2">
      <c r="A18" s="70"/>
      <c r="B18" s="71"/>
      <c r="C18" s="48">
        <v>45917</v>
      </c>
      <c r="D18" s="72" t="s">
        <v>22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 spans="1:33" s="11" customFormat="1" ht="24.95" customHeight="1" x14ac:dyDescent="0.2">
      <c r="A19" s="70"/>
      <c r="B19" s="71"/>
      <c r="C19" s="48">
        <v>45924</v>
      </c>
      <c r="D19" s="72" t="s">
        <v>22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</row>
    <row r="20" spans="1:33" s="11" customFormat="1" ht="15" x14ac:dyDescent="0.2">
      <c r="A20" s="45"/>
      <c r="B20" s="45"/>
      <c r="C20" s="4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</row>
    <row r="21" spans="1:33" s="11" customFormat="1" ht="15" x14ac:dyDescent="0.2">
      <c r="A21" s="12"/>
      <c r="B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spans="1:33" s="11" customFormat="1" x14ac:dyDescent="0.2">
      <c r="A22" s="12"/>
      <c r="D22" s="12"/>
      <c r="I22" s="20"/>
    </row>
    <row r="23" spans="1:33" s="11" customFormat="1" x14ac:dyDescent="0.2">
      <c r="A23" s="19" t="s">
        <v>12</v>
      </c>
      <c r="D23" s="12"/>
      <c r="K23" s="62"/>
      <c r="L23" s="62"/>
      <c r="AB23" s="26"/>
    </row>
    <row r="24" spans="1:33" s="11" customFormat="1" x14ac:dyDescent="0.2">
      <c r="A24" s="68" t="s">
        <v>2</v>
      </c>
      <c r="B24" s="68" t="s">
        <v>9</v>
      </c>
      <c r="C24" s="68" t="s">
        <v>1</v>
      </c>
      <c r="D24" s="76" t="s">
        <v>7</v>
      </c>
      <c r="E24" s="77"/>
      <c r="AB24" s="26"/>
    </row>
    <row r="25" spans="1:33" s="11" customFormat="1" x14ac:dyDescent="0.2">
      <c r="A25" s="69"/>
      <c r="B25" s="69"/>
      <c r="C25" s="69"/>
      <c r="D25" s="22" t="s">
        <v>10</v>
      </c>
      <c r="E25" s="18" t="s">
        <v>11</v>
      </c>
      <c r="AB25" s="26"/>
    </row>
    <row r="26" spans="1:33" s="11" customFormat="1" ht="15.75" x14ac:dyDescent="0.25">
      <c r="A26" s="53" t="s">
        <v>17</v>
      </c>
      <c r="B26" s="27" t="str">
        <f>B13</f>
        <v>Transportable Base Transreceiver Station</v>
      </c>
      <c r="C26" s="52">
        <f>1-(((D26*3600)+(LEFT(E26,2)*60)+RIGHT(E26,2))/((60*60*24)*$C$8))</f>
        <v>0.99180555555555561</v>
      </c>
      <c r="D26" s="16" t="str">
        <f>TEXT(SUM(D13:AG13),"[h]")</f>
        <v>5</v>
      </c>
      <c r="E26" s="16" t="str">
        <f>TEXT(SUM(E13:AG13),"mm ss")</f>
        <v>54 00</v>
      </c>
      <c r="G26" s="17"/>
      <c r="I26" s="63"/>
      <c r="J26" s="63"/>
      <c r="K26" s="63"/>
      <c r="AB26" s="26"/>
    </row>
    <row r="27" spans="1:33" ht="15.75" x14ac:dyDescent="0.25">
      <c r="A27" s="37"/>
      <c r="B27" s="38"/>
      <c r="C27" s="39"/>
      <c r="D27" s="40"/>
      <c r="E27" s="40"/>
      <c r="F27" s="11"/>
      <c r="G27" s="17"/>
      <c r="H27" s="11"/>
      <c r="I27" s="11"/>
      <c r="J27" s="11"/>
      <c r="K27" s="11"/>
      <c r="L27" s="41"/>
      <c r="M27" s="41"/>
      <c r="N27" s="41"/>
      <c r="O27" s="4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21"/>
      <c r="D28" s="12"/>
      <c r="E28" s="11"/>
      <c r="F28" s="11"/>
      <c r="G28" s="11"/>
      <c r="H28" s="11"/>
      <c r="I28" s="11"/>
      <c r="J28" s="11"/>
      <c r="K28" s="11"/>
      <c r="L28" s="41"/>
      <c r="M28" s="41"/>
      <c r="N28" s="41"/>
      <c r="O28" s="4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11"/>
      <c r="C29" s="11"/>
      <c r="D29" s="12"/>
      <c r="E29" s="11"/>
      <c r="F29" s="11"/>
      <c r="G29" s="11"/>
      <c r="H29" s="11"/>
      <c r="I29" s="11"/>
      <c r="J29" s="11"/>
      <c r="K29" s="63"/>
      <c r="L29" s="41"/>
      <c r="M29" s="41"/>
      <c r="N29" s="41"/>
      <c r="O29" s="4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">
      <c r="A30" s="12"/>
      <c r="B30" s="20" t="s">
        <v>13</v>
      </c>
      <c r="C30" s="15"/>
      <c r="D30" s="14"/>
      <c r="E30" s="14"/>
      <c r="F30" s="14"/>
      <c r="G30" s="14"/>
      <c r="H30" s="14"/>
      <c r="I30" s="14"/>
      <c r="J30" s="14"/>
      <c r="K30" s="14"/>
      <c r="L30" s="42"/>
      <c r="M30" s="42"/>
      <c r="N30" s="42"/>
      <c r="O30" s="4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x14ac:dyDescent="0.2">
      <c r="A31"/>
      <c r="B31" s="11" t="s">
        <v>18</v>
      </c>
      <c r="C31" s="22">
        <f>(SUM(C26:C26))/(100%)</f>
        <v>0.99180555555555561</v>
      </c>
      <c r="G31" s="30"/>
      <c r="L31" s="43"/>
      <c r="M31" s="43"/>
      <c r="N31" s="43"/>
      <c r="O31" s="43"/>
    </row>
    <row r="32" spans="1:33" x14ac:dyDescent="0.2">
      <c r="L32" s="43"/>
      <c r="M32" s="43"/>
      <c r="N32" s="43"/>
      <c r="O32" s="43"/>
    </row>
    <row r="33" spans="1:33" x14ac:dyDescent="0.2">
      <c r="L33" s="43"/>
      <c r="M33" s="43"/>
      <c r="N33" s="43"/>
      <c r="O33" s="43"/>
    </row>
    <row r="34" spans="1:33" x14ac:dyDescent="0.2"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43"/>
    </row>
    <row r="35" spans="1:33" x14ac:dyDescent="0.2">
      <c r="A35" s="44"/>
      <c r="B35" s="49"/>
      <c r="E35" s="73"/>
      <c r="F35" s="73"/>
      <c r="G35" s="73"/>
      <c r="H35" s="73"/>
      <c r="I35" s="73"/>
      <c r="J35" s="73"/>
      <c r="K35" s="73"/>
      <c r="L35" s="73"/>
      <c r="M35" s="73"/>
      <c r="N35" s="73"/>
    </row>
    <row r="36" spans="1:33" x14ac:dyDescent="0.2">
      <c r="A36"/>
      <c r="B36" s="11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">
      <c r="A47"/>
      <c r="D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</sheetData>
  <mergeCells count="16">
    <mergeCell ref="D16:AG16"/>
    <mergeCell ref="D17:AG17"/>
    <mergeCell ref="D18:AG18"/>
    <mergeCell ref="E34:N35"/>
    <mergeCell ref="D14:AG14"/>
    <mergeCell ref="D24:E24"/>
    <mergeCell ref="D15:AG15"/>
    <mergeCell ref="D19:AG19"/>
    <mergeCell ref="A10:A11"/>
    <mergeCell ref="B10:B11"/>
    <mergeCell ref="C10:C11"/>
    <mergeCell ref="A24:A25"/>
    <mergeCell ref="B24:B25"/>
    <mergeCell ref="C24:C25"/>
    <mergeCell ref="A15:A19"/>
    <mergeCell ref="B15:B19"/>
  </mergeCells>
  <phoneticPr fontId="9" type="noConversion"/>
  <conditionalFormatting sqref="D13:AG13">
    <cfRule type="cellIs" dxfId="3" priority="5" stopIfTrue="1" operator="greaterThan">
      <formula>0</formula>
    </cfRule>
  </conditionalFormatting>
  <conditionalFormatting sqref="I26:K26">
    <cfRule type="cellIs" dxfId="2" priority="2" stopIfTrue="1" operator="greaterThan">
      <formula>0</formula>
    </cfRule>
  </conditionalFormatting>
  <conditionalFormatting sqref="K29">
    <cfRule type="cellIs" dxfId="1" priority="1" stopIfTrue="1" operator="greaterThan">
      <formula>0</formula>
    </cfRule>
  </conditionalFormatting>
  <conditionalFormatting sqref="K23:L23">
    <cfRule type="cellIs" dxfId="0" priority="94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2025-09-30T23:40:51Z</dcterms:modified>
</cp:coreProperties>
</file>