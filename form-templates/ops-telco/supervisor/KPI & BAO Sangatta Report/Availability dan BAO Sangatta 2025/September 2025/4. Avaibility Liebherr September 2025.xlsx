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September 2025\"/>
    </mc:Choice>
  </mc:AlternateContent>
  <xr:revisionPtr revIDLastSave="0" documentId="13_ncr:1_{58318BD9-D48E-4F99-878B-19489A434E2E}" xr6:coauthVersionLast="47" xr6:coauthVersionMax="47" xr10:uidLastSave="{00000000-0000-0000-0000-000000000000}"/>
  <bookViews>
    <workbookView xWindow="-120" yWindow="-120" windowWidth="19440" windowHeight="15000" tabRatio="361" xr2:uid="{00000000-000D-0000-FFFF-FFFF00000000}"/>
  </bookViews>
  <sheets>
    <sheet name="LINK Liebherr Megasho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1" l="1"/>
  <c r="D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24" i="11" l="1"/>
  <c r="B24" i="11"/>
  <c r="C28" i="11" l="1"/>
</calcChain>
</file>

<file path=xl/sharedStrings.xml><?xml version="1.0" encoding="utf-8"?>
<sst xmlns="http://schemas.openxmlformats.org/spreadsheetml/2006/main" count="60" uniqueCount="28">
  <si>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</si>
  <si>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</si>
  <si>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</si>
  <si>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</si>
  <si>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</si>
  <si>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</si>
  <si>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</si>
  <si>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</si>
  <si>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</si>
  <si>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</si>
  <si>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</si>
  <si>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</si>
  <si>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</si>
  <si>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</si>
  <si>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</si>
  <si>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</si>
  <si>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</si>
  <si>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</si>
  <si>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</si>
  <si>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</si>
  <si>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>PT LIEBHERR INDONESIA PERKASA</t>
  </si>
  <si>
    <t>Kaltim Operation</t>
  </si>
  <si>
    <t>Site Sangatta</t>
  </si>
  <si>
    <t>Wanto</t>
  </si>
  <si>
    <t>Yohanes Kurniawan</t>
  </si>
  <si>
    <t>Project Manager</t>
  </si>
  <si>
    <t>IT Manager</t>
  </si>
  <si>
    <t>Listrik Blackout di Tower 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</si>
</sst>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0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2"/>
      <name val="Arial"/>
      <family val="2"/>
    </font>
    <font>
      <sz val="12"/>
      <name val="Tahoma"/>
      <family val="2"/>
    </font>
    <font>
      <sz val="12"/>
      <name val="Calibri"/>
      <family val="2"/>
    </font>
    <font>
      <u/>
      <sz val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3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9" fontId="12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left" vertic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2" fillId="0" borderId="0" xfId="0" applyFont="1" applyAlignment="1">
      <alignment horizontal="left"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7" fillId="0" borderId="0" xfId="0" applyNumberFormat="1" applyFont="1" applyAlignment="1">
      <alignment horizontal="center"/>
    </xf>
    <xf numFmtId="0" fontId="34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15" fontId="7" fillId="0" borderId="1" xfId="0" applyNumberFormat="1" applyFont="1" applyBorder="1" applyAlignment="1">
      <alignment horizontal="center" vertical="center"/>
    </xf>
    <xf numFmtId="16" fontId="7" fillId="0" borderId="3" xfId="0" applyNumberFormat="1" applyFont="1" applyBorder="1" applyAlignment="1">
      <alignment horizontal="center"/>
    </xf>
    <xf numFmtId="15" fontId="7" fillId="0" borderId="4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15" fontId="7" fillId="0" borderId="2" xfId="0" applyNumberFormat="1" applyFont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37" fillId="0" borderId="0" xfId="0" applyFont="1"/>
    <xf numFmtId="10" fontId="37" fillId="0" borderId="0" xfId="0" applyNumberFormat="1" applyFont="1" applyAlignment="1">
      <alignment horizontal="center"/>
    </xf>
    <xf numFmtId="0" fontId="38" fillId="0" borderId="0" xfId="0" applyFont="1" applyAlignment="1">
      <alignment vertical="center"/>
    </xf>
    <xf numFmtId="9" fontId="37" fillId="0" borderId="0" xfId="0" applyNumberFormat="1" applyFont="1"/>
    <xf numFmtId="0" fontId="39" fillId="0" borderId="0" xfId="0" applyFont="1" applyAlignment="1">
      <alignment vertical="center"/>
    </xf>
    <xf numFmtId="0" fontId="36" fillId="0" borderId="0" xfId="0" applyFont="1"/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5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0" xfId="102" xr:uid="{00000000-0005-0000-0000-0000FC070000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4"/>
  <sheetViews>
    <sheetView tabSelected="1" zoomScaleNormal="100" workbookViewId="0">
      <selection activeCell="B19" sqref="B19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3" width="9.140625" customWidth="1"/>
    <col min="34" max="34" width="10.140625" customWidth="1"/>
  </cols>
  <sheetData>
    <row r="1" spans="1:33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3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3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3" s="3" customFormat="1" x14ac:dyDescent="0.2">
      <c r="A4" s="5" t="s">
        <v>14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3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3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3" s="3" customFormat="1" x14ac:dyDescent="0.2">
      <c r="A7" s="5" t="s">
        <v>4</v>
      </c>
      <c r="B7" s="6"/>
      <c r="C7" s="36">
        <v>45901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3" s="3" customFormat="1" x14ac:dyDescent="0.2">
      <c r="A8" s="5" t="s">
        <v>5</v>
      </c>
      <c r="B8" s="7"/>
      <c r="C8" s="19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3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3" s="3" customFormat="1" x14ac:dyDescent="0.2">
      <c r="A10" s="63" t="s">
        <v>2</v>
      </c>
      <c r="B10" s="63" t="s">
        <v>0</v>
      </c>
      <c r="C10" s="63" t="s">
        <v>7</v>
      </c>
      <c r="D10" s="52">
        <f>C7</f>
        <v>45901</v>
      </c>
      <c r="E10" s="52">
        <f>D10+1</f>
        <v>45902</v>
      </c>
      <c r="F10" s="52">
        <f t="shared" ref="F10:AG10" si="0">E10+1</f>
        <v>45903</v>
      </c>
      <c r="G10" s="52">
        <f t="shared" si="0"/>
        <v>45904</v>
      </c>
      <c r="H10" s="52">
        <f t="shared" si="0"/>
        <v>45905</v>
      </c>
      <c r="I10" s="52">
        <f t="shared" si="0"/>
        <v>45906</v>
      </c>
      <c r="J10" s="52">
        <f t="shared" si="0"/>
        <v>45907</v>
      </c>
      <c r="K10" s="52">
        <f t="shared" si="0"/>
        <v>45908</v>
      </c>
      <c r="L10" s="52">
        <f t="shared" si="0"/>
        <v>45909</v>
      </c>
      <c r="M10" s="52">
        <f t="shared" si="0"/>
        <v>45910</v>
      </c>
      <c r="N10" s="52">
        <f t="shared" si="0"/>
        <v>45911</v>
      </c>
      <c r="O10" s="52">
        <f t="shared" si="0"/>
        <v>45912</v>
      </c>
      <c r="P10" s="52">
        <f t="shared" si="0"/>
        <v>45913</v>
      </c>
      <c r="Q10" s="52">
        <f t="shared" si="0"/>
        <v>45914</v>
      </c>
      <c r="R10" s="52">
        <f t="shared" si="0"/>
        <v>45915</v>
      </c>
      <c r="S10" s="52">
        <f t="shared" si="0"/>
        <v>45916</v>
      </c>
      <c r="T10" s="52">
        <f t="shared" si="0"/>
        <v>45917</v>
      </c>
      <c r="U10" s="52">
        <f t="shared" si="0"/>
        <v>45918</v>
      </c>
      <c r="V10" s="52">
        <f t="shared" si="0"/>
        <v>45919</v>
      </c>
      <c r="W10" s="52">
        <f t="shared" si="0"/>
        <v>45920</v>
      </c>
      <c r="X10" s="52">
        <f t="shared" si="0"/>
        <v>45921</v>
      </c>
      <c r="Y10" s="52">
        <f t="shared" si="0"/>
        <v>45922</v>
      </c>
      <c r="Z10" s="52">
        <f t="shared" si="0"/>
        <v>45923</v>
      </c>
      <c r="AA10" s="52">
        <f t="shared" si="0"/>
        <v>45924</v>
      </c>
      <c r="AB10" s="52">
        <f t="shared" si="0"/>
        <v>45925</v>
      </c>
      <c r="AC10" s="52">
        <f t="shared" si="0"/>
        <v>45926</v>
      </c>
      <c r="AD10" s="52">
        <f t="shared" si="0"/>
        <v>45927</v>
      </c>
      <c r="AE10" s="52">
        <f t="shared" si="0"/>
        <v>45928</v>
      </c>
      <c r="AF10" s="52">
        <f t="shared" si="0"/>
        <v>45929</v>
      </c>
      <c r="AG10" s="54">
        <f t="shared" si="0"/>
        <v>45930</v>
      </c>
    </row>
    <row r="11" spans="1:33" s="1" customFormat="1" x14ac:dyDescent="0.2">
      <c r="A11" s="64"/>
      <c r="B11" s="64"/>
      <c r="C11" s="64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</row>
    <row r="12" spans="1:33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spans="1:33" s="42" customFormat="1" ht="39.950000000000003" customHeight="1" x14ac:dyDescent="0.2">
      <c r="A13" s="39">
        <v>1</v>
      </c>
      <c r="B13" s="40" t="s">
        <v>15</v>
      </c>
      <c r="C13" s="40" t="s">
        <v>16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1.0416666666666666E-2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4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</row>
    <row r="14" spans="1:33" s="14" customFormat="1" ht="24" customHeight="1" x14ac:dyDescent="0.2">
      <c r="A14" s="67" t="s">
        <v>19</v>
      </c>
      <c r="B14" s="68"/>
      <c r="C14" s="51">
        <v>45918</v>
      </c>
      <c r="D14" s="71" t="s">
        <v>27</v>
      </c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</row>
    <row r="15" spans="1:33" s="14" customFormat="1" ht="24" customHeight="1" x14ac:dyDescent="0.2">
      <c r="A15" s="69"/>
      <c r="B15" s="70"/>
      <c r="C15" s="5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</row>
    <row r="16" spans="1:33" s="14" customFormat="1" ht="24" customHeight="1" x14ac:dyDescent="0.2">
      <c r="A16" s="69"/>
      <c r="B16" s="70"/>
      <c r="C16" s="53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</row>
    <row r="17" spans="1:34" s="14" customFormat="1" ht="24" customHeight="1" x14ac:dyDescent="0.2">
      <c r="A17" s="69"/>
      <c r="B17" s="70"/>
      <c r="C17" s="55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</row>
    <row r="18" spans="1:34" s="14" customFormat="1" ht="24" customHeight="1" x14ac:dyDescent="0.2">
      <c r="A18" s="49"/>
      <c r="B18" s="49"/>
      <c r="C18" s="50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</row>
    <row r="19" spans="1:34" s="14" customFormat="1" ht="25.5" x14ac:dyDescent="0.2">
      <c r="A19" s="45"/>
      <c r="B19" s="45"/>
      <c r="C19" s="46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AH19" s="48"/>
    </row>
    <row r="20" spans="1:34" s="14" customFormat="1" ht="15" x14ac:dyDescent="0.2">
      <c r="A20" s="15"/>
      <c r="D20" s="16"/>
      <c r="E20" s="15"/>
      <c r="G20" s="56" t="s">
        <v>12</v>
      </c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6" t="s">
        <v>20</v>
      </c>
      <c r="AA20" s="57"/>
      <c r="AB20" s="57"/>
      <c r="AC20" s="57"/>
      <c r="AD20" s="57"/>
    </row>
    <row r="21" spans="1:34" s="14" customFormat="1" ht="15" x14ac:dyDescent="0.2">
      <c r="A21" s="24" t="s">
        <v>11</v>
      </c>
      <c r="D21" s="16"/>
      <c r="E21" s="15"/>
      <c r="G21" s="56" t="s">
        <v>21</v>
      </c>
      <c r="H21" s="57"/>
      <c r="I21" s="57"/>
      <c r="J21" s="57"/>
      <c r="K21" s="57"/>
      <c r="L21" s="57"/>
      <c r="M21" s="57"/>
      <c r="N21" s="57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6" t="s">
        <v>22</v>
      </c>
      <c r="AA21" s="57"/>
      <c r="AB21" s="57"/>
      <c r="AC21" s="58"/>
      <c r="AD21" s="57"/>
      <c r="AF21" s="31"/>
    </row>
    <row r="22" spans="1:34" s="14" customFormat="1" ht="15.75" x14ac:dyDescent="0.2">
      <c r="A22" s="66" t="s">
        <v>2</v>
      </c>
      <c r="B22" s="66" t="s">
        <v>8</v>
      </c>
      <c r="C22" s="66" t="s">
        <v>1</v>
      </c>
      <c r="D22" s="65" t="s">
        <v>6</v>
      </c>
      <c r="E22" s="65"/>
      <c r="G22" s="59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F22" s="31"/>
    </row>
    <row r="23" spans="1:34" s="14" customFormat="1" ht="15.75" x14ac:dyDescent="0.2">
      <c r="A23" s="66"/>
      <c r="B23" s="66"/>
      <c r="C23" s="66"/>
      <c r="D23" s="27" t="s">
        <v>9</v>
      </c>
      <c r="E23" s="23" t="s">
        <v>10</v>
      </c>
      <c r="G23" s="59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F23" s="31"/>
    </row>
    <row r="24" spans="1:34" s="17" customFormat="1" ht="15.75" x14ac:dyDescent="0.25">
      <c r="A24" s="37">
        <v>1</v>
      </c>
      <c r="B24" s="38" t="str">
        <f>B13</f>
        <v>Link Wireless  to Megashop</v>
      </c>
      <c r="C24" s="32">
        <f>1-(((D24*3600)+(LEFT(E24,2)*60)+RIGHT(E24,2))/((60*60*24)*$C$8))</f>
        <v>0.99965277777777772</v>
      </c>
      <c r="D24" s="22" t="str">
        <f>TEXT(SUM(D13:AG13),"[h]")</f>
        <v>0</v>
      </c>
      <c r="E24" s="22" t="str">
        <f>TEXT(SUM(D13:AG13),"mm ss")</f>
        <v>15 00</v>
      </c>
      <c r="F24" s="14"/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8"/>
      <c r="AE24" s="14"/>
      <c r="AF24" s="31"/>
      <c r="AG24" s="14"/>
      <c r="AH24" s="14"/>
    </row>
    <row r="25" spans="1:34" ht="15" x14ac:dyDescent="0.2">
      <c r="A25" s="15"/>
      <c r="B25" s="14"/>
      <c r="C25" s="26"/>
      <c r="D25" s="15"/>
      <c r="E25" s="15"/>
      <c r="F25" s="14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14"/>
      <c r="AF25" s="14"/>
      <c r="AG25" s="14"/>
      <c r="AH25" s="14"/>
    </row>
    <row r="26" spans="1:34" ht="15" x14ac:dyDescent="0.2">
      <c r="A26" s="15"/>
      <c r="B26" s="14"/>
      <c r="C26" s="14"/>
      <c r="D26" s="16"/>
      <c r="E26" s="15"/>
      <c r="F26" s="14"/>
      <c r="G26" s="60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14"/>
      <c r="AF26" s="14"/>
      <c r="AG26" s="14"/>
      <c r="AH26" s="17"/>
    </row>
    <row r="27" spans="1:34" ht="15" x14ac:dyDescent="0.2">
      <c r="A27" s="15"/>
      <c r="B27" s="25" t="s">
        <v>17</v>
      </c>
      <c r="C27" s="21"/>
      <c r="D27" s="20"/>
      <c r="E27" s="20"/>
      <c r="F27" s="20"/>
      <c r="G27" s="61" t="s">
        <v>23</v>
      </c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61" t="s">
        <v>24</v>
      </c>
      <c r="AA27" s="57"/>
      <c r="AB27" s="57"/>
      <c r="AC27" s="57"/>
      <c r="AD27" s="57"/>
      <c r="AE27" s="16"/>
      <c r="AF27" s="16"/>
      <c r="AG27" s="16"/>
    </row>
    <row r="28" spans="1:34" ht="15" x14ac:dyDescent="0.2">
      <c r="B28" s="14" t="s">
        <v>18</v>
      </c>
      <c r="C28" s="27">
        <f>C24</f>
        <v>0.99965277777777772</v>
      </c>
      <c r="G28" s="62" t="s">
        <v>25</v>
      </c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62" t="s">
        <v>26</v>
      </c>
      <c r="AA28" s="57"/>
      <c r="AB28" s="57"/>
      <c r="AC28" s="57"/>
      <c r="AD28" s="57"/>
    </row>
    <row r="30" spans="1:34" x14ac:dyDescent="0.2">
      <c r="H30" s="43"/>
    </row>
    <row r="33" spans="6:33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</row>
    <row r="41" spans="6:33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</row>
    <row r="42" spans="6:33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spans="6:33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 spans="6:33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</sheetData>
  <mergeCells count="13">
    <mergeCell ref="A10:A11"/>
    <mergeCell ref="B10:B11"/>
    <mergeCell ref="C10:C11"/>
    <mergeCell ref="D22:E22"/>
    <mergeCell ref="A22:A23"/>
    <mergeCell ref="B22:B23"/>
    <mergeCell ref="C22:C23"/>
    <mergeCell ref="A14:B17"/>
    <mergeCell ref="D14:AG14"/>
    <mergeCell ref="D15:AG15"/>
    <mergeCell ref="D16:AG16"/>
    <mergeCell ref="D17:AG17"/>
    <mergeCell ref="D18:AG18"/>
  </mergeCells>
  <phoneticPr fontId="8" type="noConversion"/>
  <conditionalFormatting sqref="D13:AG13">
    <cfRule type="cellIs" dxfId="0" priority="1" stopIfTrue="1" operator="greaterThan">
      <formula>0</formula>
    </cfRule>
  </conditionalFormatting>
  <printOptions horizontalCentered="1"/>
  <pageMargins left="0" right="0" top="0.75" bottom="0" header="0" footer="0"/>
  <pageSetup paperSize="8" scale="6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2025-02-03T02:32:44Z</cp:lastPrinted>
  <dcterms:created xsi:type="dcterms:W3CDTF">2006-10-16T02:50:45Z</dcterms:created>
  <dcterms:modified xsi:type="dcterms:W3CDTF">2025-09-30T23:47:32Z</dcterms:modified>
</cp:coreProperties>
</file>