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Januari 2025\"/>
    </mc:Choice>
  </mc:AlternateContent>
  <xr:revisionPtr revIDLastSave="0" documentId="13_ncr:1_{4C7C3168-BB48-4356-9A52-3040A48416C2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C24" i="11" s="1"/>
  <c r="AH10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8" i="11" l="1"/>
</calcChain>
</file>

<file path=xl/sharedStrings.xml><?xml version="1.0" encoding="utf-8"?>
<sst xmlns="http://schemas.openxmlformats.org/spreadsheetml/2006/main" count="57" uniqueCount="24">
  <si>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</si>
  <si>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</si>
  <si>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</si>
  <si>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</si>
  <si>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</si>
  <si>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</si>
  <si>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</si>
  <si>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</si>
  <si>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</si>
  <si>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</si>
  <si>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</si>
  <si>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</si>
  <si>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</si>
  <si>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</si>
  <si>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</si>
  <si>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</si>
  <si>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</si>
  <si>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</si>
  <si>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</si>
  <si>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INTERNET INDOTRUCK UTAMA</t>
  </si>
  <si>
    <t>Link Internet 5 Mbps dedicated</t>
  </si>
  <si>
    <t>Problem DNS Down</t>
  </si>
  <si>
    <t>Power Supply Core Router Fail</t>
  </si>
  <si>
    <t>Link Fiber Optik Metro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</si>
</sst>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5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9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15" fontId="7" fillId="0" borderId="2" xfId="0" applyNumberFormat="1" applyFont="1" applyBorder="1" applyAlignment="1">
      <alignment horizontal="center" vertical="center"/>
    </xf>
    <xf numFmtId="15" fontId="7" fillId="0" borderId="20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7" fillId="0" borderId="22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22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H20" sqref="H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45658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1" t="s">
        <v>2</v>
      </c>
      <c r="B10" s="61" t="s">
        <v>0</v>
      </c>
      <c r="C10" s="61" t="s">
        <v>7</v>
      </c>
      <c r="D10" s="19">
        <f>C7</f>
        <v>45658</v>
      </c>
      <c r="E10" s="19">
        <f>D10+1</f>
        <v>45659</v>
      </c>
      <c r="F10" s="19">
        <f t="shared" ref="F10:AH10" si="0">E10+1</f>
        <v>45660</v>
      </c>
      <c r="G10" s="19">
        <f t="shared" si="0"/>
        <v>45661</v>
      </c>
      <c r="H10" s="19">
        <f t="shared" si="0"/>
        <v>45662</v>
      </c>
      <c r="I10" s="19">
        <f t="shared" si="0"/>
        <v>45663</v>
      </c>
      <c r="J10" s="19">
        <f t="shared" si="0"/>
        <v>45664</v>
      </c>
      <c r="K10" s="19">
        <f t="shared" si="0"/>
        <v>45665</v>
      </c>
      <c r="L10" s="19">
        <f t="shared" si="0"/>
        <v>45666</v>
      </c>
      <c r="M10" s="19">
        <f t="shared" si="0"/>
        <v>45667</v>
      </c>
      <c r="N10" s="19">
        <f t="shared" si="0"/>
        <v>45668</v>
      </c>
      <c r="O10" s="19">
        <f t="shared" si="0"/>
        <v>45669</v>
      </c>
      <c r="P10" s="19">
        <f t="shared" si="0"/>
        <v>45670</v>
      </c>
      <c r="Q10" s="19">
        <f t="shared" si="0"/>
        <v>45671</v>
      </c>
      <c r="R10" s="19">
        <f t="shared" si="0"/>
        <v>45672</v>
      </c>
      <c r="S10" s="19">
        <f t="shared" si="0"/>
        <v>45673</v>
      </c>
      <c r="T10" s="19">
        <f t="shared" si="0"/>
        <v>45674</v>
      </c>
      <c r="U10" s="19">
        <f t="shared" si="0"/>
        <v>45675</v>
      </c>
      <c r="V10" s="19">
        <f t="shared" si="0"/>
        <v>45676</v>
      </c>
      <c r="W10" s="19">
        <f t="shared" si="0"/>
        <v>45677</v>
      </c>
      <c r="X10" s="19">
        <f t="shared" si="0"/>
        <v>45678</v>
      </c>
      <c r="Y10" s="19">
        <f t="shared" si="0"/>
        <v>45679</v>
      </c>
      <c r="Z10" s="19">
        <f t="shared" si="0"/>
        <v>45680</v>
      </c>
      <c r="AA10" s="19">
        <f t="shared" si="0"/>
        <v>45681</v>
      </c>
      <c r="AB10" s="19">
        <f t="shared" si="0"/>
        <v>45682</v>
      </c>
      <c r="AC10" s="19">
        <f t="shared" si="0"/>
        <v>45683</v>
      </c>
      <c r="AD10" s="19">
        <f t="shared" si="0"/>
        <v>45684</v>
      </c>
      <c r="AE10" s="19">
        <f t="shared" si="0"/>
        <v>45685</v>
      </c>
      <c r="AF10" s="19">
        <f t="shared" si="0"/>
        <v>45686</v>
      </c>
      <c r="AG10" s="19">
        <f t="shared" si="0"/>
        <v>45687</v>
      </c>
      <c r="AH10" s="58">
        <f t="shared" si="0"/>
        <v>45688</v>
      </c>
    </row>
    <row r="11" spans="1:34" s="1" customFormat="1" x14ac:dyDescent="0.2">
      <c r="A11" s="62"/>
      <c r="B11" s="62"/>
      <c r="C11" s="62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40" t="s">
        <v>18</v>
      </c>
      <c r="D13" s="41">
        <v>0.10902777777777778</v>
      </c>
      <c r="E13" s="41">
        <v>0</v>
      </c>
      <c r="F13" s="41">
        <v>7.7083333333333337E-2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0.11458333333333333</v>
      </c>
      <c r="N13" s="41">
        <v>6.805555555555555E-2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55">
        <v>0</v>
      </c>
      <c r="AH13" s="41">
        <v>0</v>
      </c>
    </row>
    <row r="14" spans="1:34" s="14" customFormat="1" ht="24" customHeight="1" x14ac:dyDescent="0.2">
      <c r="A14" s="65" t="s">
        <v>15</v>
      </c>
      <c r="B14" s="66"/>
      <c r="C14" s="56">
        <v>45658</v>
      </c>
      <c r="D14" s="69" t="s">
        <v>21</v>
      </c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1"/>
    </row>
    <row r="15" spans="1:34" s="14" customFormat="1" ht="24" customHeight="1" x14ac:dyDescent="0.2">
      <c r="A15" s="67"/>
      <c r="B15" s="68"/>
      <c r="C15" s="52">
        <v>45660</v>
      </c>
      <c r="D15" s="69" t="s">
        <v>22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1"/>
    </row>
    <row r="16" spans="1:34" s="14" customFormat="1" ht="24" customHeight="1" x14ac:dyDescent="0.2">
      <c r="A16" s="67"/>
      <c r="B16" s="68"/>
      <c r="C16" s="52">
        <v>45667</v>
      </c>
      <c r="D16" s="69" t="s">
        <v>23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1"/>
    </row>
    <row r="17" spans="1:34" s="14" customFormat="1" ht="24" customHeight="1" x14ac:dyDescent="0.2">
      <c r="A17" s="67"/>
      <c r="B17" s="68"/>
      <c r="C17" s="57">
        <v>45668</v>
      </c>
      <c r="D17" s="69" t="s">
        <v>23</v>
      </c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1"/>
    </row>
    <row r="18" spans="1:34" s="14" customFormat="1" ht="24" customHeight="1" x14ac:dyDescent="0.2">
      <c r="A18" s="47"/>
      <c r="B18" s="47"/>
      <c r="C18" s="48"/>
      <c r="D18" s="72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4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4" t="s">
        <v>2</v>
      </c>
      <c r="B22" s="64" t="s">
        <v>8</v>
      </c>
      <c r="C22" s="64" t="s">
        <v>1</v>
      </c>
      <c r="D22" s="63" t="s">
        <v>6</v>
      </c>
      <c r="E22" s="63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49"/>
      <c r="R22" s="49"/>
      <c r="S22" s="49"/>
      <c r="T22" s="49"/>
      <c r="U22" s="59"/>
      <c r="V22" s="59"/>
      <c r="W22" s="59"/>
      <c r="X22" s="59"/>
      <c r="Y22" s="59"/>
      <c r="Z22" s="59"/>
      <c r="AA22" s="59"/>
      <c r="AB22" s="59"/>
      <c r="AC22" s="31"/>
    </row>
    <row r="23" spans="1:34" s="14" customFormat="1" ht="18" x14ac:dyDescent="0.25">
      <c r="A23" s="64"/>
      <c r="B23" s="64"/>
      <c r="C23" s="64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/>
      <c r="AB23"/>
      <c r="AC23" s="31"/>
    </row>
    <row r="24" spans="1:34" s="17" customFormat="1" ht="18" x14ac:dyDescent="0.25">
      <c r="A24" s="37">
        <v>1</v>
      </c>
      <c r="B24" s="38" t="s">
        <v>20</v>
      </c>
      <c r="C24" s="32">
        <f>1-(((D24*3600)+(LEFT(E24,2)*60)+RIGHT(E24,2))/((60*60*24)*$C$8))</f>
        <v>0.98810483870967747</v>
      </c>
      <c r="D24" s="22" t="str">
        <f>TEXT(SUM(D13:AH13),"[h]")</f>
        <v>8</v>
      </c>
      <c r="E24" s="22" t="str">
        <f>TEXT(SUM(D13:AH13),"mm ss")</f>
        <v>51 00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0.98810483870967747</v>
      </c>
      <c r="G28" s="30"/>
      <c r="H28" s="30"/>
      <c r="I28" s="49"/>
      <c r="J28" s="60"/>
      <c r="K28" s="60"/>
      <c r="L28" s="60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60"/>
      <c r="X28" s="60"/>
      <c r="Y28" s="60"/>
      <c r="Z28" s="49"/>
    </row>
    <row r="29" spans="1:34" ht="18" x14ac:dyDescent="0.25">
      <c r="G29" s="30"/>
      <c r="H29" s="30"/>
      <c r="I29" s="49"/>
      <c r="J29" s="59"/>
      <c r="K29" s="59"/>
      <c r="L29" s="5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59"/>
      <c r="X29" s="59"/>
      <c r="Y29" s="59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L13 O13:AH13">
    <cfRule type="cellIs" dxfId="1" priority="2" stopIfTrue="1" operator="greaterThan">
      <formula>0</formula>
    </cfRule>
  </conditionalFormatting>
  <conditionalFormatting sqref="M13:N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2025-02-03T00:49:53Z</dcterms:modified>
</cp:coreProperties>
</file>