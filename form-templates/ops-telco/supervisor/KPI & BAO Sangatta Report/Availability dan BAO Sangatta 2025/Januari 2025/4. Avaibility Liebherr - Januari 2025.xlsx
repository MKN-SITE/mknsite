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Januari 2025\"/>
    </mc:Choice>
  </mc:AlternateContent>
  <xr:revisionPtr revIDLastSave="0" documentId="13_ncr:1_{74947DD4-BF23-41B8-9312-B7722C609DE0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<sst xmlns="http://schemas.openxmlformats.org/spreadsheetml/2006/main" count="56" uniqueCount="23">
  <si>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</si>
  <si>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</si>
  <si>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</si>
  <si>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</si>
  <si>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</si>
  <si>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</si>
  <si>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</si>
  <si>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</si>
  <si>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</si>
  <si>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</si>
  <si>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</si>
  <si>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</si>
  <si>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</si>
  <si>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</si>
  <si>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</si>
  <si>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</si>
  <si>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</si>
  <si>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</si>
  <si>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</si>
  <si>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</si>
  <si>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Problem DNS Down</t>
  </si>
  <si>
    <t>Power Supply Core Router Fail</t>
  </si>
  <si>
    <t>Link Fiber Optik Metro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</si>
</sst>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15" fontId="8" fillId="0" borderId="2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M13" sqref="M13:N1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0" t="s">
        <v>2</v>
      </c>
      <c r="B10" s="60" t="s">
        <v>0</v>
      </c>
      <c r="C10" s="60" t="s">
        <v>7</v>
      </c>
      <c r="D10" s="56">
        <f>C7</f>
        <v>45658</v>
      </c>
      <c r="E10" s="56">
        <f>D10+1</f>
        <v>45659</v>
      </c>
      <c r="F10" s="56">
        <f t="shared" ref="F10:AH10" si="0">E10+1</f>
        <v>45660</v>
      </c>
      <c r="G10" s="56">
        <f t="shared" si="0"/>
        <v>45661</v>
      </c>
      <c r="H10" s="56">
        <f t="shared" si="0"/>
        <v>45662</v>
      </c>
      <c r="I10" s="56">
        <f t="shared" si="0"/>
        <v>45663</v>
      </c>
      <c r="J10" s="56">
        <f t="shared" si="0"/>
        <v>45664</v>
      </c>
      <c r="K10" s="56">
        <f t="shared" si="0"/>
        <v>45665</v>
      </c>
      <c r="L10" s="56">
        <f t="shared" si="0"/>
        <v>45666</v>
      </c>
      <c r="M10" s="56">
        <f t="shared" si="0"/>
        <v>45667</v>
      </c>
      <c r="N10" s="56">
        <f t="shared" si="0"/>
        <v>45668</v>
      </c>
      <c r="O10" s="56">
        <f t="shared" si="0"/>
        <v>45669</v>
      </c>
      <c r="P10" s="56">
        <f t="shared" si="0"/>
        <v>45670</v>
      </c>
      <c r="Q10" s="56">
        <f t="shared" si="0"/>
        <v>45671</v>
      </c>
      <c r="R10" s="56">
        <f t="shared" si="0"/>
        <v>45672</v>
      </c>
      <c r="S10" s="56">
        <f t="shared" si="0"/>
        <v>45673</v>
      </c>
      <c r="T10" s="56">
        <f t="shared" si="0"/>
        <v>45674</v>
      </c>
      <c r="U10" s="56">
        <f t="shared" si="0"/>
        <v>45675</v>
      </c>
      <c r="V10" s="56">
        <f t="shared" si="0"/>
        <v>45676</v>
      </c>
      <c r="W10" s="56">
        <f t="shared" si="0"/>
        <v>45677</v>
      </c>
      <c r="X10" s="56">
        <f t="shared" si="0"/>
        <v>45678</v>
      </c>
      <c r="Y10" s="56">
        <f t="shared" si="0"/>
        <v>45679</v>
      </c>
      <c r="Z10" s="56">
        <f t="shared" si="0"/>
        <v>45680</v>
      </c>
      <c r="AA10" s="56">
        <f t="shared" si="0"/>
        <v>45681</v>
      </c>
      <c r="AB10" s="56">
        <f t="shared" si="0"/>
        <v>45682</v>
      </c>
      <c r="AC10" s="56">
        <f t="shared" si="0"/>
        <v>45683</v>
      </c>
      <c r="AD10" s="56">
        <f t="shared" si="0"/>
        <v>45684</v>
      </c>
      <c r="AE10" s="56">
        <f t="shared" si="0"/>
        <v>45685</v>
      </c>
      <c r="AF10" s="56">
        <f t="shared" si="0"/>
        <v>45686</v>
      </c>
      <c r="AG10" s="56">
        <f t="shared" si="0"/>
        <v>45687</v>
      </c>
      <c r="AH10" s="58">
        <f t="shared" si="0"/>
        <v>45688</v>
      </c>
    </row>
    <row r="11" spans="1:34" s="1" customFormat="1" x14ac:dyDescent="0.2">
      <c r="A11" s="61"/>
      <c r="B11" s="61"/>
      <c r="C11" s="61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0.10902777777777778</v>
      </c>
      <c r="E13" s="43">
        <v>0</v>
      </c>
      <c r="F13" s="43">
        <v>7.7083333333333337E-2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0.11458333333333333</v>
      </c>
      <c r="N13" s="43">
        <v>6.805555555555555E-2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64" t="s">
        <v>19</v>
      </c>
      <c r="B14" s="65"/>
      <c r="C14" s="55">
        <v>45658</v>
      </c>
      <c r="D14" s="68" t="s">
        <v>20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</row>
    <row r="15" spans="1:34" s="14" customFormat="1" ht="24" customHeight="1" x14ac:dyDescent="0.2">
      <c r="A15" s="66"/>
      <c r="B15" s="67"/>
      <c r="C15" s="55">
        <v>45660</v>
      </c>
      <c r="D15" s="68" t="s">
        <v>21</v>
      </c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</row>
    <row r="16" spans="1:34" s="14" customFormat="1" ht="24" customHeight="1" x14ac:dyDescent="0.2">
      <c r="A16" s="66"/>
      <c r="B16" s="67"/>
      <c r="C16" s="57">
        <v>45667</v>
      </c>
      <c r="D16" s="68" t="s">
        <v>22</v>
      </c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</row>
    <row r="17" spans="1:35" s="14" customFormat="1" ht="24" customHeight="1" x14ac:dyDescent="0.2">
      <c r="A17" s="66"/>
      <c r="B17" s="67"/>
      <c r="C17" s="70">
        <v>45668</v>
      </c>
      <c r="D17" s="68" t="s">
        <v>22</v>
      </c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</row>
    <row r="18" spans="1:35" s="14" customFormat="1" ht="24" customHeight="1" x14ac:dyDescent="0.2">
      <c r="A18" s="52"/>
      <c r="B18" s="52"/>
      <c r="C18" s="53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x14ac:dyDescent="0.2">
      <c r="A20" s="15"/>
      <c r="D20" s="16"/>
      <c r="E20" s="15"/>
      <c r="I20" s="26"/>
    </row>
    <row r="21" spans="1:35" s="14" customFormat="1" x14ac:dyDescent="0.2">
      <c r="A21" s="25" t="s">
        <v>11</v>
      </c>
      <c r="D21" s="16"/>
      <c r="E21" s="15"/>
      <c r="AF21" s="32"/>
    </row>
    <row r="22" spans="1:35" s="14" customFormat="1" x14ac:dyDescent="0.2">
      <c r="A22" s="63" t="s">
        <v>2</v>
      </c>
      <c r="B22" s="63" t="s">
        <v>8</v>
      </c>
      <c r="C22" s="63" t="s">
        <v>1</v>
      </c>
      <c r="D22" s="62" t="s">
        <v>6</v>
      </c>
      <c r="E22" s="62"/>
      <c r="AF22" s="32"/>
    </row>
    <row r="23" spans="1:35" s="14" customFormat="1" x14ac:dyDescent="0.2">
      <c r="A23" s="63"/>
      <c r="B23" s="63"/>
      <c r="C23" s="63"/>
      <c r="D23" s="28" t="s">
        <v>9</v>
      </c>
      <c r="E23" s="24" t="s">
        <v>10</v>
      </c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0.98810483870967747</v>
      </c>
      <c r="D24" s="22" t="str">
        <f>TEXT(SUM(D13:AH13),"[h]")</f>
        <v>8</v>
      </c>
      <c r="E24" s="22" t="str">
        <f>TEXT(SUM(D13:AH13),"mm ss")</f>
        <v>51 00</v>
      </c>
      <c r="F24" s="14"/>
      <c r="G24" s="14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x14ac:dyDescent="0.2">
      <c r="A25" s="15"/>
      <c r="B25" s="14"/>
      <c r="C25" s="27"/>
      <c r="D25" s="15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x14ac:dyDescent="0.2">
      <c r="A26" s="15"/>
      <c r="B26" s="14"/>
      <c r="C26" s="14"/>
      <c r="D26" s="16"/>
      <c r="E26" s="15"/>
      <c r="F26" s="14"/>
      <c r="G26" s="54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x14ac:dyDescent="0.2">
      <c r="A27" s="15"/>
      <c r="B27" s="26" t="s">
        <v>17</v>
      </c>
      <c r="C27" s="21"/>
      <c r="D27" s="20"/>
      <c r="E27" s="20"/>
      <c r="F27" s="20"/>
      <c r="G27" s="20"/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x14ac:dyDescent="0.2">
      <c r="B28" s="14" t="s">
        <v>18</v>
      </c>
      <c r="C28" s="28">
        <f>C24</f>
        <v>0.98810483870967747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L13 O13:AH13">
    <cfRule type="cellIs" dxfId="1" priority="2" stopIfTrue="1" operator="greaterThan">
      <formula>0</formula>
    </cfRule>
  </conditionalFormatting>
  <conditionalFormatting sqref="M13:N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2025-02-03T01:04:49Z</dcterms:modified>
</cp:coreProperties>
</file>