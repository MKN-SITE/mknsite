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Maret 2025\"/>
    </mc:Choice>
  </mc:AlternateContent>
  <xr:revisionPtr revIDLastSave="0" documentId="13_ncr:1_{E7B10DAD-D907-4E2A-88AF-1B65C5EAD1F5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1" l="1"/>
  <c r="D25" i="11"/>
  <c r="C25" i="11" s="1"/>
  <c r="C3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<sst xmlns="http://schemas.openxmlformats.org/spreadsheetml/2006/main" count="58" uniqueCount="25">
  <si>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</si>
  <si>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</si>
  <si>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</si>
  <si>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</si>
  <si>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</si>
  <si>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</si>
  <si>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</si>
  <si>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</si>
  <si>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</si>
  <si>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</si>
  <si>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</si>
  <si>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</si>
  <si>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</si>
  <si>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</si>
  <si>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</si>
  <si>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</si>
  <si>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</si>
  <si>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</si>
  <si>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</si>
  <si>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</si>
  <si>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</si>
  <si>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</si>
  <si>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</si>
  <si>
    <t>GS 04 Problem Filter Fuel, GS 03 Aki Drop</t>
  </si>
  <si>
    <t>13 Maret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</si>
</sst>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16" sqref="C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45717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4" t="s">
        <v>2</v>
      </c>
      <c r="B10" s="66" t="s">
        <v>0</v>
      </c>
      <c r="C10" s="66" t="s">
        <v>8</v>
      </c>
      <c r="D10" s="62">
        <f>C7</f>
        <v>45717</v>
      </c>
      <c r="E10" s="62">
        <f>D10+1</f>
        <v>45718</v>
      </c>
      <c r="F10" s="62">
        <f t="shared" ref="F10:AH10" si="0">E10+1</f>
        <v>45719</v>
      </c>
      <c r="G10" s="62">
        <f t="shared" si="0"/>
        <v>45720</v>
      </c>
      <c r="H10" s="62">
        <f t="shared" si="0"/>
        <v>45721</v>
      </c>
      <c r="I10" s="62">
        <f t="shared" si="0"/>
        <v>45722</v>
      </c>
      <c r="J10" s="62">
        <f t="shared" si="0"/>
        <v>45723</v>
      </c>
      <c r="K10" s="62">
        <f t="shared" si="0"/>
        <v>45724</v>
      </c>
      <c r="L10" s="62">
        <f t="shared" si="0"/>
        <v>45725</v>
      </c>
      <c r="M10" s="62">
        <f t="shared" si="0"/>
        <v>45726</v>
      </c>
      <c r="N10" s="62">
        <f t="shared" si="0"/>
        <v>45727</v>
      </c>
      <c r="O10" s="62">
        <f t="shared" si="0"/>
        <v>45728</v>
      </c>
      <c r="P10" s="62">
        <f t="shared" si="0"/>
        <v>45729</v>
      </c>
      <c r="Q10" s="62">
        <f t="shared" si="0"/>
        <v>45730</v>
      </c>
      <c r="R10" s="62">
        <f t="shared" si="0"/>
        <v>45731</v>
      </c>
      <c r="S10" s="62">
        <f t="shared" si="0"/>
        <v>45732</v>
      </c>
      <c r="T10" s="62">
        <f t="shared" si="0"/>
        <v>45733</v>
      </c>
      <c r="U10" s="62">
        <f t="shared" si="0"/>
        <v>45734</v>
      </c>
      <c r="V10" s="62">
        <f t="shared" si="0"/>
        <v>45735</v>
      </c>
      <c r="W10" s="62">
        <f t="shared" si="0"/>
        <v>45736</v>
      </c>
      <c r="X10" s="62">
        <f t="shared" si="0"/>
        <v>45737</v>
      </c>
      <c r="Y10" s="62">
        <f t="shared" si="0"/>
        <v>45738</v>
      </c>
      <c r="Z10" s="62">
        <f t="shared" si="0"/>
        <v>45739</v>
      </c>
      <c r="AA10" s="62">
        <f t="shared" si="0"/>
        <v>45740</v>
      </c>
      <c r="AB10" s="62">
        <f t="shared" si="0"/>
        <v>45741</v>
      </c>
      <c r="AC10" s="62">
        <f t="shared" si="0"/>
        <v>45742</v>
      </c>
      <c r="AD10" s="62">
        <f t="shared" si="0"/>
        <v>45743</v>
      </c>
      <c r="AE10" s="62">
        <f t="shared" si="0"/>
        <v>45744</v>
      </c>
      <c r="AF10" s="62">
        <f t="shared" si="0"/>
        <v>45745</v>
      </c>
      <c r="AG10" s="62">
        <f t="shared" si="0"/>
        <v>45746</v>
      </c>
      <c r="AH10" s="63">
        <f t="shared" si="0"/>
        <v>45747</v>
      </c>
    </row>
    <row r="11" spans="1:34" s="1" customFormat="1" x14ac:dyDescent="0.2">
      <c r="A11" s="65"/>
      <c r="B11" s="67"/>
      <c r="C11" s="67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4.4444444444444446E-2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</row>
    <row r="15" spans="1:34" s="11" customFormat="1" ht="24.95" customHeight="1" x14ac:dyDescent="0.2">
      <c r="A15" s="72" t="s">
        <v>16</v>
      </c>
      <c r="B15" s="70" t="s">
        <v>19</v>
      </c>
      <c r="C15" s="49" t="s">
        <v>24</v>
      </c>
      <c r="D15" s="74" t="s">
        <v>23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1:34" s="11" customFormat="1" ht="24.95" customHeight="1" x14ac:dyDescent="0.2">
      <c r="A16" s="72"/>
      <c r="B16" s="70"/>
      <c r="C16" s="49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4" s="11" customFormat="1" ht="24.95" customHeight="1" x14ac:dyDescent="0.2">
      <c r="A17" s="72"/>
      <c r="B17" s="70"/>
      <c r="C17" s="50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pans="1:34" s="11" customFormat="1" ht="24.95" customHeight="1" x14ac:dyDescent="0.2">
      <c r="A18" s="73"/>
      <c r="B18" s="71"/>
      <c r="C18" s="50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68" t="s">
        <v>2</v>
      </c>
      <c r="B23" s="68" t="s">
        <v>9</v>
      </c>
      <c r="C23" s="68" t="s">
        <v>1</v>
      </c>
      <c r="D23" s="77" t="s">
        <v>7</v>
      </c>
      <c r="E23" s="78"/>
      <c r="AB23" s="26"/>
    </row>
    <row r="24" spans="1:34" s="11" customFormat="1" x14ac:dyDescent="0.2">
      <c r="A24" s="69"/>
      <c r="B24" s="69"/>
      <c r="C24" s="69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0.99856630824372761</v>
      </c>
      <c r="D25" s="16" t="str">
        <f>TEXT(SUM(D13:AH13),"[h]")</f>
        <v>1</v>
      </c>
      <c r="E25" s="16" t="str">
        <f>TEXT(SUM(E13:AH13),"mm ss")</f>
        <v>04 00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0.99856630824372761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44"/>
    </row>
    <row r="34" spans="1:34" x14ac:dyDescent="0.2">
      <c r="A34" s="45"/>
      <c r="B34" s="51"/>
      <c r="E34" s="75"/>
      <c r="F34" s="75"/>
      <c r="G34" s="75"/>
      <c r="H34" s="75"/>
      <c r="I34" s="75"/>
      <c r="J34" s="75"/>
      <c r="K34" s="75"/>
      <c r="L34" s="75"/>
      <c r="M34" s="75"/>
      <c r="N34" s="7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D16:AH16"/>
    <mergeCell ref="D17:AH17"/>
    <mergeCell ref="D18:AH18"/>
    <mergeCell ref="E33:N34"/>
    <mergeCell ref="D14:AG14"/>
    <mergeCell ref="D23:E23"/>
    <mergeCell ref="D15:AH15"/>
    <mergeCell ref="A10:A11"/>
    <mergeCell ref="B10:B11"/>
    <mergeCell ref="C10:C11"/>
    <mergeCell ref="A23:A24"/>
    <mergeCell ref="B23:B24"/>
    <mergeCell ref="C23:C24"/>
    <mergeCell ref="B15:B18"/>
    <mergeCell ref="A15:A18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2025-03-18T02:10:15Z</dcterms:modified>
</cp:coreProperties>
</file>