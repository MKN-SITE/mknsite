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Master\"/>
    </mc:Choice>
  </mc:AlternateContent>
  <xr:revisionPtr revIDLastSave="0" documentId="13_ncr:1_{842C7EE7-18D7-4DAE-8D71-6520EE1C1626}" xr6:coauthVersionLast="47" xr6:coauthVersionMax="47" xr10:uidLastSave="{00000000-0000-0000-0000-000000000000}"/>
  <bookViews>
    <workbookView xWindow="-120" yWindow="-120" windowWidth="19440" windowHeight="1488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E24" i="11" l="1"/>
  <c r="C24" i="11" s="1"/>
  <c r="C28" i="11" s="1"/>
  <c r="B24" i="11" l="1"/>
</calcChain>
</file>

<file path=xl/sharedStrings.xml><?xml version="1.0" encoding="utf-8"?>
<sst xmlns="http://schemas.openxmlformats.org/spreadsheetml/2006/main" count="56" uniqueCount="24">
  <si>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</si>
  <si>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</si>
  <si>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</si>
  <si>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</si>
  <si>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</si>
  <si>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</si>
  <si>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</si>
  <si>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</si>
  <si>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</si>
  <si>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</si>
  <si>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</si>
  <si>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</si>
  <si>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</si>
  <si>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</si>
  <si>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</si>
  <si>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</si>
  <si>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</si>
  <si>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</si>
  <si>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</si>
  <si>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</si>
  <si>
    <t xml:space="preserve">16 Mei </t>
  </si>
  <si>
    <t>Problem Power Switch Metro</t>
  </si>
  <si>
    <t>24 Mei</t>
  </si>
  <si>
    <t>TBTS Lignite Problem MCB Trip Karena Petir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</si>
</sst>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2" applyNumberFormat="0" applyAlignment="0" applyProtection="0"/>
    <xf numFmtId="0" fontId="44" fillId="52" borderId="23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2" applyNumberFormat="0" applyAlignment="0" applyProtection="0"/>
    <xf numFmtId="0" fontId="51" fillId="0" borderId="27" applyNumberFormat="0" applyFill="0" applyAlignment="0" applyProtection="0"/>
    <xf numFmtId="0" fontId="52" fillId="53" borderId="0" applyNumberFormat="0" applyBorder="0" applyAlignment="0" applyProtection="0"/>
    <xf numFmtId="0" fontId="6" fillId="54" borderId="28" applyNumberFormat="0" applyAlignment="0" applyProtection="0"/>
    <xf numFmtId="0" fontId="53" fillId="51" borderId="29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30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</cellStyleXfs>
  <cellXfs count="85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5" fontId="7" fillId="0" borderId="19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33" fillId="0" borderId="4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0" fontId="7" fillId="0" borderId="35" xfId="0" applyNumberFormat="1" applyFont="1" applyBorder="1" applyAlignment="1">
      <alignment horizontal="left" vertical="center"/>
    </xf>
    <xf numFmtId="10" fontId="7" fillId="0" borderId="36" xfId="0" applyNumberFormat="1" applyFont="1" applyBorder="1" applyAlignment="1">
      <alignment horizontal="left" vertical="center"/>
    </xf>
    <xf numFmtId="10" fontId="7" fillId="0" borderId="37" xfId="0" applyNumberFormat="1" applyFont="1" applyBorder="1" applyAlignment="1">
      <alignment horizontal="left" vertic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C16" sqref="C1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62" t="s">
        <v>16</v>
      </c>
      <c r="B4" s="62"/>
      <c r="C4" s="65"/>
      <c r="D4" s="63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46143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8" t="s">
        <v>2</v>
      </c>
      <c r="B10" s="68" t="s">
        <v>0</v>
      </c>
      <c r="C10" s="68" t="s">
        <v>7</v>
      </c>
      <c r="D10" s="19">
        <f>C7</f>
        <v>46143</v>
      </c>
      <c r="E10" s="19">
        <f>D10+1</f>
        <v>46144</v>
      </c>
      <c r="F10" s="19">
        <f t="shared" ref="F10:AH10" si="0">E10+1</f>
        <v>46145</v>
      </c>
      <c r="G10" s="19">
        <f t="shared" si="0"/>
        <v>46146</v>
      </c>
      <c r="H10" s="19">
        <f t="shared" si="0"/>
        <v>46147</v>
      </c>
      <c r="I10" s="19">
        <f t="shared" si="0"/>
        <v>46148</v>
      </c>
      <c r="J10" s="19">
        <f t="shared" si="0"/>
        <v>46149</v>
      </c>
      <c r="K10" s="19">
        <f t="shared" si="0"/>
        <v>46150</v>
      </c>
      <c r="L10" s="19">
        <f t="shared" si="0"/>
        <v>46151</v>
      </c>
      <c r="M10" s="19">
        <f t="shared" si="0"/>
        <v>46152</v>
      </c>
      <c r="N10" s="19">
        <f t="shared" si="0"/>
        <v>46153</v>
      </c>
      <c r="O10" s="19">
        <f t="shared" si="0"/>
        <v>46154</v>
      </c>
      <c r="P10" s="19">
        <f t="shared" si="0"/>
        <v>46155</v>
      </c>
      <c r="Q10" s="19">
        <f t="shared" si="0"/>
        <v>46156</v>
      </c>
      <c r="R10" s="19">
        <f t="shared" si="0"/>
        <v>46157</v>
      </c>
      <c r="S10" s="19">
        <f t="shared" si="0"/>
        <v>46158</v>
      </c>
      <c r="T10" s="19">
        <f t="shared" si="0"/>
        <v>46159</v>
      </c>
      <c r="U10" s="19">
        <f t="shared" si="0"/>
        <v>46160</v>
      </c>
      <c r="V10" s="19">
        <f t="shared" si="0"/>
        <v>46161</v>
      </c>
      <c r="W10" s="19">
        <f t="shared" si="0"/>
        <v>46162</v>
      </c>
      <c r="X10" s="19">
        <f t="shared" si="0"/>
        <v>46163</v>
      </c>
      <c r="Y10" s="19">
        <f t="shared" si="0"/>
        <v>46164</v>
      </c>
      <c r="Z10" s="19">
        <f t="shared" si="0"/>
        <v>46165</v>
      </c>
      <c r="AA10" s="19">
        <f t="shared" si="0"/>
        <v>46166</v>
      </c>
      <c r="AB10" s="19">
        <f t="shared" si="0"/>
        <v>46167</v>
      </c>
      <c r="AC10" s="19">
        <f t="shared" si="0"/>
        <v>46168</v>
      </c>
      <c r="AD10" s="19">
        <f t="shared" si="0"/>
        <v>46169</v>
      </c>
      <c r="AE10" s="19">
        <f t="shared" si="0"/>
        <v>46170</v>
      </c>
      <c r="AF10" s="19">
        <f t="shared" si="0"/>
        <v>46171</v>
      </c>
      <c r="AG10" s="19">
        <f t="shared" si="0"/>
        <v>46172</v>
      </c>
      <c r="AH10" s="56">
        <f t="shared" si="0"/>
        <v>46173</v>
      </c>
    </row>
    <row r="11" spans="1:34" s="1" customFormat="1" x14ac:dyDescent="0.2">
      <c r="A11" s="69"/>
      <c r="B11" s="69"/>
      <c r="C11" s="69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4" t="s">
        <v>6</v>
      </c>
      <c r="AH11" s="12" t="s">
        <v>6</v>
      </c>
    </row>
    <row r="12" spans="1:34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3"/>
      <c r="AH12" s="50"/>
    </row>
    <row r="13" spans="1:34" s="42" customFormat="1" ht="39.950000000000003" customHeight="1" x14ac:dyDescent="0.2">
      <c r="A13" s="39">
        <v>1</v>
      </c>
      <c r="B13" s="40" t="s">
        <v>17</v>
      </c>
      <c r="C13" s="60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0.24652777777777779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9.7916666666666666E-2</v>
      </c>
      <c r="AB13" s="43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</row>
    <row r="14" spans="1:34" s="14" customFormat="1" ht="24" customHeight="1" x14ac:dyDescent="0.2">
      <c r="A14" s="72" t="s">
        <v>15</v>
      </c>
      <c r="B14" s="73"/>
      <c r="C14" s="57" t="s">
        <v>20</v>
      </c>
      <c r="D14" s="82" t="s">
        <v>21</v>
      </c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4"/>
    </row>
    <row r="15" spans="1:34" s="14" customFormat="1" ht="24" customHeight="1" x14ac:dyDescent="0.2">
      <c r="A15" s="74"/>
      <c r="B15" s="75"/>
      <c r="C15" s="57" t="s">
        <v>22</v>
      </c>
      <c r="D15" s="82" t="s">
        <v>23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4"/>
    </row>
    <row r="16" spans="1:34" s="14" customFormat="1" ht="24" customHeight="1" x14ac:dyDescent="0.2">
      <c r="A16" s="74"/>
      <c r="B16" s="75"/>
      <c r="C16" s="52"/>
      <c r="D16" s="76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8"/>
    </row>
    <row r="17" spans="1:34" s="14" customFormat="1" ht="24" customHeight="1" x14ac:dyDescent="0.2">
      <c r="A17" s="74"/>
      <c r="B17" s="75"/>
      <c r="C17" s="55"/>
      <c r="D17" s="76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8"/>
    </row>
    <row r="18" spans="1:34" s="14" customFormat="1" ht="24" customHeight="1" x14ac:dyDescent="0.2">
      <c r="A18" s="47"/>
      <c r="B18" s="47"/>
      <c r="C18" s="48"/>
      <c r="D18" s="79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1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71" t="s">
        <v>2</v>
      </c>
      <c r="B22" s="71" t="s">
        <v>8</v>
      </c>
      <c r="C22" s="71" t="s">
        <v>1</v>
      </c>
      <c r="D22" s="70" t="s">
        <v>6</v>
      </c>
      <c r="E22" s="70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49"/>
      <c r="R22" s="49"/>
      <c r="S22" s="49"/>
      <c r="T22" s="49"/>
      <c r="U22" s="66"/>
      <c r="V22" s="66"/>
      <c r="W22" s="66"/>
      <c r="X22" s="66"/>
      <c r="Y22" s="66"/>
      <c r="Z22" s="66"/>
      <c r="AA22" s="66"/>
      <c r="AB22" s="66"/>
      <c r="AC22" s="31"/>
    </row>
    <row r="23" spans="1:34" s="14" customFormat="1" ht="18" x14ac:dyDescent="0.25">
      <c r="A23" s="71"/>
      <c r="B23" s="71"/>
      <c r="C23" s="71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9"/>
      <c r="AB23"/>
      <c r="AC23" s="31"/>
    </row>
    <row r="24" spans="1:34" s="17" customFormat="1" ht="18" x14ac:dyDescent="0.25">
      <c r="A24" s="37">
        <v>1</v>
      </c>
      <c r="B24" s="38" t="str">
        <f>B13</f>
        <v>Link Internet 10 Mbps dedicated</v>
      </c>
      <c r="C24" s="32">
        <f>1-(((D24*3600)+(LEFT(E24,2)*60)+RIGHT(E24,2))/((60*60*24)*$C$8))</f>
        <v>0.98888888888888893</v>
      </c>
      <c r="D24" s="22" t="str">
        <f>TEXT(SUM(D13:AH13),"[h]")</f>
        <v>8</v>
      </c>
      <c r="E24" s="22" t="str">
        <f>TEXT(SUM(D13:AH13),"mm ss")</f>
        <v>16 00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9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8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0.98888888888888893</v>
      </c>
      <c r="G28" s="30"/>
      <c r="H28" s="30"/>
      <c r="I28" s="49"/>
      <c r="J28" s="67"/>
      <c r="K28" s="67"/>
      <c r="L28" s="67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67"/>
      <c r="X28" s="67"/>
      <c r="Y28" s="67"/>
      <c r="Z28" s="49"/>
    </row>
    <row r="29" spans="1:34" ht="18" x14ac:dyDescent="0.25">
      <c r="G29" s="30"/>
      <c r="H29" s="30"/>
      <c r="I29" s="49"/>
      <c r="J29" s="66"/>
      <c r="K29" s="66"/>
      <c r="L29" s="66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66"/>
      <c r="X29" s="66"/>
      <c r="Y29" s="66"/>
      <c r="Z29" s="49"/>
    </row>
    <row r="30" spans="1:34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  <mergeCell ref="J29:L29"/>
    <mergeCell ref="W29:Y29"/>
    <mergeCell ref="G22:P22"/>
    <mergeCell ref="U22:AB22"/>
    <mergeCell ref="J28:L28"/>
    <mergeCell ref="W28:Y28"/>
  </mergeCells>
  <phoneticPr fontId="8" type="noConversion"/>
  <conditionalFormatting sqref="D13:R13 T13:AH13">
    <cfRule type="cellIs" dxfId="2" priority="4" stopIfTrue="1" operator="greaterThan">
      <formula>0</formula>
    </cfRule>
  </conditionalFormatting>
  <conditionalFormatting sqref="AA23:AA24">
    <cfRule type="cellIs" dxfId="1" priority="2" stopIfTrue="1" operator="greaterThan">
      <formula>0</formula>
    </cfRule>
  </conditionalFormatting>
  <conditionalFormatting sqref="S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2024-07-02T01:52:08Z</cp:lastPrinted>
  <dcterms:created xsi:type="dcterms:W3CDTF">2006-10-16T02:50:45Z</dcterms:created>
  <dcterms:modified xsi:type="dcterms:W3CDTF">2026-06-02T03:07:06Z</dcterms:modified>
</cp:coreProperties>
</file>