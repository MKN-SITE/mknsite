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Maret 2026\"/>
    </mc:Choice>
  </mc:AlternateContent>
  <xr:revisionPtr revIDLastSave="0" documentId="13_ncr:1_{7F22FC69-34D4-4F56-9E13-54DB0670E0EA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43" i="11" l="1"/>
  <c r="C63" i="11" s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</calcChain>
</file>

<file path=xl/sharedStrings.xml><?xml version="1.0" encoding="utf-8"?>
<sst xmlns="http://schemas.openxmlformats.org/spreadsheetml/2006/main" count="116" uniqueCount="54">
  <si>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</si>
  <si>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</si>
  <si>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</si>
  <si>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</si>
  <si>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</si>
  <si>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</si>
  <si>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</si>
  <si>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</si>
  <si>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</si>
  <si>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</si>
  <si>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</si>
  <si>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</si>
  <si>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</si>
  <si>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</si>
  <si>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</si>
  <si>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</si>
  <si>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</si>
  <si>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</si>
  <si>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</si>
  <si>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</si>
  <si>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</si>
  <si>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</si>
  <si>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</si>
  <si>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</si>
  <si>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</si>
  <si>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</si>
  <si>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</si>
  <si>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</si>
  <si>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</si>
  <si>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</si>
  <si>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</si>
  <si>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</si>
  <si>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</si>
  <si>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</si>
  <si>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</si>
  <si>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</si>
  <si>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Remaks</t>
  </si>
  <si>
    <t>M5 to SURYA</t>
  </si>
  <si>
    <t>14</t>
  </si>
  <si>
    <t>15</t>
  </si>
  <si>
    <t>FARNORTH to LIGNITE</t>
  </si>
  <si>
    <t>KPC Microwave NEC</t>
  </si>
  <si>
    <t>31</t>
  </si>
  <si>
    <t>Availability (Overall)</t>
  </si>
  <si>
    <t>M5 to PITJ</t>
  </si>
  <si>
    <t>PTH to PINANG SOUTH</t>
  </si>
  <si>
    <t>SAGITARIUS to LIGNITE</t>
  </si>
  <si>
    <t>PTH to SAGITARIUS</t>
  </si>
  <si>
    <t>FARNORTH to 15K</t>
  </si>
  <si>
    <t xml:space="preserve">Link Sagitarius - Lignite Obstacle </t>
  </si>
  <si>
    <t>Link PTH - Pinang South Off</t>
  </si>
  <si>
    <t>FARNORTH - ANDROMEDA</t>
  </si>
  <si>
    <t>1 - 31 Maret</t>
  </si>
  <si>
    <t>1 - 27 Maret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</si>
</sst>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3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46" fontId="0" fillId="34" borderId="3" xfId="0" applyNumberFormat="1" applyFill="1" applyBorder="1"/>
    <xf numFmtId="46" fontId="0" fillId="34" borderId="1" xfId="0" applyNumberFormat="1" applyFill="1" applyBorder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  <xf numFmtId="164" fontId="39" fillId="0" borderId="4" xfId="0" applyFont="1" applyBorder="1" applyAlignment="1">
      <alignment horizontal="left" vertical="center"/>
    </xf>
    <xf numFmtId="164" fontId="39" fillId="0" borderId="25" xfId="0" applyFont="1" applyBorder="1" applyAlignment="1">
      <alignment horizontal="left" vertical="center"/>
    </xf>
    <xf numFmtId="164" fontId="39" fillId="0" borderId="2" xfId="0" applyFont="1" applyBorder="1" applyAlignment="1">
      <alignment horizontal="left" vertical="center"/>
    </xf>
    <xf numFmtId="46" fontId="0" fillId="0" borderId="1" xfId="0" applyNumberFormat="1" applyFill="1" applyBorder="1"/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C32" sqref="C32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46082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42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5" t="s">
        <v>2</v>
      </c>
      <c r="B10" s="87" t="s">
        <v>0</v>
      </c>
      <c r="C10" s="87" t="s">
        <v>8</v>
      </c>
      <c r="D10" s="40">
        <f>C7</f>
        <v>46082</v>
      </c>
      <c r="E10" s="40">
        <f>D10+1</f>
        <v>46083</v>
      </c>
      <c r="F10" s="40">
        <f t="shared" ref="F10:AF10" si="0">E10+1</f>
        <v>46084</v>
      </c>
      <c r="G10" s="40">
        <f t="shared" si="0"/>
        <v>46085</v>
      </c>
      <c r="H10" s="40">
        <f t="shared" si="0"/>
        <v>46086</v>
      </c>
      <c r="I10" s="40">
        <f t="shared" si="0"/>
        <v>46087</v>
      </c>
      <c r="J10" s="40">
        <f t="shared" si="0"/>
        <v>46088</v>
      </c>
      <c r="K10" s="40">
        <f t="shared" si="0"/>
        <v>46089</v>
      </c>
      <c r="L10" s="40">
        <f t="shared" si="0"/>
        <v>46090</v>
      </c>
      <c r="M10" s="40">
        <f t="shared" si="0"/>
        <v>46091</v>
      </c>
      <c r="N10" s="40">
        <f t="shared" si="0"/>
        <v>46092</v>
      </c>
      <c r="O10" s="40">
        <f t="shared" si="0"/>
        <v>46093</v>
      </c>
      <c r="P10" s="40">
        <f t="shared" si="0"/>
        <v>46094</v>
      </c>
      <c r="Q10" s="40">
        <f t="shared" si="0"/>
        <v>46095</v>
      </c>
      <c r="R10" s="40">
        <f t="shared" si="0"/>
        <v>46096</v>
      </c>
      <c r="S10" s="40">
        <f t="shared" si="0"/>
        <v>46097</v>
      </c>
      <c r="T10" s="40">
        <f t="shared" si="0"/>
        <v>46098</v>
      </c>
      <c r="U10" s="40">
        <f t="shared" si="0"/>
        <v>46099</v>
      </c>
      <c r="V10" s="40">
        <f t="shared" si="0"/>
        <v>46100</v>
      </c>
      <c r="W10" s="40">
        <f t="shared" si="0"/>
        <v>46101</v>
      </c>
      <c r="X10" s="40">
        <f t="shared" si="0"/>
        <v>46102</v>
      </c>
      <c r="Y10" s="40">
        <f t="shared" si="0"/>
        <v>46103</v>
      </c>
      <c r="Z10" s="40">
        <f t="shared" si="0"/>
        <v>46104</v>
      </c>
      <c r="AA10" s="40">
        <f t="shared" si="0"/>
        <v>46105</v>
      </c>
      <c r="AB10" s="40">
        <f t="shared" si="0"/>
        <v>46106</v>
      </c>
      <c r="AC10" s="40">
        <f t="shared" si="0"/>
        <v>46107</v>
      </c>
      <c r="AD10" s="40">
        <f t="shared" si="0"/>
        <v>46108</v>
      </c>
      <c r="AE10" s="40">
        <f t="shared" si="0"/>
        <v>46109</v>
      </c>
      <c r="AF10" s="40">
        <f t="shared" si="0"/>
        <v>46110</v>
      </c>
      <c r="AG10" s="40">
        <f>AF10+1</f>
        <v>46111</v>
      </c>
      <c r="AH10" s="72">
        <f>AG10+1</f>
        <v>46112</v>
      </c>
    </row>
    <row r="11" spans="1:34" s="1" customFormat="1" x14ac:dyDescent="0.2">
      <c r="A11" s="86"/>
      <c r="B11" s="88"/>
      <c r="C11" s="88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31</v>
      </c>
      <c r="B13" s="27" t="s">
        <v>37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22</v>
      </c>
      <c r="B14" s="27" t="s">
        <v>20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23</v>
      </c>
      <c r="B15" s="27" t="s">
        <v>15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24</v>
      </c>
      <c r="B16" s="27" t="s">
        <v>44</v>
      </c>
      <c r="C16" s="31"/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>
        <v>0</v>
      </c>
      <c r="P16" s="32">
        <v>0</v>
      </c>
      <c r="Q16" s="32">
        <v>0</v>
      </c>
      <c r="R16" s="32">
        <v>0</v>
      </c>
      <c r="S16" s="32">
        <v>0</v>
      </c>
      <c r="T16" s="32">
        <v>0</v>
      </c>
      <c r="U16" s="32">
        <v>0</v>
      </c>
      <c r="V16" s="32">
        <v>0</v>
      </c>
      <c r="W16" s="32">
        <v>0</v>
      </c>
      <c r="X16" s="32">
        <v>0</v>
      </c>
      <c r="Y16" s="32">
        <v>0</v>
      </c>
      <c r="Z16" s="32">
        <v>0</v>
      </c>
      <c r="AA16" s="32">
        <v>0</v>
      </c>
      <c r="AB16" s="32">
        <v>0</v>
      </c>
      <c r="AC16" s="32">
        <v>0</v>
      </c>
      <c r="AD16" s="32">
        <v>0</v>
      </c>
      <c r="AE16" s="32">
        <v>0</v>
      </c>
      <c r="AF16" s="32">
        <v>0</v>
      </c>
      <c r="AG16" s="32">
        <v>0</v>
      </c>
      <c r="AH16" s="32">
        <v>0</v>
      </c>
    </row>
    <row r="17" spans="1:34" s="11" customFormat="1" ht="15.75" customHeight="1" x14ac:dyDescent="0.25">
      <c r="A17" s="42" t="s">
        <v>25</v>
      </c>
      <c r="B17" s="27" t="s">
        <v>16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26</v>
      </c>
      <c r="B18" s="27" t="s">
        <v>17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27</v>
      </c>
      <c r="B19" s="27" t="s">
        <v>18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28</v>
      </c>
      <c r="B20" s="27" t="s">
        <v>19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29</v>
      </c>
      <c r="B21" s="27" t="s">
        <v>21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30</v>
      </c>
      <c r="B22" s="43" t="s">
        <v>45</v>
      </c>
      <c r="C22" s="27" t="s">
        <v>51</v>
      </c>
      <c r="D22" s="82">
        <v>0</v>
      </c>
      <c r="E22" s="82">
        <v>0</v>
      </c>
      <c r="F22" s="82">
        <v>0</v>
      </c>
      <c r="G22" s="82">
        <v>0</v>
      </c>
      <c r="H22" s="82">
        <v>0</v>
      </c>
      <c r="I22" s="82">
        <v>0</v>
      </c>
      <c r="J22" s="82">
        <v>0</v>
      </c>
      <c r="K22" s="82">
        <v>0</v>
      </c>
      <c r="L22" s="82">
        <v>0</v>
      </c>
      <c r="M22" s="82">
        <v>0</v>
      </c>
      <c r="N22" s="82">
        <v>0</v>
      </c>
      <c r="O22" s="82">
        <v>0</v>
      </c>
      <c r="P22" s="82">
        <v>0</v>
      </c>
      <c r="Q22" s="82">
        <v>0</v>
      </c>
      <c r="R22" s="82">
        <v>0</v>
      </c>
      <c r="S22" s="82">
        <v>0</v>
      </c>
      <c r="T22" s="82">
        <v>0</v>
      </c>
      <c r="U22" s="82">
        <v>0</v>
      </c>
      <c r="V22" s="82">
        <v>0</v>
      </c>
      <c r="W22" s="82">
        <v>0</v>
      </c>
      <c r="X22" s="82">
        <v>0</v>
      </c>
      <c r="Y22" s="82">
        <v>0</v>
      </c>
      <c r="Z22" s="82">
        <v>0</v>
      </c>
      <c r="AA22" s="82">
        <v>0</v>
      </c>
      <c r="AB22" s="82">
        <v>0</v>
      </c>
      <c r="AC22" s="82">
        <v>0</v>
      </c>
      <c r="AD22" s="82">
        <v>0</v>
      </c>
      <c r="AE22" s="102">
        <v>0</v>
      </c>
      <c r="AF22" s="102">
        <v>0</v>
      </c>
      <c r="AG22" s="102">
        <v>0</v>
      </c>
      <c r="AH22" s="102">
        <v>0</v>
      </c>
    </row>
    <row r="23" spans="1:34" s="11" customFormat="1" ht="15.75" customHeight="1" x14ac:dyDescent="0.25">
      <c r="A23" s="42" t="s">
        <v>32</v>
      </c>
      <c r="B23" s="43" t="s">
        <v>47</v>
      </c>
      <c r="C23" s="31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32">
        <v>0</v>
      </c>
      <c r="L23" s="32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32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33</v>
      </c>
      <c r="B24" s="43" t="s">
        <v>48</v>
      </c>
      <c r="C24" s="50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32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</row>
    <row r="25" spans="1:34" s="11" customFormat="1" ht="15.75" customHeight="1" x14ac:dyDescent="0.25">
      <c r="A25" s="42" t="s">
        <v>34</v>
      </c>
      <c r="B25" s="43" t="s">
        <v>40</v>
      </c>
      <c r="C25" s="44"/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0</v>
      </c>
      <c r="R25" s="45">
        <v>0</v>
      </c>
      <c r="S25" s="45">
        <v>0</v>
      </c>
      <c r="T25" s="45">
        <v>0</v>
      </c>
      <c r="U25" s="45">
        <v>0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32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</row>
    <row r="26" spans="1:34" s="11" customFormat="1" ht="15.75" customHeight="1" x14ac:dyDescent="0.25">
      <c r="A26" s="64" t="s">
        <v>38</v>
      </c>
      <c r="B26" s="43" t="s">
        <v>35</v>
      </c>
      <c r="C26" s="56"/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</v>
      </c>
      <c r="M26" s="45">
        <v>0</v>
      </c>
      <c r="N26" s="45">
        <v>0</v>
      </c>
      <c r="O26" s="45">
        <v>0</v>
      </c>
      <c r="P26" s="45">
        <v>0</v>
      </c>
      <c r="Q26" s="45">
        <v>0</v>
      </c>
      <c r="R26" s="45">
        <v>0</v>
      </c>
      <c r="S26" s="45">
        <v>0</v>
      </c>
      <c r="T26" s="45">
        <v>0</v>
      </c>
      <c r="U26" s="45">
        <v>0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</row>
    <row r="27" spans="1:34" s="11" customFormat="1" ht="15.75" customHeight="1" x14ac:dyDescent="0.25">
      <c r="A27" s="68" t="s">
        <v>39</v>
      </c>
      <c r="B27" s="27" t="s">
        <v>46</v>
      </c>
      <c r="C27" s="70"/>
      <c r="D27" s="81">
        <v>0</v>
      </c>
      <c r="E27" s="81">
        <v>0</v>
      </c>
      <c r="F27" s="81">
        <v>0</v>
      </c>
      <c r="G27" s="81">
        <v>0</v>
      </c>
      <c r="H27" s="81">
        <v>0</v>
      </c>
      <c r="I27" s="81">
        <v>0</v>
      </c>
      <c r="J27" s="81">
        <v>0</v>
      </c>
      <c r="K27" s="81">
        <v>0</v>
      </c>
      <c r="L27" s="81">
        <v>0</v>
      </c>
      <c r="M27" s="81">
        <v>0</v>
      </c>
      <c r="N27" s="81">
        <v>0</v>
      </c>
      <c r="O27" s="81">
        <v>0</v>
      </c>
      <c r="P27" s="81">
        <v>0</v>
      </c>
      <c r="Q27" s="81">
        <v>0</v>
      </c>
      <c r="R27" s="81">
        <v>0</v>
      </c>
      <c r="S27" s="81">
        <v>0</v>
      </c>
      <c r="T27" s="81">
        <v>0</v>
      </c>
      <c r="U27" s="81">
        <v>0</v>
      </c>
      <c r="V27" s="81">
        <v>0</v>
      </c>
      <c r="W27" s="81">
        <v>0</v>
      </c>
      <c r="X27" s="81">
        <v>0</v>
      </c>
      <c r="Y27" s="81">
        <v>0</v>
      </c>
      <c r="Z27" s="81">
        <v>0</v>
      </c>
      <c r="AA27" s="81">
        <v>0</v>
      </c>
      <c r="AB27" s="81">
        <v>0</v>
      </c>
      <c r="AC27" s="81">
        <v>0</v>
      </c>
      <c r="AD27" s="81">
        <v>0</v>
      </c>
      <c r="AE27" s="81">
        <v>0</v>
      </c>
      <c r="AF27" s="81">
        <v>0</v>
      </c>
      <c r="AG27" s="81">
        <v>0</v>
      </c>
      <c r="AH27" s="81">
        <v>0</v>
      </c>
    </row>
    <row r="28" spans="1:34" s="11" customFormat="1" ht="12.75" customHeight="1" x14ac:dyDescent="0.25">
      <c r="A28" s="68"/>
      <c r="B28" s="69"/>
      <c r="C28" s="70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</row>
    <row r="29" spans="1:34" s="11" customFormat="1" ht="16.5" customHeight="1" x14ac:dyDescent="0.2">
      <c r="A29" s="65"/>
      <c r="B29" s="66"/>
      <c r="C29" s="67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73"/>
    </row>
    <row r="30" spans="1:34" s="11" customFormat="1" ht="16.5" customHeight="1" x14ac:dyDescent="0.2">
      <c r="A30" s="91"/>
      <c r="B30" s="94" t="s">
        <v>36</v>
      </c>
      <c r="C30" s="74" t="s">
        <v>52</v>
      </c>
      <c r="D30" s="99" t="s">
        <v>49</v>
      </c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1"/>
    </row>
    <row r="31" spans="1:34" s="11" customFormat="1" ht="16.5" customHeight="1" x14ac:dyDescent="0.2">
      <c r="A31" s="92"/>
      <c r="B31" s="95"/>
      <c r="C31" s="74" t="s">
        <v>53</v>
      </c>
      <c r="D31" s="97" t="s">
        <v>50</v>
      </c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</row>
    <row r="32" spans="1:34" s="11" customFormat="1" ht="16.5" customHeight="1" x14ac:dyDescent="0.2">
      <c r="A32" s="92"/>
      <c r="B32" s="95"/>
      <c r="C32" s="62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</row>
    <row r="33" spans="1:34" s="11" customFormat="1" ht="16.5" customHeight="1" x14ac:dyDescent="0.2">
      <c r="A33" s="92"/>
      <c r="B33" s="95"/>
      <c r="C33" s="62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</row>
    <row r="34" spans="1:34" s="11" customFormat="1" ht="15" customHeight="1" x14ac:dyDescent="0.2">
      <c r="A34" s="92"/>
      <c r="B34" s="95"/>
      <c r="C34" s="62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</row>
    <row r="35" spans="1:34" s="11" customFormat="1" ht="15" customHeight="1" x14ac:dyDescent="0.2">
      <c r="A35" s="92"/>
      <c r="B35" s="95"/>
      <c r="C35" s="62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7"/>
      <c r="AG35" s="97"/>
      <c r="AH35" s="97"/>
    </row>
    <row r="36" spans="1:34" s="11" customFormat="1" ht="15" customHeight="1" x14ac:dyDescent="0.2">
      <c r="A36" s="93"/>
      <c r="B36" s="96"/>
      <c r="C36" s="62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7"/>
      <c r="AG36" s="97"/>
      <c r="AH36" s="97"/>
    </row>
    <row r="37" spans="1:34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4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4" s="11" customFormat="1" x14ac:dyDescent="0.2">
      <c r="A39" s="12"/>
      <c r="D39" s="58"/>
      <c r="AB39" s="26"/>
      <c r="AC39" s="26"/>
      <c r="AD39" s="26"/>
      <c r="AE39" s="26"/>
    </row>
    <row r="40" spans="1:34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4" s="11" customFormat="1" x14ac:dyDescent="0.2">
      <c r="A41" s="89" t="s">
        <v>2</v>
      </c>
      <c r="B41" s="89" t="s">
        <v>9</v>
      </c>
      <c r="C41" s="89" t="s">
        <v>1</v>
      </c>
      <c r="D41" s="83" t="s">
        <v>7</v>
      </c>
      <c r="E41" s="84"/>
      <c r="AB41" s="26"/>
      <c r="AC41" s="26"/>
      <c r="AD41" s="26"/>
      <c r="AE41" s="26"/>
    </row>
    <row r="42" spans="1:34" s="11" customFormat="1" x14ac:dyDescent="0.2">
      <c r="A42" s="90"/>
      <c r="B42" s="90"/>
      <c r="C42" s="90"/>
      <c r="D42" s="22" t="s">
        <v>10</v>
      </c>
      <c r="E42" s="18" t="s">
        <v>11</v>
      </c>
      <c r="AB42" s="26"/>
      <c r="AC42" s="26"/>
      <c r="AD42" s="26"/>
      <c r="AE42" s="26"/>
    </row>
    <row r="43" spans="1:34" s="11" customFormat="1" ht="15.75" x14ac:dyDescent="0.25">
      <c r="A43" s="36" t="s">
        <v>31</v>
      </c>
      <c r="B43" s="27" t="s">
        <v>37</v>
      </c>
      <c r="C43" s="33">
        <f>1-(((D43*3600)+(LEFT(E43,2)*60)+RIGHT(E43,2))/((60*60*24)*$C$8))</f>
        <v>1</v>
      </c>
      <c r="D43" s="16" t="str">
        <f>TEXT(SUM(D13:AH13),"[h]")</f>
        <v>0</v>
      </c>
      <c r="E43" s="16" t="str">
        <f>TEXT(SUM(D13:AH13),"mm ss")</f>
        <v>00 00</v>
      </c>
      <c r="G43" s="77"/>
      <c r="H43" s="49"/>
      <c r="I43" s="49"/>
      <c r="AB43" s="26"/>
      <c r="AC43" s="26"/>
      <c r="AD43" s="26"/>
      <c r="AE43" s="26"/>
    </row>
    <row r="44" spans="1:34" s="11" customFormat="1" ht="15.75" x14ac:dyDescent="0.25">
      <c r="A44" s="36" t="s">
        <v>22</v>
      </c>
      <c r="B44" s="27" t="s">
        <v>20</v>
      </c>
      <c r="C44" s="33">
        <f t="shared" ref="C44:C51" si="1">1-(((D44*3600)+(LEFT(E44,2)*60)+RIGHT(E44,2))/((60*60*24)*$C$8))</f>
        <v>1</v>
      </c>
      <c r="D44" s="16" t="str">
        <f t="shared" ref="D44:D57" si="2">TEXT(SUM(D14:AH14),"[h]")</f>
        <v>0</v>
      </c>
      <c r="E44" s="16" t="str">
        <f>TEXT(SUM(D14:AH14),"mm ss")</f>
        <v>00 00</v>
      </c>
      <c r="G44" s="78"/>
      <c r="H44" s="49"/>
      <c r="I44" s="49"/>
      <c r="AB44" s="26"/>
      <c r="AC44" s="26"/>
      <c r="AD44" s="26"/>
      <c r="AE44" s="26"/>
    </row>
    <row r="45" spans="1:34" s="11" customFormat="1" ht="15.75" x14ac:dyDescent="0.25">
      <c r="A45" s="36" t="s">
        <v>23</v>
      </c>
      <c r="B45" s="27" t="s">
        <v>15</v>
      </c>
      <c r="C45" s="33">
        <f t="shared" si="1"/>
        <v>1</v>
      </c>
      <c r="D45" s="16" t="str">
        <f t="shared" si="2"/>
        <v>0</v>
      </c>
      <c r="E45" s="16" t="str">
        <f>TEXT(SUM(D15:AH15),"mm ss")</f>
        <v>00 00</v>
      </c>
      <c r="G45" s="79"/>
      <c r="H45" s="80"/>
    </row>
    <row r="46" spans="1:34" s="11" customFormat="1" ht="15.75" x14ac:dyDescent="0.25">
      <c r="A46" s="36" t="s">
        <v>24</v>
      </c>
      <c r="B46" s="27" t="s">
        <v>44</v>
      </c>
      <c r="C46" s="33">
        <f t="shared" si="1"/>
        <v>1</v>
      </c>
      <c r="D46" s="16" t="str">
        <f t="shared" si="2"/>
        <v>0</v>
      </c>
      <c r="E46" s="16" t="str">
        <f t="shared" ref="E46:E57" si="3">TEXT(SUM(D16:AH16),"mm ss")</f>
        <v>00 00</v>
      </c>
      <c r="G46" s="79"/>
    </row>
    <row r="47" spans="1:34" s="11" customFormat="1" ht="15.75" x14ac:dyDescent="0.25">
      <c r="A47" s="36" t="s">
        <v>25</v>
      </c>
      <c r="B47" s="27" t="s">
        <v>16</v>
      </c>
      <c r="C47" s="33">
        <f t="shared" si="1"/>
        <v>1</v>
      </c>
      <c r="D47" s="16" t="str">
        <f t="shared" si="2"/>
        <v>0</v>
      </c>
      <c r="E47" s="16" t="str">
        <f t="shared" si="3"/>
        <v>00 00</v>
      </c>
      <c r="G47" s="17"/>
    </row>
    <row r="48" spans="1:34" s="11" customFormat="1" ht="15.75" x14ac:dyDescent="0.25">
      <c r="A48" s="36" t="s">
        <v>26</v>
      </c>
      <c r="B48" s="27" t="s">
        <v>17</v>
      </c>
      <c r="C48" s="33">
        <f t="shared" si="1"/>
        <v>1</v>
      </c>
      <c r="D48" s="16" t="str">
        <f t="shared" si="2"/>
        <v>0</v>
      </c>
      <c r="E48" s="16" t="str">
        <f t="shared" si="3"/>
        <v>00 00</v>
      </c>
      <c r="G48" s="17"/>
      <c r="J48" s="20"/>
    </row>
    <row r="49" spans="1:34" s="11" customFormat="1" ht="15.75" x14ac:dyDescent="0.25">
      <c r="A49" s="36" t="s">
        <v>27</v>
      </c>
      <c r="B49" s="27" t="s">
        <v>18</v>
      </c>
      <c r="C49" s="33">
        <f>1-(((D49*3600)+(LEFT(E49,2)*60)+RIGHT(E49,2))/((60*60*24)*$C$8))</f>
        <v>1</v>
      </c>
      <c r="D49" s="16" t="str">
        <f t="shared" si="2"/>
        <v>0</v>
      </c>
      <c r="E49" s="16" t="str">
        <f t="shared" si="3"/>
        <v>00 00</v>
      </c>
      <c r="G49" s="17"/>
    </row>
    <row r="50" spans="1:34" s="11" customFormat="1" ht="15.75" x14ac:dyDescent="0.25">
      <c r="A50" s="36" t="s">
        <v>28</v>
      </c>
      <c r="B50" s="27" t="s">
        <v>19</v>
      </c>
      <c r="C50" s="33">
        <f t="shared" si="1"/>
        <v>1</v>
      </c>
      <c r="D50" s="16" t="str">
        <f t="shared" si="2"/>
        <v>0</v>
      </c>
      <c r="E50" s="16" t="str">
        <f t="shared" si="3"/>
        <v>00 00</v>
      </c>
      <c r="G50" s="17"/>
    </row>
    <row r="51" spans="1:34" s="11" customFormat="1" ht="15.75" x14ac:dyDescent="0.25">
      <c r="A51" s="36" t="s">
        <v>29</v>
      </c>
      <c r="B51" s="27" t="s">
        <v>21</v>
      </c>
      <c r="C51" s="33">
        <f t="shared" si="1"/>
        <v>1</v>
      </c>
      <c r="D51" s="16" t="str">
        <f t="shared" si="2"/>
        <v>0</v>
      </c>
      <c r="E51" s="16" t="str">
        <f t="shared" si="3"/>
        <v>00 00</v>
      </c>
      <c r="G51" s="17"/>
      <c r="O51" s="53"/>
    </row>
    <row r="52" spans="1:34" s="11" customFormat="1" ht="15.75" x14ac:dyDescent="0.25">
      <c r="A52" s="36" t="s">
        <v>30</v>
      </c>
      <c r="B52" s="43" t="s">
        <v>45</v>
      </c>
      <c r="C52" s="33">
        <f t="shared" ref="C52" si="4">1-(((D52*3600)+(LEFT(E52,2)*60)+RIGHT(E52,2))/((60*60*24)*$C$8))</f>
        <v>1</v>
      </c>
      <c r="D52" s="16" t="str">
        <f t="shared" si="2"/>
        <v>0</v>
      </c>
      <c r="E52" s="16" t="str">
        <f t="shared" si="3"/>
        <v>00 00</v>
      </c>
      <c r="G52" s="17"/>
      <c r="O52" s="53"/>
    </row>
    <row r="53" spans="1:34" s="11" customFormat="1" ht="15.75" x14ac:dyDescent="0.25">
      <c r="A53" s="36" t="s">
        <v>32</v>
      </c>
      <c r="B53" s="43" t="s">
        <v>47</v>
      </c>
      <c r="C53" s="28">
        <f>1-(((D53*3600)+(LEFT(E53,2)*60)+RIGHT(E53,2))/((60*60*24)*$C$8))</f>
        <v>1</v>
      </c>
      <c r="D53" s="16" t="str">
        <f t="shared" si="2"/>
        <v>0</v>
      </c>
      <c r="E53" s="16" t="str">
        <f t="shared" si="3"/>
        <v>00 00</v>
      </c>
      <c r="G53" s="17"/>
      <c r="O53" s="53"/>
    </row>
    <row r="54" spans="1:34" s="11" customFormat="1" ht="15.75" x14ac:dyDescent="0.25">
      <c r="A54" s="36" t="s">
        <v>33</v>
      </c>
      <c r="B54" s="43" t="s">
        <v>48</v>
      </c>
      <c r="C54" s="28">
        <f>1-(((D54*3600)+(LEFT(E54,2)*60)+RIGHT(E54,2))/((60*60*24)*$C$8))</f>
        <v>1</v>
      </c>
      <c r="D54" s="16" t="str">
        <f t="shared" si="2"/>
        <v>0</v>
      </c>
      <c r="E54" s="16" t="str">
        <f t="shared" si="3"/>
        <v>00 00</v>
      </c>
      <c r="G54" s="17"/>
      <c r="O54" s="53"/>
    </row>
    <row r="55" spans="1:34" s="11" customFormat="1" ht="15.75" x14ac:dyDescent="0.25">
      <c r="A55" s="36" t="s">
        <v>34</v>
      </c>
      <c r="B55" s="43" t="s">
        <v>40</v>
      </c>
      <c r="C55" s="28">
        <f t="shared" ref="C55:C56" si="5">1-(((D55*3600)+(LEFT(E55,2)*60)+RIGHT(E55,2))/((60*60*24)*$C$8))</f>
        <v>1</v>
      </c>
      <c r="D55" s="16" t="str">
        <f t="shared" si="2"/>
        <v>0</v>
      </c>
      <c r="E55" s="16" t="str">
        <f t="shared" si="3"/>
        <v>00 00</v>
      </c>
      <c r="G55" s="17"/>
      <c r="O55" s="53"/>
    </row>
    <row r="56" spans="1:34" s="13" customFormat="1" ht="15.75" x14ac:dyDescent="0.25">
      <c r="A56" s="52" t="s">
        <v>38</v>
      </c>
      <c r="B56" s="43" t="s">
        <v>35</v>
      </c>
      <c r="C56" s="28">
        <f t="shared" si="5"/>
        <v>1</v>
      </c>
      <c r="D56" s="16" t="str">
        <f t="shared" si="2"/>
        <v>0</v>
      </c>
      <c r="E56" s="16" t="str">
        <f t="shared" si="3"/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2" t="s">
        <v>39</v>
      </c>
      <c r="B57" s="27" t="s">
        <v>46</v>
      </c>
      <c r="C57" s="28">
        <f>1-(((D57*3600)+(LEFT(E57,2)*60)+RIGHT(E57,2))/((60*60*24)*$C$8))</f>
        <v>1</v>
      </c>
      <c r="D57" s="16" t="str">
        <f t="shared" si="2"/>
        <v>0</v>
      </c>
      <c r="E57" s="16" t="str">
        <f t="shared" si="3"/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43</v>
      </c>
      <c r="C62" s="75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41</v>
      </c>
      <c r="C63" s="76">
        <f>(SUM(C43:C57))/(100%*15)</f>
        <v>1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6:AH36"/>
    <mergeCell ref="D31:AH31"/>
    <mergeCell ref="D32:AH32"/>
    <mergeCell ref="D33:AH33"/>
    <mergeCell ref="D34:AH34"/>
    <mergeCell ref="D35:AH35"/>
    <mergeCell ref="D30:AH30"/>
  </mergeCells>
  <phoneticPr fontId="9" type="noConversion"/>
  <conditionalFormatting sqref="D13:D22">
    <cfRule type="cellIs" dxfId="17" priority="181" stopIfTrue="1" operator="greaterThan">
      <formula>0</formula>
    </cfRule>
  </conditionalFormatting>
  <conditionalFormatting sqref="D13:Z15 D16:K19 M16:Z20">
    <cfRule type="cellIs" dxfId="16" priority="12" stopIfTrue="1" operator="greaterThan">
      <formula>0</formula>
    </cfRule>
  </conditionalFormatting>
  <conditionalFormatting sqref="D23:Z28">
    <cfRule type="cellIs" dxfId="15" priority="37" stopIfTrue="1" operator="greaterThan">
      <formula>0</formula>
    </cfRule>
  </conditionalFormatting>
  <conditionalFormatting sqref="E20:F22">
    <cfRule type="cellIs" dxfId="14" priority="31" stopIfTrue="1" operator="greaterThan">
      <formula>0</formula>
    </cfRule>
  </conditionalFormatting>
  <conditionalFormatting sqref="G20:K21 M21:AB21">
    <cfRule type="cellIs" dxfId="13" priority="32" stopIfTrue="1" operator="greaterThan">
      <formula>0</formula>
    </cfRule>
  </conditionalFormatting>
  <conditionalFormatting sqref="G22:Z22">
    <cfRule type="cellIs" dxfId="12" priority="27" stopIfTrue="1" operator="greaterThan">
      <formula>0</formula>
    </cfRule>
  </conditionalFormatting>
  <conditionalFormatting sqref="K40:L40">
    <cfRule type="cellIs" dxfId="11" priority="70" stopIfTrue="1" operator="greaterThan">
      <formula>0</formula>
    </cfRule>
  </conditionalFormatting>
  <conditionalFormatting sqref="L16:L21">
    <cfRule type="cellIs" dxfId="10" priority="5" stopIfTrue="1" operator="greaterThan">
      <formula>0</formula>
    </cfRule>
  </conditionalFormatting>
  <conditionalFormatting sqref="AA22:AA28">
    <cfRule type="cellIs" dxfId="9" priority="29" stopIfTrue="1" operator="greaterThan">
      <formula>0</formula>
    </cfRule>
  </conditionalFormatting>
  <conditionalFormatting sqref="AA13:AB20">
    <cfRule type="cellIs" dxfId="8" priority="55" stopIfTrue="1" operator="greaterThan">
      <formula>0</formula>
    </cfRule>
  </conditionalFormatting>
  <conditionalFormatting sqref="AB22:AB27">
    <cfRule type="cellIs" dxfId="7" priority="4" stopIfTrue="1" operator="greaterThan">
      <formula>0</formula>
    </cfRule>
  </conditionalFormatting>
  <conditionalFormatting sqref="AC13:AE27">
    <cfRule type="cellIs" dxfId="6" priority="6" stopIfTrue="1" operator="greaterThan">
      <formula>0</formula>
    </cfRule>
  </conditionalFormatting>
  <conditionalFormatting sqref="AF18:AF22">
    <cfRule type="cellIs" dxfId="5" priority="3" stopIfTrue="1" operator="greaterThan">
      <formula>0</formula>
    </cfRule>
  </conditionalFormatting>
  <conditionalFormatting sqref="AF13:AG17">
    <cfRule type="cellIs" dxfId="4" priority="160" stopIfTrue="1" operator="greaterThan">
      <formula>0</formula>
    </cfRule>
  </conditionalFormatting>
  <conditionalFormatting sqref="AF23:AG27 AH23:AH28 AB28:AG28">
    <cfRule type="cellIs" dxfId="3" priority="39" stopIfTrue="1" operator="greaterThan">
      <formula>0</formula>
    </cfRule>
  </conditionalFormatting>
  <conditionalFormatting sqref="AG18:AG21">
    <cfRule type="cellIs" dxfId="2" priority="179" stopIfTrue="1" operator="greaterThan">
      <formula>0</formula>
    </cfRule>
  </conditionalFormatting>
  <conditionalFormatting sqref="AG22:AH22">
    <cfRule type="cellIs" dxfId="1" priority="28" stopIfTrue="1" operator="greaterThan">
      <formula>0</formula>
    </cfRule>
  </conditionalFormatting>
  <conditionalFormatting sqref="AH13:AH21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2024-07-02T06:15:38Z</cp:lastPrinted>
  <dcterms:created xsi:type="dcterms:W3CDTF">2006-10-16T02:50:45Z</dcterms:created>
  <dcterms:modified xsi:type="dcterms:W3CDTF">2026-04-01T03:41:21Z</dcterms:modified>
</cp:coreProperties>
</file>