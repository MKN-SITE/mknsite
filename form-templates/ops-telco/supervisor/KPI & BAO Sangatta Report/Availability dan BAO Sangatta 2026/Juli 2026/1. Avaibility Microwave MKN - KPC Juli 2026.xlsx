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li 2026\"/>
    </mc:Choice>
  </mc:AlternateContent>
  <xr:revisionPtr revIDLastSave="0" documentId="13_ncr:1_{A95B47D0-A92C-466B-AF2C-9DB5C24CADB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Avaibility NEC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11" l="1"/>
  <c r="E44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E43" i="11"/>
  <c r="D43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43" i="11" l="1"/>
  <c r="C52" i="11" l="1"/>
  <c r="C57" i="11"/>
  <c r="C54" i="11" l="1"/>
  <c r="C56" i="11" l="1"/>
  <c r="C55" i="11" l="1"/>
  <c r="C53" i="11"/>
  <c r="C44" i="11"/>
  <c r="C49" i="11"/>
  <c r="C47" i="11" l="1"/>
  <c r="C51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<sst xmlns="http://schemas.openxmlformats.org/spreadsheetml/2006/main" count="115" uniqueCount="59">
  <si>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</si>
  <si>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</si>
  <si>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</si>
  <si>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</si>
  <si>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</si>
  <si>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</si>
  <si>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</si>
  <si>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</si>
  <si>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</si>
  <si>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</si>
  <si>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</si>
  <si>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</si>
  <si>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</si>
  <si>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</si>
  <si>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</si>
  <si>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M5 to HATARI</t>
  </si>
  <si>
    <t>SURYA to BINTANG</t>
  </si>
  <si>
    <t>BINTANG to AB</t>
  </si>
  <si>
    <t>AB to FARNORTH</t>
  </si>
  <si>
    <t>HATARI to AB</t>
  </si>
  <si>
    <t>M5 to PTH</t>
  </si>
  <si>
    <t>PTH to LBTT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</si>
  <si>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</si>
  <si>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</si>
  <si>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</si>
  <si>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</si>
  <si>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</si>
  <si>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</si>
  <si>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</si>
  <si>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</si>
  <si>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</si>
  <si>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</si>
  <si>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</si>
  <si>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</si>
  <si>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</si>
  <si>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LBTT to 15K</t>
  </si>
  <si>
    <t>Remaks</t>
  </si>
  <si>
    <t>M5 to SURYA</t>
  </si>
  <si>
    <t>14</t>
  </si>
  <si>
    <t>15</t>
  </si>
  <si>
    <t>FARNORTH to LIGNITE</t>
  </si>
  <si>
    <t>KPC Microwave NEC</t>
  </si>
  <si>
    <t>31</t>
  </si>
  <si>
    <t>Availability (Overall)</t>
  </si>
  <si>
    <t>M5 to PITJ</t>
  </si>
  <si>
    <t>PTH to PINANG SOUTH</t>
  </si>
  <si>
    <t>SAGITARIUS to LIGNITE</t>
  </si>
  <si>
    <t>PTH to SAGITARIUS</t>
  </si>
  <si>
    <t>FARNORTH to 15K</t>
  </si>
  <si>
    <t xml:space="preserve">Link Sagitarius - Lignite Obstacle </t>
  </si>
  <si>
    <t>1 - 30 Juli</t>
  </si>
  <si>
    <t>Link PTH - Pinang South Off, 31 Juli ON to M5-HarapanTBTS</t>
  </si>
  <si>
    <t>FARNORTH to AB</t>
  </si>
  <si>
    <t>M5 to HARAPAN TBTS</t>
  </si>
  <si>
    <t xml:space="preserve">M5 to HARAPAN </t>
  </si>
  <si>
    <t>HARAPAN to AB</t>
  </si>
  <si>
    <t>SAGITARIUS to PTH</t>
  </si>
  <si>
    <t>LBTT to PTH</t>
  </si>
  <si>
    <t>1 - 31 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</si>
</sst>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d\-mmm\-yyyy;@"/>
    <numFmt numFmtId="166" formatCode="0.0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1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left" vertical="center"/>
    </xf>
    <xf numFmtId="164" fontId="3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Alignment="1">
      <alignment horizontal="center"/>
    </xf>
    <xf numFmtId="164" fontId="35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164" fontId="18" fillId="0" borderId="5" xfId="0" applyFont="1" applyBorder="1"/>
    <xf numFmtId="46" fontId="0" fillId="33" borderId="0" xfId="0" applyNumberFormat="1" applyFill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3" xfId="0" applyFont="1" applyBorder="1" applyAlignment="1">
      <alignment vertical="center"/>
    </xf>
    <xf numFmtId="164" fontId="40" fillId="0" borderId="0" xfId="0" applyFont="1"/>
    <xf numFmtId="164" fontId="6" fillId="0" borderId="0" xfId="0" applyFont="1" applyAlignment="1">
      <alignment horizontal="left"/>
    </xf>
    <xf numFmtId="164" fontId="36" fillId="0" borderId="0" xfId="0" applyFont="1" applyAlignment="1">
      <alignment horizontal="center" vertical="center" wrapText="1"/>
    </xf>
    <xf numFmtId="165" fontId="39" fillId="0" borderId="0" xfId="0" applyNumberFormat="1" applyFont="1" applyAlignment="1">
      <alignment horizontal="center" vertical="center"/>
    </xf>
    <xf numFmtId="164" fontId="39" fillId="0" borderId="0" xfId="0" applyFont="1" applyAlignment="1">
      <alignment horizontal="left" vertical="center"/>
    </xf>
    <xf numFmtId="165" fontId="39" fillId="0" borderId="4" xfId="0" applyNumberFormat="1" applyFont="1" applyBorder="1" applyAlignment="1">
      <alignment horizontal="center" vertical="center"/>
    </xf>
    <xf numFmtId="164" fontId="38" fillId="0" borderId="25" xfId="0" applyFont="1" applyBorder="1" applyAlignment="1">
      <alignment horizontal="center" vertical="center"/>
    </xf>
    <xf numFmtId="1" fontId="6" fillId="0" borderId="4" xfId="0" applyNumberFormat="1" applyFont="1" applyBorder="1" applyAlignment="1">
      <alignment horizontal="center" vertical="center"/>
    </xf>
    <xf numFmtId="164" fontId="36" fillId="0" borderId="25" xfId="0" applyFont="1" applyBorder="1" applyAlignment="1">
      <alignment vertical="center"/>
    </xf>
    <xf numFmtId="164" fontId="37" fillId="0" borderId="25" xfId="0" applyFont="1" applyBorder="1" applyAlignment="1">
      <alignment vertical="center"/>
    </xf>
    <xf numFmtId="49" fontId="6" fillId="0" borderId="27" xfId="0" applyNumberFormat="1" applyFont="1" applyBorder="1" applyAlignment="1">
      <alignment horizontal="center"/>
    </xf>
    <xf numFmtId="164" fontId="35" fillId="0" borderId="27" xfId="0" applyFont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6" fontId="8" fillId="0" borderId="28" xfId="0" applyNumberFormat="1" applyFont="1" applyBorder="1" applyAlignment="1">
      <alignment horizontal="center"/>
    </xf>
    <xf numFmtId="164" fontId="38" fillId="0" borderId="2" xfId="0" applyFont="1" applyBorder="1" applyAlignment="1">
      <alignment horizontal="center" vertical="center"/>
    </xf>
    <xf numFmtId="165" fontId="39" fillId="0" borderId="29" xfId="0" applyNumberFormat="1" applyFont="1" applyBorder="1" applyAlignment="1">
      <alignment horizontal="center" vertical="center"/>
    </xf>
    <xf numFmtId="10" fontId="14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2" fontId="6" fillId="0" borderId="0" xfId="1" applyNumberFormat="1" applyFont="1" applyBorder="1" applyAlignment="1"/>
    <xf numFmtId="9" fontId="6" fillId="0" borderId="0" xfId="1" applyFont="1" applyBorder="1" applyAlignment="1"/>
    <xf numFmtId="164" fontId="38" fillId="0" borderId="0" xfId="0" applyFont="1"/>
    <xf numFmtId="46" fontId="0" fillId="34" borderId="3" xfId="0" applyNumberFormat="1" applyFill="1" applyBorder="1"/>
    <xf numFmtId="46" fontId="0" fillId="34" borderId="1" xfId="0" applyNumberFormat="1" applyFill="1" applyBorder="1"/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2" fontId="36" fillId="0" borderId="22" xfId="0" applyNumberFormat="1" applyFont="1" applyBorder="1" applyAlignment="1">
      <alignment horizontal="center" vertical="center"/>
    </xf>
    <xf numFmtId="2" fontId="36" fillId="0" borderId="23" xfId="0" applyNumberFormat="1" applyFont="1" applyBorder="1" applyAlignment="1">
      <alignment horizontal="center" vertical="center"/>
    </xf>
    <xf numFmtId="2" fontId="36" fillId="0" borderId="24" xfId="0" applyNumberFormat="1" applyFont="1" applyBorder="1" applyAlignment="1">
      <alignment horizontal="center" vertical="center"/>
    </xf>
    <xf numFmtId="164" fontId="39" fillId="0" borderId="1" xfId="0" applyFont="1" applyBorder="1" applyAlignment="1">
      <alignment horizontal="left" vertical="center"/>
    </xf>
    <xf numFmtId="164" fontId="39" fillId="0" borderId="1" xfId="0" applyFont="1" applyBorder="1" applyAlignment="1">
      <alignment horizontal="left" vertical="top"/>
    </xf>
    <xf numFmtId="164" fontId="39" fillId="0" borderId="4" xfId="0" applyFont="1" applyBorder="1" applyAlignment="1">
      <alignment horizontal="left" vertical="center"/>
    </xf>
    <xf numFmtId="164" fontId="39" fillId="0" borderId="25" xfId="0" applyFont="1" applyBorder="1" applyAlignment="1">
      <alignment horizontal="left" vertical="center"/>
    </xf>
    <xf numFmtId="164" fontId="39" fillId="0" borderId="2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2"/>
  <sheetViews>
    <sheetView tabSelected="1" zoomScaleNormal="100" workbookViewId="0">
      <pane xSplit="3" ySplit="11" topLeftCell="Z12" activePane="bottomRight" state="frozen"/>
      <selection pane="topRight" activeCell="D1" sqref="D1"/>
      <selection pane="bottomLeft" activeCell="A12" sqref="A12"/>
      <selection pane="bottomRight" activeCell="AH19" sqref="AH19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0" customWidth="1"/>
    <col min="16" max="34" width="10.5703125" customWidth="1"/>
  </cols>
  <sheetData>
    <row r="1" spans="1:34" s="3" customFormat="1" ht="14.25" x14ac:dyDescent="0.2">
      <c r="A1" s="4" t="s">
        <v>13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4" s="3" customFormat="1" ht="14.25" x14ac:dyDescent="0.2">
      <c r="A2" s="4" t="s">
        <v>14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4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4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4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4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4" s="3" customFormat="1" x14ac:dyDescent="0.2">
      <c r="A7" s="5" t="s">
        <v>5</v>
      </c>
      <c r="B7" s="6"/>
      <c r="C7" s="35">
        <v>46204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4" s="3" customFormat="1" x14ac:dyDescent="0.2">
      <c r="A8" s="5" t="s">
        <v>6</v>
      </c>
      <c r="B8" s="7"/>
      <c r="C8" s="37" t="s">
        <v>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4" s="3" customFormat="1" ht="13.5" thickBot="1" x14ac:dyDescent="0.25"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34" s="3" customFormat="1" x14ac:dyDescent="0.2">
      <c r="A10" s="84" t="s">
        <v>2</v>
      </c>
      <c r="B10" s="86" t="s">
        <v>0</v>
      </c>
      <c r="C10" s="86" t="s">
        <v>8</v>
      </c>
      <c r="D10" s="40">
        <f>C7</f>
        <v>46204</v>
      </c>
      <c r="E10" s="40">
        <f>D10+1</f>
        <v>46205</v>
      </c>
      <c r="F10" s="40">
        <f t="shared" ref="F10:AF10" si="0">E10+1</f>
        <v>46206</v>
      </c>
      <c r="G10" s="40">
        <f t="shared" si="0"/>
        <v>46207</v>
      </c>
      <c r="H10" s="40">
        <f t="shared" si="0"/>
        <v>46208</v>
      </c>
      <c r="I10" s="40">
        <f t="shared" si="0"/>
        <v>46209</v>
      </c>
      <c r="J10" s="40">
        <f t="shared" si="0"/>
        <v>46210</v>
      </c>
      <c r="K10" s="40">
        <f t="shared" si="0"/>
        <v>46211</v>
      </c>
      <c r="L10" s="40">
        <f t="shared" si="0"/>
        <v>46212</v>
      </c>
      <c r="M10" s="40">
        <f t="shared" si="0"/>
        <v>46213</v>
      </c>
      <c r="N10" s="40">
        <f t="shared" si="0"/>
        <v>46214</v>
      </c>
      <c r="O10" s="40">
        <f t="shared" si="0"/>
        <v>46215</v>
      </c>
      <c r="P10" s="40">
        <f t="shared" si="0"/>
        <v>46216</v>
      </c>
      <c r="Q10" s="40">
        <f t="shared" si="0"/>
        <v>46217</v>
      </c>
      <c r="R10" s="40">
        <f t="shared" si="0"/>
        <v>46218</v>
      </c>
      <c r="S10" s="40">
        <f t="shared" si="0"/>
        <v>46219</v>
      </c>
      <c r="T10" s="40">
        <f t="shared" si="0"/>
        <v>46220</v>
      </c>
      <c r="U10" s="40">
        <f t="shared" si="0"/>
        <v>46221</v>
      </c>
      <c r="V10" s="40">
        <f t="shared" si="0"/>
        <v>46222</v>
      </c>
      <c r="W10" s="40">
        <f t="shared" si="0"/>
        <v>46223</v>
      </c>
      <c r="X10" s="40">
        <f t="shared" si="0"/>
        <v>46224</v>
      </c>
      <c r="Y10" s="40">
        <f t="shared" si="0"/>
        <v>46225</v>
      </c>
      <c r="Z10" s="40">
        <f t="shared" si="0"/>
        <v>46226</v>
      </c>
      <c r="AA10" s="40">
        <f t="shared" si="0"/>
        <v>46227</v>
      </c>
      <c r="AB10" s="40">
        <f t="shared" si="0"/>
        <v>46228</v>
      </c>
      <c r="AC10" s="40">
        <f t="shared" si="0"/>
        <v>46229</v>
      </c>
      <c r="AD10" s="40">
        <f t="shared" si="0"/>
        <v>46230</v>
      </c>
      <c r="AE10" s="40">
        <f t="shared" si="0"/>
        <v>46231</v>
      </c>
      <c r="AF10" s="40">
        <f t="shared" si="0"/>
        <v>46232</v>
      </c>
      <c r="AG10" s="40">
        <f>AF10+1</f>
        <v>46233</v>
      </c>
      <c r="AH10" s="71">
        <f>AG10+1</f>
        <v>46234</v>
      </c>
    </row>
    <row r="11" spans="1:34" s="1" customFormat="1" x14ac:dyDescent="0.2">
      <c r="A11" s="85"/>
      <c r="B11" s="87"/>
      <c r="C11" s="87"/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</row>
    <row r="12" spans="1:34" x14ac:dyDescent="0.2">
      <c r="A12" s="41"/>
      <c r="B12" s="29"/>
      <c r="C12" s="30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s="11" customFormat="1" ht="15.75" customHeight="1" x14ac:dyDescent="0.25">
      <c r="A13" s="42" t="s">
        <v>31</v>
      </c>
      <c r="B13" s="27" t="s">
        <v>37</v>
      </c>
      <c r="C13" s="31"/>
      <c r="D13" s="32">
        <v>0</v>
      </c>
      <c r="E13" s="32">
        <v>0</v>
      </c>
      <c r="F13" s="32">
        <v>0</v>
      </c>
      <c r="G13" s="32">
        <v>0</v>
      </c>
      <c r="H13" s="32">
        <v>0</v>
      </c>
      <c r="I13" s="32">
        <v>0</v>
      </c>
      <c r="J13" s="32">
        <v>0</v>
      </c>
      <c r="K13" s="32">
        <v>0</v>
      </c>
      <c r="L13" s="32">
        <v>0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</v>
      </c>
      <c r="X13" s="32">
        <v>0</v>
      </c>
      <c r="Y13" s="32">
        <v>0</v>
      </c>
      <c r="Z13" s="32">
        <v>0</v>
      </c>
      <c r="AA13" s="32">
        <v>0</v>
      </c>
      <c r="AB13" s="32">
        <v>0</v>
      </c>
      <c r="AC13" s="32">
        <v>0</v>
      </c>
      <c r="AD13" s="32">
        <v>0</v>
      </c>
      <c r="AE13" s="32">
        <v>0</v>
      </c>
      <c r="AF13" s="32">
        <v>0</v>
      </c>
      <c r="AG13" s="32">
        <v>0</v>
      </c>
      <c r="AH13" s="32">
        <v>0</v>
      </c>
    </row>
    <row r="14" spans="1:34" s="11" customFormat="1" ht="15.75" customHeight="1" x14ac:dyDescent="0.25">
      <c r="A14" s="42" t="s">
        <v>22</v>
      </c>
      <c r="B14" s="27" t="s">
        <v>20</v>
      </c>
      <c r="C14" s="31"/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2">
        <v>0</v>
      </c>
      <c r="X14" s="32">
        <v>0</v>
      </c>
      <c r="Y14" s="32">
        <v>0</v>
      </c>
      <c r="Z14" s="32">
        <v>0</v>
      </c>
      <c r="AA14" s="32">
        <v>0</v>
      </c>
      <c r="AB14" s="32">
        <v>0</v>
      </c>
      <c r="AC14" s="32">
        <v>0</v>
      </c>
      <c r="AD14" s="32">
        <v>0</v>
      </c>
      <c r="AE14" s="32">
        <v>0</v>
      </c>
      <c r="AF14" s="32">
        <v>0</v>
      </c>
      <c r="AG14" s="32">
        <v>0</v>
      </c>
      <c r="AH14" s="32">
        <v>0</v>
      </c>
    </row>
    <row r="15" spans="1:34" s="11" customFormat="1" ht="15.75" customHeight="1" x14ac:dyDescent="0.25">
      <c r="A15" s="42" t="s">
        <v>23</v>
      </c>
      <c r="B15" s="27" t="s">
        <v>54</v>
      </c>
      <c r="C15" s="31"/>
      <c r="D15" s="32">
        <v>0</v>
      </c>
      <c r="E15" s="32">
        <v>0</v>
      </c>
      <c r="F15" s="32">
        <v>0</v>
      </c>
      <c r="G15" s="32">
        <v>0</v>
      </c>
      <c r="H15" s="32">
        <v>0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2">
        <v>0</v>
      </c>
      <c r="X15" s="32">
        <v>0</v>
      </c>
      <c r="Y15" s="32">
        <v>0</v>
      </c>
      <c r="Z15" s="32">
        <v>0</v>
      </c>
      <c r="AA15" s="32">
        <v>0</v>
      </c>
      <c r="AB15" s="32">
        <v>0</v>
      </c>
      <c r="AC15" s="32">
        <v>0</v>
      </c>
      <c r="AD15" s="32">
        <v>0</v>
      </c>
      <c r="AE15" s="32">
        <v>0</v>
      </c>
      <c r="AF15" s="32">
        <v>0</v>
      </c>
      <c r="AG15" s="32">
        <v>0</v>
      </c>
      <c r="AH15" s="32">
        <v>0</v>
      </c>
    </row>
    <row r="16" spans="1:34" s="11" customFormat="1" ht="15.75" customHeight="1" x14ac:dyDescent="0.25">
      <c r="A16" s="42" t="s">
        <v>24</v>
      </c>
      <c r="B16" s="27" t="s">
        <v>53</v>
      </c>
      <c r="C16" s="31"/>
      <c r="D16" s="81">
        <v>0</v>
      </c>
      <c r="E16" s="81">
        <v>0</v>
      </c>
      <c r="F16" s="81">
        <v>0</v>
      </c>
      <c r="G16" s="81">
        <v>0</v>
      </c>
      <c r="H16" s="81">
        <v>0</v>
      </c>
      <c r="I16" s="81">
        <v>0</v>
      </c>
      <c r="J16" s="81">
        <v>0</v>
      </c>
      <c r="K16" s="81">
        <v>0</v>
      </c>
      <c r="L16" s="81">
        <v>0</v>
      </c>
      <c r="M16" s="81">
        <v>0</v>
      </c>
      <c r="N16" s="81">
        <v>0</v>
      </c>
      <c r="O16" s="81">
        <v>0</v>
      </c>
      <c r="P16" s="81">
        <v>0</v>
      </c>
      <c r="Q16" s="81">
        <v>0</v>
      </c>
      <c r="R16" s="81">
        <v>0</v>
      </c>
      <c r="S16" s="81">
        <v>0</v>
      </c>
      <c r="T16" s="81">
        <v>0</v>
      </c>
      <c r="U16" s="81">
        <v>0</v>
      </c>
      <c r="V16" s="81">
        <v>0</v>
      </c>
      <c r="W16" s="81">
        <v>0</v>
      </c>
      <c r="X16" s="81">
        <v>0</v>
      </c>
      <c r="Y16" s="81">
        <v>0</v>
      </c>
      <c r="Z16" s="81">
        <v>0</v>
      </c>
      <c r="AA16" s="81">
        <v>0</v>
      </c>
      <c r="AB16" s="81">
        <v>0</v>
      </c>
      <c r="AC16" s="81">
        <v>0</v>
      </c>
      <c r="AD16" s="81">
        <v>0</v>
      </c>
      <c r="AE16" s="81">
        <v>0</v>
      </c>
      <c r="AF16" s="81">
        <v>0</v>
      </c>
      <c r="AG16" s="81">
        <v>0</v>
      </c>
      <c r="AH16" s="32">
        <v>0</v>
      </c>
    </row>
    <row r="17" spans="1:34" s="11" customFormat="1" ht="15.75" customHeight="1" x14ac:dyDescent="0.25">
      <c r="A17" s="42" t="s">
        <v>25</v>
      </c>
      <c r="B17" s="27" t="s">
        <v>44</v>
      </c>
      <c r="C17" s="31"/>
      <c r="D17" s="32">
        <v>0</v>
      </c>
      <c r="E17" s="32">
        <v>0</v>
      </c>
      <c r="F17" s="32">
        <v>0</v>
      </c>
      <c r="G17" s="32">
        <v>0</v>
      </c>
      <c r="H17" s="32">
        <v>0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>
        <v>0</v>
      </c>
      <c r="P17" s="32">
        <v>0</v>
      </c>
      <c r="Q17" s="32">
        <v>0</v>
      </c>
      <c r="R17" s="32">
        <v>0</v>
      </c>
      <c r="S17" s="32">
        <v>0</v>
      </c>
      <c r="T17" s="32">
        <v>0</v>
      </c>
      <c r="U17" s="32">
        <v>0</v>
      </c>
      <c r="V17" s="32">
        <v>0</v>
      </c>
      <c r="W17" s="32">
        <v>0</v>
      </c>
      <c r="X17" s="32">
        <v>0</v>
      </c>
      <c r="Y17" s="32">
        <v>0</v>
      </c>
      <c r="Z17" s="32">
        <v>0</v>
      </c>
      <c r="AA17" s="32">
        <v>0</v>
      </c>
      <c r="AB17" s="32">
        <v>0</v>
      </c>
      <c r="AC17" s="32">
        <v>0</v>
      </c>
      <c r="AD17" s="32">
        <v>0</v>
      </c>
      <c r="AE17" s="32">
        <v>0</v>
      </c>
      <c r="AF17" s="32">
        <v>0</v>
      </c>
      <c r="AG17" s="32">
        <v>0</v>
      </c>
      <c r="AH17" s="32">
        <v>0</v>
      </c>
    </row>
    <row r="18" spans="1:34" s="11" customFormat="1" ht="15.75" customHeight="1" x14ac:dyDescent="0.25">
      <c r="A18" s="42" t="s">
        <v>26</v>
      </c>
      <c r="B18" s="27" t="s">
        <v>16</v>
      </c>
      <c r="C18" s="31"/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  <c r="N18" s="32">
        <v>0</v>
      </c>
      <c r="O18" s="32">
        <v>0</v>
      </c>
      <c r="P18" s="32">
        <v>0</v>
      </c>
      <c r="Q18" s="32">
        <v>0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32">
        <v>0</v>
      </c>
      <c r="X18" s="32">
        <v>0</v>
      </c>
      <c r="Y18" s="32">
        <v>0</v>
      </c>
      <c r="Z18" s="32">
        <v>0</v>
      </c>
      <c r="AA18" s="32">
        <v>0</v>
      </c>
      <c r="AB18" s="32">
        <v>0</v>
      </c>
      <c r="AC18" s="32">
        <v>0</v>
      </c>
      <c r="AD18" s="32">
        <v>0</v>
      </c>
      <c r="AE18" s="32">
        <v>0</v>
      </c>
      <c r="AF18" s="32">
        <v>0</v>
      </c>
      <c r="AG18" s="32">
        <v>0</v>
      </c>
      <c r="AH18" s="32">
        <v>0</v>
      </c>
    </row>
    <row r="19" spans="1:34" s="11" customFormat="1" ht="15.75" customHeight="1" x14ac:dyDescent="0.25">
      <c r="A19" s="42" t="s">
        <v>27</v>
      </c>
      <c r="B19" s="27" t="s">
        <v>17</v>
      </c>
      <c r="C19" s="31"/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>
        <v>0</v>
      </c>
      <c r="P19" s="32">
        <v>0</v>
      </c>
      <c r="Q19" s="32">
        <v>0</v>
      </c>
      <c r="R19" s="32">
        <v>0</v>
      </c>
      <c r="S19" s="32">
        <v>0</v>
      </c>
      <c r="T19" s="32">
        <v>0</v>
      </c>
      <c r="U19" s="32">
        <v>0</v>
      </c>
      <c r="V19" s="32">
        <v>0</v>
      </c>
      <c r="W19" s="32">
        <v>0</v>
      </c>
      <c r="X19" s="32">
        <v>0</v>
      </c>
      <c r="Y19" s="32">
        <v>0</v>
      </c>
      <c r="Z19" s="32">
        <v>0</v>
      </c>
      <c r="AA19" s="32">
        <v>0</v>
      </c>
      <c r="AB19" s="32">
        <v>0</v>
      </c>
      <c r="AC19" s="32">
        <v>0</v>
      </c>
      <c r="AD19" s="32">
        <v>0</v>
      </c>
      <c r="AE19" s="32">
        <v>0</v>
      </c>
      <c r="AF19" s="32">
        <v>0</v>
      </c>
      <c r="AG19" s="32">
        <v>0</v>
      </c>
      <c r="AH19" s="32">
        <v>0</v>
      </c>
    </row>
    <row r="20" spans="1:34" s="11" customFormat="1" ht="15.75" customHeight="1" x14ac:dyDescent="0.25">
      <c r="A20" s="42" t="s">
        <v>28</v>
      </c>
      <c r="B20" s="27" t="s">
        <v>55</v>
      </c>
      <c r="C20" s="31"/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2">
        <v>0</v>
      </c>
      <c r="X20" s="32">
        <v>0</v>
      </c>
      <c r="Y20" s="32">
        <v>0</v>
      </c>
      <c r="Z20" s="32">
        <v>0</v>
      </c>
      <c r="AA20" s="32">
        <v>0</v>
      </c>
      <c r="AB20" s="32">
        <v>0</v>
      </c>
      <c r="AC20" s="32">
        <v>0</v>
      </c>
      <c r="AD20" s="32">
        <v>0</v>
      </c>
      <c r="AE20" s="32">
        <v>0</v>
      </c>
      <c r="AF20" s="32">
        <v>0</v>
      </c>
      <c r="AG20" s="32">
        <v>0</v>
      </c>
      <c r="AH20" s="32">
        <v>0</v>
      </c>
    </row>
    <row r="21" spans="1:34" s="11" customFormat="1" ht="15.75" customHeight="1" x14ac:dyDescent="0.25">
      <c r="A21" s="42" t="s">
        <v>29</v>
      </c>
      <c r="B21" s="27" t="s">
        <v>52</v>
      </c>
      <c r="C21" s="31"/>
      <c r="D21" s="32">
        <v>0</v>
      </c>
      <c r="E21" s="32">
        <v>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2">
        <v>0</v>
      </c>
      <c r="X21" s="32">
        <v>0</v>
      </c>
      <c r="Y21" s="32">
        <v>0</v>
      </c>
      <c r="Z21" s="32">
        <v>0</v>
      </c>
      <c r="AA21" s="32">
        <v>0</v>
      </c>
      <c r="AB21" s="32">
        <v>0</v>
      </c>
      <c r="AC21" s="32">
        <v>0</v>
      </c>
      <c r="AD21" s="32">
        <v>0</v>
      </c>
      <c r="AE21" s="32">
        <v>0</v>
      </c>
      <c r="AF21" s="32">
        <v>0</v>
      </c>
      <c r="AG21" s="32">
        <v>0</v>
      </c>
      <c r="AH21" s="32">
        <v>0</v>
      </c>
    </row>
    <row r="22" spans="1:34" s="11" customFormat="1" ht="15.75" customHeight="1" x14ac:dyDescent="0.25">
      <c r="A22" s="42" t="s">
        <v>30</v>
      </c>
      <c r="B22" s="43" t="s">
        <v>40</v>
      </c>
      <c r="C22" s="44"/>
      <c r="D22" s="45">
        <v>0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0</v>
      </c>
      <c r="M22" s="45">
        <v>0</v>
      </c>
      <c r="N22" s="45">
        <v>0</v>
      </c>
      <c r="O22" s="45">
        <v>0</v>
      </c>
      <c r="P22" s="45">
        <v>0</v>
      </c>
      <c r="Q22" s="45">
        <v>0</v>
      </c>
      <c r="R22" s="45">
        <v>0</v>
      </c>
      <c r="S22" s="45">
        <v>0</v>
      </c>
      <c r="T22" s="45">
        <v>0</v>
      </c>
      <c r="U22" s="45">
        <v>0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32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</row>
    <row r="23" spans="1:34" s="11" customFormat="1" ht="15.75" customHeight="1" x14ac:dyDescent="0.25">
      <c r="A23" s="42" t="s">
        <v>32</v>
      </c>
      <c r="B23" s="43" t="s">
        <v>48</v>
      </c>
      <c r="C23" s="50"/>
      <c r="D23" s="45">
        <v>0</v>
      </c>
      <c r="E23" s="45">
        <v>0</v>
      </c>
      <c r="F23" s="45">
        <v>0</v>
      </c>
      <c r="G23" s="45">
        <v>0</v>
      </c>
      <c r="H23" s="45">
        <v>0</v>
      </c>
      <c r="I23" s="45">
        <v>0</v>
      </c>
      <c r="J23" s="45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32">
        <v>0</v>
      </c>
      <c r="S23" s="45">
        <v>0</v>
      </c>
      <c r="T23" s="45">
        <v>0</v>
      </c>
      <c r="U23" s="45">
        <v>0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32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</row>
    <row r="24" spans="1:34" s="11" customFormat="1" ht="15.75" customHeight="1" x14ac:dyDescent="0.25">
      <c r="A24" s="42" t="s">
        <v>33</v>
      </c>
      <c r="B24" s="43" t="s">
        <v>56</v>
      </c>
      <c r="C24" s="31"/>
      <c r="D24" s="45">
        <v>0</v>
      </c>
      <c r="E24" s="45">
        <v>0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32">
        <v>0</v>
      </c>
      <c r="L24" s="32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5">
        <v>0</v>
      </c>
      <c r="U24" s="45">
        <v>0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32">
        <v>0</v>
      </c>
      <c r="AB24" s="32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</row>
    <row r="25" spans="1:34" s="11" customFormat="1" ht="15.75" customHeight="1" x14ac:dyDescent="0.25">
      <c r="A25" s="42" t="s">
        <v>34</v>
      </c>
      <c r="B25" s="27" t="s">
        <v>46</v>
      </c>
      <c r="C25" s="69"/>
      <c r="D25" s="80">
        <v>0</v>
      </c>
      <c r="E25" s="80">
        <v>0</v>
      </c>
      <c r="F25" s="80">
        <v>0</v>
      </c>
      <c r="G25" s="80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0">
        <v>0</v>
      </c>
      <c r="T25" s="80">
        <v>0</v>
      </c>
      <c r="U25" s="80">
        <v>0</v>
      </c>
      <c r="V25" s="80">
        <v>0</v>
      </c>
      <c r="W25" s="80">
        <v>0</v>
      </c>
      <c r="X25" s="80">
        <v>0</v>
      </c>
      <c r="Y25" s="80">
        <v>0</v>
      </c>
      <c r="Z25" s="80">
        <v>0</v>
      </c>
      <c r="AA25" s="80">
        <v>0</v>
      </c>
      <c r="AB25" s="80">
        <v>0</v>
      </c>
      <c r="AC25" s="80">
        <v>0</v>
      </c>
      <c r="AD25" s="80">
        <v>0</v>
      </c>
      <c r="AE25" s="80">
        <v>0</v>
      </c>
      <c r="AF25" s="80">
        <v>0</v>
      </c>
      <c r="AG25" s="80">
        <v>0</v>
      </c>
      <c r="AH25" s="80">
        <v>0</v>
      </c>
    </row>
    <row r="26" spans="1:34" s="11" customFormat="1" ht="15.75" customHeight="1" x14ac:dyDescent="0.25">
      <c r="A26" s="42" t="s">
        <v>38</v>
      </c>
      <c r="B26" s="27" t="s">
        <v>57</v>
      </c>
      <c r="C26" s="31"/>
      <c r="D26" s="32">
        <v>0</v>
      </c>
      <c r="E26" s="32">
        <v>0</v>
      </c>
      <c r="F26" s="32">
        <v>0</v>
      </c>
      <c r="G26" s="32">
        <v>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0</v>
      </c>
      <c r="N26" s="32">
        <v>0</v>
      </c>
      <c r="O26" s="32">
        <v>0</v>
      </c>
      <c r="P26" s="32">
        <v>0</v>
      </c>
      <c r="Q26" s="32">
        <v>0</v>
      </c>
      <c r="R26" s="32">
        <v>0</v>
      </c>
      <c r="S26" s="32">
        <v>0</v>
      </c>
      <c r="T26" s="32">
        <v>0</v>
      </c>
      <c r="U26" s="32">
        <v>0</v>
      </c>
      <c r="V26" s="32">
        <v>0</v>
      </c>
      <c r="W26" s="32">
        <v>0</v>
      </c>
      <c r="X26" s="32">
        <v>0</v>
      </c>
      <c r="Y26" s="32">
        <v>0</v>
      </c>
      <c r="Z26" s="32">
        <v>0</v>
      </c>
      <c r="AA26" s="32">
        <v>0</v>
      </c>
      <c r="AB26" s="32">
        <v>0</v>
      </c>
      <c r="AC26" s="32">
        <v>0</v>
      </c>
      <c r="AD26" s="32">
        <v>0</v>
      </c>
      <c r="AE26" s="32">
        <v>0</v>
      </c>
      <c r="AF26" s="32">
        <v>0</v>
      </c>
      <c r="AG26" s="32">
        <v>0</v>
      </c>
      <c r="AH26" s="32">
        <v>0</v>
      </c>
    </row>
    <row r="27" spans="1:34" s="11" customFormat="1" ht="15.75" customHeight="1" x14ac:dyDescent="0.25">
      <c r="A27" s="42" t="s">
        <v>39</v>
      </c>
      <c r="B27" s="43" t="s">
        <v>35</v>
      </c>
      <c r="C27" s="56"/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</row>
    <row r="28" spans="1:34" s="11" customFormat="1" ht="12.75" customHeight="1" x14ac:dyDescent="0.25">
      <c r="A28" s="67"/>
      <c r="B28" s="68"/>
      <c r="C28" s="69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</row>
    <row r="29" spans="1:34" s="11" customFormat="1" ht="16.5" customHeight="1" x14ac:dyDescent="0.2">
      <c r="A29" s="64"/>
      <c r="B29" s="65"/>
      <c r="C29" s="66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72"/>
    </row>
    <row r="30" spans="1:34" s="11" customFormat="1" ht="16.5" customHeight="1" x14ac:dyDescent="0.2">
      <c r="A30" s="90"/>
      <c r="B30" s="93" t="s">
        <v>36</v>
      </c>
      <c r="C30" s="73" t="s">
        <v>58</v>
      </c>
      <c r="D30" s="98" t="s">
        <v>49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100"/>
    </row>
    <row r="31" spans="1:34" s="11" customFormat="1" ht="16.5" customHeight="1" x14ac:dyDescent="0.2">
      <c r="A31" s="91"/>
      <c r="B31" s="94"/>
      <c r="C31" s="73" t="s">
        <v>50</v>
      </c>
      <c r="D31" s="96" t="s">
        <v>51</v>
      </c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</row>
    <row r="32" spans="1:34" s="11" customFormat="1" ht="16.5" customHeight="1" x14ac:dyDescent="0.2">
      <c r="A32" s="91"/>
      <c r="B32" s="94"/>
      <c r="C32" s="62"/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100"/>
    </row>
    <row r="33" spans="1:34" s="11" customFormat="1" ht="16.5" customHeight="1" x14ac:dyDescent="0.2">
      <c r="A33" s="91"/>
      <c r="B33" s="94"/>
      <c r="C33" s="62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</row>
    <row r="34" spans="1:34" s="11" customFormat="1" ht="15" customHeight="1" x14ac:dyDescent="0.2">
      <c r="A34" s="91"/>
      <c r="B34" s="94"/>
      <c r="C34" s="62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</row>
    <row r="35" spans="1:34" s="11" customFormat="1" ht="15" customHeight="1" x14ac:dyDescent="0.2">
      <c r="A35" s="91"/>
      <c r="B35" s="94"/>
      <c r="C35" s="62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</row>
    <row r="36" spans="1:34" s="11" customFormat="1" ht="15" customHeight="1" x14ac:dyDescent="0.2">
      <c r="A36" s="92"/>
      <c r="B36" s="95"/>
      <c r="C36" s="62"/>
      <c r="D36" s="96"/>
      <c r="E36" s="96"/>
      <c r="F36" s="96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</row>
    <row r="37" spans="1:34" s="11" customFormat="1" ht="15" x14ac:dyDescent="0.2">
      <c r="A37" s="59"/>
      <c r="B37" s="59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AB37" s="26"/>
      <c r="AC37" s="26"/>
      <c r="AD37" s="26"/>
      <c r="AE37" s="26"/>
    </row>
    <row r="38" spans="1:34" s="11" customFormat="1" ht="15" x14ac:dyDescent="0.2">
      <c r="A38" s="12"/>
      <c r="B38" s="38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AB38" s="26"/>
      <c r="AC38" s="26"/>
      <c r="AD38" s="26"/>
      <c r="AE38" s="26"/>
    </row>
    <row r="39" spans="1:34" s="11" customFormat="1" x14ac:dyDescent="0.2">
      <c r="A39" s="12"/>
      <c r="D39" s="58"/>
      <c r="AB39" s="26"/>
      <c r="AC39" s="26"/>
      <c r="AD39" s="26"/>
      <c r="AE39" s="26"/>
    </row>
    <row r="40" spans="1:34" s="11" customFormat="1" x14ac:dyDescent="0.2">
      <c r="A40" s="19" t="s">
        <v>12</v>
      </c>
      <c r="D40" s="12"/>
      <c r="K40" s="51"/>
      <c r="L40" s="51"/>
      <c r="AB40" s="26"/>
      <c r="AC40" s="26"/>
      <c r="AD40" s="26"/>
      <c r="AE40" s="26"/>
    </row>
    <row r="41" spans="1:34" s="11" customFormat="1" x14ac:dyDescent="0.2">
      <c r="A41" s="88" t="s">
        <v>2</v>
      </c>
      <c r="B41" s="88" t="s">
        <v>9</v>
      </c>
      <c r="C41" s="88" t="s">
        <v>1</v>
      </c>
      <c r="D41" s="82" t="s">
        <v>7</v>
      </c>
      <c r="E41" s="83"/>
      <c r="AB41" s="26"/>
      <c r="AC41" s="26"/>
      <c r="AD41" s="26"/>
      <c r="AE41" s="26"/>
    </row>
    <row r="42" spans="1:34" s="11" customFormat="1" x14ac:dyDescent="0.2">
      <c r="A42" s="89"/>
      <c r="B42" s="89"/>
      <c r="C42" s="89"/>
      <c r="D42" s="22" t="s">
        <v>10</v>
      </c>
      <c r="E42" s="18" t="s">
        <v>11</v>
      </c>
      <c r="AB42" s="26"/>
      <c r="AC42" s="26"/>
      <c r="AD42" s="26"/>
      <c r="AE42" s="26"/>
    </row>
    <row r="43" spans="1:34" s="11" customFormat="1" ht="15.75" x14ac:dyDescent="0.25">
      <c r="A43" s="36" t="s">
        <v>31</v>
      </c>
      <c r="B43" s="27" t="s">
        <v>37</v>
      </c>
      <c r="C43" s="33">
        <f>1-(((D43*3600)+(LEFT(E43,2)*60)+RIGHT(E43,2))/((60*60*24)*$C$8))</f>
        <v>1</v>
      </c>
      <c r="D43" s="16" t="str">
        <f>TEXT(SUM(D13:AH13),"[h]")</f>
        <v>0</v>
      </c>
      <c r="E43" s="16" t="str">
        <f>TEXT(SUM(D13:AH13),"mm ss")</f>
        <v>00 00</v>
      </c>
      <c r="G43" s="76"/>
      <c r="H43" s="49"/>
      <c r="I43" s="49"/>
      <c r="AB43" s="26"/>
      <c r="AC43" s="26"/>
      <c r="AD43" s="26"/>
      <c r="AE43" s="26"/>
    </row>
    <row r="44" spans="1:34" s="11" customFormat="1" ht="15.75" x14ac:dyDescent="0.25">
      <c r="A44" s="36" t="s">
        <v>22</v>
      </c>
      <c r="B44" s="27" t="s">
        <v>20</v>
      </c>
      <c r="C44" s="33">
        <f t="shared" ref="C44:C51" si="1">1-(((D44*3600)+(LEFT(E44,2)*60)+RIGHT(E44,2))/((60*60*24)*$C$8))</f>
        <v>1</v>
      </c>
      <c r="D44" s="16" t="str">
        <f>TEXT(SUM(D14:AH14),"[h]")</f>
        <v>0</v>
      </c>
      <c r="E44" s="16" t="str">
        <f>TEXT(SUM(D14:AH14),"mm ss")</f>
        <v>00 00</v>
      </c>
      <c r="G44" s="77"/>
      <c r="H44" s="49"/>
      <c r="I44" s="49"/>
      <c r="AB44" s="26"/>
      <c r="AC44" s="26"/>
      <c r="AD44" s="26"/>
      <c r="AE44" s="26"/>
    </row>
    <row r="45" spans="1:34" s="11" customFormat="1" ht="15.75" x14ac:dyDescent="0.25">
      <c r="A45" s="36" t="s">
        <v>23</v>
      </c>
      <c r="B45" s="27" t="s">
        <v>15</v>
      </c>
      <c r="C45" s="33">
        <f t="shared" si="1"/>
        <v>1</v>
      </c>
      <c r="D45" s="16" t="str">
        <f>TEXT(SUM(D15:AH15),"[h]")</f>
        <v>0</v>
      </c>
      <c r="E45" s="16" t="str">
        <f>TEXT(SUM(D15:AH15),"mm ss")</f>
        <v>00 00</v>
      </c>
      <c r="G45" s="78"/>
      <c r="H45" s="79"/>
    </row>
    <row r="46" spans="1:34" s="11" customFormat="1" ht="15.75" x14ac:dyDescent="0.25">
      <c r="A46" s="36" t="s">
        <v>24</v>
      </c>
      <c r="B46" s="27" t="s">
        <v>44</v>
      </c>
      <c r="C46" s="33">
        <f t="shared" si="1"/>
        <v>1</v>
      </c>
      <c r="D46" s="16" t="str">
        <f>TEXT(SUM(D17:AH17),"[h]")</f>
        <v>0</v>
      </c>
      <c r="E46" s="16" t="str">
        <f>TEXT(SUM(D17:AH17),"mm ss")</f>
        <v>00 00</v>
      </c>
      <c r="G46" s="78"/>
    </row>
    <row r="47" spans="1:34" s="11" customFormat="1" ht="15.75" x14ac:dyDescent="0.25">
      <c r="A47" s="36" t="s">
        <v>25</v>
      </c>
      <c r="B47" s="27" t="s">
        <v>16</v>
      </c>
      <c r="C47" s="33">
        <f t="shared" si="1"/>
        <v>1</v>
      </c>
      <c r="D47" s="16" t="str">
        <f>TEXT(SUM(D18:AH18),"[h]")</f>
        <v>0</v>
      </c>
      <c r="E47" s="16" t="str">
        <f>TEXT(SUM(D18:AH18),"mm ss")</f>
        <v>00 00</v>
      </c>
      <c r="G47" s="17"/>
    </row>
    <row r="48" spans="1:34" s="11" customFormat="1" ht="15.75" x14ac:dyDescent="0.25">
      <c r="A48" s="36" t="s">
        <v>26</v>
      </c>
      <c r="B48" s="27" t="s">
        <v>17</v>
      </c>
      <c r="C48" s="33">
        <f t="shared" si="1"/>
        <v>1</v>
      </c>
      <c r="D48" s="16" t="str">
        <f>TEXT(SUM(D19:AH19),"[h]")</f>
        <v>0</v>
      </c>
      <c r="E48" s="16" t="str">
        <f>TEXT(SUM(D19:AH19),"mm ss")</f>
        <v>00 00</v>
      </c>
      <c r="G48" s="17"/>
      <c r="J48" s="20"/>
    </row>
    <row r="49" spans="1:34" s="11" customFormat="1" ht="15.75" x14ac:dyDescent="0.25">
      <c r="A49" s="36" t="s">
        <v>27</v>
      </c>
      <c r="B49" s="27" t="s">
        <v>18</v>
      </c>
      <c r="C49" s="33">
        <f>1-(((D49*3600)+(LEFT(E49,2)*60)+RIGHT(E49,2))/((60*60*24)*$C$8))</f>
        <v>1</v>
      </c>
      <c r="D49" s="16" t="str">
        <f>TEXT(SUM(D21:AH21),"[h]")</f>
        <v>0</v>
      </c>
      <c r="E49" s="16" t="str">
        <f>TEXT(SUM(D21:AH21),"mm ss")</f>
        <v>00 00</v>
      </c>
      <c r="G49" s="17"/>
    </row>
    <row r="50" spans="1:34" s="11" customFormat="1" ht="15.75" x14ac:dyDescent="0.25">
      <c r="A50" s="36" t="s">
        <v>28</v>
      </c>
      <c r="B50" s="27" t="s">
        <v>19</v>
      </c>
      <c r="C50" s="33">
        <f t="shared" si="1"/>
        <v>1</v>
      </c>
      <c r="D50" s="16" t="str">
        <f>TEXT(SUM(D20:AH20),"[h]")</f>
        <v>0</v>
      </c>
      <c r="E50" s="16" t="str">
        <f>TEXT(SUM(D20:AH20),"mm ss")</f>
        <v>00 00</v>
      </c>
      <c r="G50" s="17"/>
    </row>
    <row r="51" spans="1:34" s="11" customFormat="1" ht="15.75" x14ac:dyDescent="0.25">
      <c r="A51" s="36" t="s">
        <v>29</v>
      </c>
      <c r="B51" s="27" t="s">
        <v>21</v>
      </c>
      <c r="C51" s="33">
        <f t="shared" si="1"/>
        <v>1</v>
      </c>
      <c r="D51" s="16" t="str">
        <f>TEXT(SUM(D26:AH26),"[h]")</f>
        <v>0</v>
      </c>
      <c r="E51" s="16" t="str">
        <f>TEXT(SUM(D26:AH26),"mm ss")</f>
        <v>00 00</v>
      </c>
      <c r="G51" s="17"/>
      <c r="O51" s="53"/>
    </row>
    <row r="52" spans="1:34" s="11" customFormat="1" ht="15.75" x14ac:dyDescent="0.25">
      <c r="A52" s="36" t="s">
        <v>30</v>
      </c>
      <c r="B52" s="43" t="s">
        <v>45</v>
      </c>
      <c r="C52" s="33">
        <f t="shared" ref="C52" si="2">1-(((D52*3600)+(LEFT(E52,2)*60)+RIGHT(E52,2))/((60*60*24)*$C$8))</f>
        <v>1</v>
      </c>
      <c r="D52" s="16" t="str">
        <f>TEXT(SUM(D16:AH16),"[h]")</f>
        <v>0</v>
      </c>
      <c r="E52" s="16" t="str">
        <f>TEXT(SUM(D16:AH16),"mm ss")</f>
        <v>00 00</v>
      </c>
      <c r="G52" s="17"/>
      <c r="O52" s="53"/>
    </row>
    <row r="53" spans="1:34" s="11" customFormat="1" ht="15.75" x14ac:dyDescent="0.25">
      <c r="A53" s="36" t="s">
        <v>32</v>
      </c>
      <c r="B53" s="43" t="s">
        <v>47</v>
      </c>
      <c r="C53" s="28">
        <f>1-(((D53*3600)+(LEFT(E53,2)*60)+RIGHT(E53,2))/((60*60*24)*$C$8))</f>
        <v>1</v>
      </c>
      <c r="D53" s="16" t="str">
        <f>TEXT(SUM(D24:AH24),"[h]")</f>
        <v>0</v>
      </c>
      <c r="E53" s="16" t="str">
        <f>TEXT(SUM(D24:AH24),"mm ss")</f>
        <v>00 00</v>
      </c>
      <c r="G53" s="17"/>
      <c r="O53" s="53"/>
    </row>
    <row r="54" spans="1:34" s="11" customFormat="1" ht="15.75" x14ac:dyDescent="0.25">
      <c r="A54" s="36" t="s">
        <v>33</v>
      </c>
      <c r="B54" s="43" t="s">
        <v>48</v>
      </c>
      <c r="C54" s="28">
        <f>1-(((D54*3600)+(LEFT(E54,2)*60)+RIGHT(E54,2))/((60*60*24)*$C$8))</f>
        <v>1</v>
      </c>
      <c r="D54" s="16" t="str">
        <f>TEXT(SUM(D23:AH23),"[h]")</f>
        <v>0</v>
      </c>
      <c r="E54" s="16" t="str">
        <f>TEXT(SUM(D23:AH23),"mm ss")</f>
        <v>00 00</v>
      </c>
      <c r="G54" s="17"/>
      <c r="O54" s="53"/>
    </row>
    <row r="55" spans="1:34" s="11" customFormat="1" ht="15.75" x14ac:dyDescent="0.25">
      <c r="A55" s="36" t="s">
        <v>34</v>
      </c>
      <c r="B55" s="43" t="s">
        <v>40</v>
      </c>
      <c r="C55" s="28">
        <f t="shared" ref="C55:C56" si="3">1-(((D55*3600)+(LEFT(E55,2)*60)+RIGHT(E55,2))/((60*60*24)*$C$8))</f>
        <v>1</v>
      </c>
      <c r="D55" s="16" t="str">
        <f>TEXT(SUM(D22:AH22),"[h]")</f>
        <v>0</v>
      </c>
      <c r="E55" s="16" t="str">
        <f>TEXT(SUM(D22:AH22),"mm ss")</f>
        <v>00 00</v>
      </c>
      <c r="G55" s="17"/>
      <c r="O55" s="53"/>
    </row>
    <row r="56" spans="1:34" s="13" customFormat="1" ht="15.75" x14ac:dyDescent="0.25">
      <c r="A56" s="52" t="s">
        <v>38</v>
      </c>
      <c r="B56" s="43" t="s">
        <v>35</v>
      </c>
      <c r="C56" s="28">
        <f t="shared" si="3"/>
        <v>1</v>
      </c>
      <c r="D56" s="16" t="str">
        <f>TEXT(SUM(D27:AH27),"[h]")</f>
        <v>0</v>
      </c>
      <c r="E56" s="16" t="str">
        <f>TEXT(SUM(D27:AH27),"mm ss")</f>
        <v>00 00</v>
      </c>
      <c r="F56" s="11"/>
      <c r="G56" s="17"/>
      <c r="H56" s="11"/>
      <c r="I56" s="11"/>
      <c r="J56" s="11"/>
      <c r="K56" s="11"/>
      <c r="L56" s="53"/>
      <c r="M56" s="53"/>
      <c r="N56" s="53"/>
      <c r="O56" s="54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</row>
    <row r="57" spans="1:34" s="13" customFormat="1" ht="15.75" x14ac:dyDescent="0.25">
      <c r="A57" s="52" t="s">
        <v>39</v>
      </c>
      <c r="B57" s="27" t="s">
        <v>46</v>
      </c>
      <c r="C57" s="28">
        <f>1-(((D57*3600)+(LEFT(E57,2)*60)+RIGHT(E57,2))/((60*60*24)*$C$8))</f>
        <v>1</v>
      </c>
      <c r="D57" s="16" t="str">
        <f>TEXT(SUM(D25:AH25),"[h]")</f>
        <v>0</v>
      </c>
      <c r="E57" s="16" t="str">
        <f>TEXT(SUM(D25:AH25),"mm ss")</f>
        <v>00 00</v>
      </c>
      <c r="F57" s="11"/>
      <c r="G57" s="17"/>
      <c r="H57" s="11"/>
      <c r="I57" s="11"/>
      <c r="J57" s="11"/>
      <c r="K57" s="11"/>
      <c r="L57" s="53"/>
      <c r="M57" s="53"/>
      <c r="N57" s="53"/>
      <c r="O57" s="54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</row>
    <row r="58" spans="1:34" s="13" customFormat="1" ht="15.75" x14ac:dyDescent="0.25">
      <c r="A58" s="52"/>
      <c r="B58" s="27"/>
      <c r="C58" s="28"/>
      <c r="D58" s="16"/>
      <c r="E58" s="16"/>
      <c r="F58" s="11"/>
      <c r="G58" s="17"/>
      <c r="H58" s="11"/>
      <c r="I58" s="11"/>
      <c r="J58" s="11"/>
      <c r="K58" s="11"/>
      <c r="L58" s="53"/>
      <c r="M58" s="53"/>
      <c r="N58" s="53"/>
      <c r="O58" s="54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</row>
    <row r="59" spans="1:34" ht="15.75" x14ac:dyDescent="0.25">
      <c r="A59" s="46"/>
      <c r="B59" s="47"/>
      <c r="C59" s="48"/>
      <c r="D59" s="49"/>
      <c r="E59" s="49"/>
      <c r="F59" s="11"/>
      <c r="G59" s="17"/>
      <c r="H59" s="11"/>
      <c r="I59" s="11"/>
      <c r="J59" s="11"/>
      <c r="K59" s="11"/>
      <c r="L59" s="53"/>
      <c r="M59" s="53"/>
      <c r="N59" s="53"/>
      <c r="O59" s="55"/>
    </row>
    <row r="60" spans="1:34" x14ac:dyDescent="0.2">
      <c r="A60" s="12"/>
      <c r="B60" s="11"/>
      <c r="C60" s="21"/>
      <c r="D60" s="12"/>
      <c r="E60" s="11"/>
      <c r="F60" s="11"/>
      <c r="G60" s="11"/>
      <c r="H60" s="11"/>
      <c r="I60" s="11"/>
      <c r="J60" s="11"/>
      <c r="K60" s="11"/>
      <c r="L60" s="53"/>
      <c r="M60" s="53"/>
      <c r="N60" s="53"/>
      <c r="O60" s="55"/>
    </row>
    <row r="61" spans="1:34" x14ac:dyDescent="0.2">
      <c r="A61" s="12"/>
      <c r="B61" s="11"/>
      <c r="C61" s="11"/>
      <c r="D61" s="12"/>
      <c r="E61" s="11"/>
      <c r="F61" s="11"/>
      <c r="G61" s="11"/>
      <c r="H61" s="11"/>
      <c r="I61" s="11"/>
      <c r="J61" s="11"/>
      <c r="K61" s="11"/>
      <c r="L61" s="53"/>
      <c r="M61" s="53"/>
      <c r="N61" s="53"/>
      <c r="O61" s="55"/>
    </row>
    <row r="62" spans="1:34" x14ac:dyDescent="0.2">
      <c r="A62" s="12"/>
      <c r="B62" s="20" t="s">
        <v>43</v>
      </c>
      <c r="C62" s="74"/>
      <c r="D62" s="15"/>
      <c r="E62" s="15"/>
      <c r="F62" s="15"/>
      <c r="G62" s="15"/>
      <c r="H62" s="15"/>
      <c r="I62" s="15"/>
      <c r="J62" s="15"/>
      <c r="K62" s="15"/>
      <c r="L62" s="54"/>
      <c r="M62" s="54"/>
      <c r="N62" s="54"/>
      <c r="O62" s="55"/>
    </row>
    <row r="63" spans="1:34" x14ac:dyDescent="0.2">
      <c r="A63"/>
      <c r="B63" s="11" t="s">
        <v>41</v>
      </c>
      <c r="C63" s="75">
        <f>(SUM(C43:C57))/(100%*15)</f>
        <v>1</v>
      </c>
      <c r="G63" s="34"/>
      <c r="L63" s="55"/>
      <c r="M63" s="55"/>
      <c r="N63" s="55"/>
      <c r="O63" s="55"/>
    </row>
    <row r="64" spans="1:34" x14ac:dyDescent="0.2">
      <c r="L64" s="55"/>
      <c r="M64" s="55"/>
      <c r="N64" s="55"/>
      <c r="O64" s="55"/>
    </row>
    <row r="65" spans="1:34" x14ac:dyDescent="0.2">
      <c r="L65" s="55"/>
      <c r="M65" s="55"/>
      <c r="N65" s="55"/>
    </row>
    <row r="66" spans="1:34" x14ac:dyDescent="0.2">
      <c r="L66" s="55"/>
      <c r="M66" s="55"/>
      <c r="N66" s="5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</row>
    <row r="67" spans="1:34" x14ac:dyDescent="0.2">
      <c r="B67" s="11"/>
      <c r="L67" s="55"/>
      <c r="M67" s="55"/>
      <c r="N67" s="55"/>
    </row>
    <row r="68" spans="1:34" x14ac:dyDescent="0.2">
      <c r="B68" s="11"/>
      <c r="L68" s="55"/>
      <c r="M68" s="55"/>
      <c r="N68" s="55"/>
    </row>
    <row r="69" spans="1:34" x14ac:dyDescent="0.2">
      <c r="B69" s="11"/>
      <c r="E69" s="57"/>
    </row>
    <row r="70" spans="1:34" x14ac:dyDescent="0.2">
      <c r="A70"/>
      <c r="B70" s="11"/>
    </row>
    <row r="71" spans="1:34" x14ac:dyDescent="0.2">
      <c r="B71" s="11"/>
    </row>
    <row r="72" spans="1:34" x14ac:dyDescent="0.2">
      <c r="B72" s="11"/>
    </row>
    <row r="73" spans="1:34" x14ac:dyDescent="0.2">
      <c r="B73" s="11"/>
    </row>
    <row r="74" spans="1:34" x14ac:dyDescent="0.2">
      <c r="O74" s="24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 spans="1:34" x14ac:dyDescent="0.2">
      <c r="B75" s="11"/>
      <c r="O75" s="24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 spans="1:34" x14ac:dyDescent="0.2">
      <c r="B76" s="11"/>
      <c r="O76" s="24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 spans="1:34" x14ac:dyDescent="0.2">
      <c r="B77" s="11"/>
      <c r="O77" s="24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 spans="1:34" x14ac:dyDescent="0.2">
      <c r="A78"/>
      <c r="B78" s="11"/>
      <c r="E78" s="23"/>
      <c r="F78" s="24"/>
      <c r="G78" s="24"/>
      <c r="H78" s="24"/>
      <c r="I78" s="24"/>
      <c r="J78" s="24"/>
      <c r="K78" s="24"/>
      <c r="L78" s="24"/>
      <c r="M78" s="24"/>
      <c r="N78" s="24"/>
    </row>
    <row r="79" spans="1:34" x14ac:dyDescent="0.2">
      <c r="A79"/>
      <c r="B79" s="11"/>
      <c r="E79" s="23"/>
      <c r="F79" s="24"/>
      <c r="G79" s="24"/>
      <c r="H79" s="24"/>
      <c r="I79" s="24"/>
      <c r="J79" s="24"/>
      <c r="K79" s="24"/>
      <c r="L79" s="24"/>
      <c r="M79" s="24"/>
      <c r="N79" s="24"/>
    </row>
    <row r="80" spans="1:34" x14ac:dyDescent="0.2">
      <c r="A80"/>
      <c r="B80" s="11"/>
      <c r="E80" s="23"/>
      <c r="F80" s="24"/>
      <c r="G80" s="24"/>
      <c r="H80" s="24"/>
      <c r="I80" s="24"/>
      <c r="J80" s="24"/>
      <c r="K80" s="24"/>
      <c r="L80" s="24"/>
      <c r="M80" s="24"/>
      <c r="N80" s="24"/>
    </row>
    <row r="81" spans="1:14" x14ac:dyDescent="0.2">
      <c r="A81"/>
      <c r="B81" s="11"/>
      <c r="D81"/>
      <c r="E81" s="23"/>
      <c r="F81" s="24"/>
      <c r="G81" s="24"/>
      <c r="H81" s="24"/>
      <c r="I81" s="24"/>
      <c r="J81" s="24"/>
      <c r="K81" s="24"/>
      <c r="L81" s="24"/>
      <c r="M81" s="24"/>
      <c r="N81" s="24"/>
    </row>
    <row r="82" spans="1:14" x14ac:dyDescent="0.2">
      <c r="B82" s="20"/>
    </row>
  </sheetData>
  <mergeCells count="16">
    <mergeCell ref="D41:E41"/>
    <mergeCell ref="A10:A11"/>
    <mergeCell ref="B10:B11"/>
    <mergeCell ref="C10:C11"/>
    <mergeCell ref="A41:A42"/>
    <mergeCell ref="B41:B42"/>
    <mergeCell ref="C41:C42"/>
    <mergeCell ref="A30:A36"/>
    <mergeCell ref="B30:B36"/>
    <mergeCell ref="D36:AH36"/>
    <mergeCell ref="D31:AH31"/>
    <mergeCell ref="D32:AH32"/>
    <mergeCell ref="D33:AH33"/>
    <mergeCell ref="D34:AH34"/>
    <mergeCell ref="D35:AH35"/>
    <mergeCell ref="D30:AH30"/>
  </mergeCells>
  <phoneticPr fontId="9" type="noConversion"/>
  <conditionalFormatting sqref="D13:D15 D16:F16 AC13:AE15 AA16:AF16 AC17:AE19 AA13:AB19 D17:Z19 AC26:AH26 D26:L26 D19:AH19 D20:F21 G18:AH21 D28:AA28 D27:AH27 AH28 D21:AH25 AF13:AH19">
    <cfRule type="cellIs" dxfId="7" priority="182" stopIfTrue="1" operator="greaterThan">
      <formula>0</formula>
    </cfRule>
  </conditionalFormatting>
  <conditionalFormatting sqref="D13:Z16">
    <cfRule type="cellIs" dxfId="6" priority="13" stopIfTrue="1" operator="greaterThan">
      <formula>0</formula>
    </cfRule>
  </conditionalFormatting>
  <conditionalFormatting sqref="M26:AB26">
    <cfRule type="cellIs" dxfId="5" priority="33" stopIfTrue="1" operator="greaterThan">
      <formula>0</formula>
    </cfRule>
  </conditionalFormatting>
  <conditionalFormatting sqref="G16:Z16">
    <cfRule type="cellIs" dxfId="4" priority="28" stopIfTrue="1" operator="greaterThan">
      <formula>0</formula>
    </cfRule>
  </conditionalFormatting>
  <conditionalFormatting sqref="K40:L40">
    <cfRule type="cellIs" dxfId="3" priority="71" stopIfTrue="1" operator="greaterThan">
      <formula>0</formula>
    </cfRule>
  </conditionalFormatting>
  <conditionalFormatting sqref="AB28:AG28">
    <cfRule type="cellIs" dxfId="2" priority="40" stopIfTrue="1" operator="greaterThan">
      <formula>0</formula>
    </cfRule>
  </conditionalFormatting>
  <conditionalFormatting sqref="AG16:AH16">
    <cfRule type="cellIs" dxfId="1" priority="29" stopIfTrue="1" operator="greaterThan">
      <formula>0</formula>
    </cfRule>
  </conditionalFormatting>
  <conditionalFormatting sqref="AH15">
    <cfRule type="cellIs" dxfId="0" priority="1" stopIfTrue="1" operator="greaterThan">
      <formula>0</formula>
    </cfRule>
  </conditionalFormatting>
  <pageMargins left="0.75" right="0.25" top="1" bottom="1" header="0.5" footer="0.5"/>
  <pageSetup paperSize="9" scale="23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2024-07-02T06:15:38Z</cp:lastPrinted>
  <dcterms:created xsi:type="dcterms:W3CDTF">2006-10-16T02:50:45Z</dcterms:created>
  <dcterms:modified xsi:type="dcterms:W3CDTF">2026-08-01T07:02:14Z</dcterms:modified>
</cp:coreProperties>
</file>