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April 2026\"/>
    </mc:Choice>
  </mc:AlternateContent>
  <xr:revisionPtr revIDLastSave="0" documentId="13_ncr:1_{37A65B20-274A-47B3-838D-944E68F174BD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6" i="11" l="1"/>
  <c r="C30" i="11" s="1"/>
</calcChain>
</file>

<file path=xl/sharedStrings.xml><?xml version="1.0" encoding="utf-8"?>
<sst xmlns="http://schemas.openxmlformats.org/spreadsheetml/2006/main" count="54" uniqueCount="22">
  <si>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</si>
  <si>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</si>
  <si>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</si>
  <si>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</si>
  <si>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</si>
  <si>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</si>
  <si>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</si>
  <si>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</si>
  <si>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</si>
  <si>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</si>
  <si>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</si>
  <si>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</si>
  <si>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</si>
  <si>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</si>
  <si>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</si>
  <si>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</si>
  <si>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</si>
  <si>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</si>
  <si>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</si>
  <si>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PT NAP Info Lintas Nusa</t>
  </si>
  <si>
    <t>28 April</t>
  </si>
  <si>
    <t>Link Localoop Metro Flicker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</si>
</sst>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quotePrefix="1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5" fontId="8" fillId="0" borderId="14" xfId="0" applyNumberFormat="1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20" sqref="D20:AG20"/>
    </sheetView>
  </sheetViews>
  <sheetFormatPr defaultRowHeight="12.75" x14ac:dyDescent="0.2"/>
  <cols>
    <col min="1" max="1" width="5.7109375" style="2" customWidth="1"/>
    <col min="2" max="2" width="45.5703125" customWidth="1"/>
    <col min="3" max="3" width="24.85546875" bestFit="1" customWidth="1"/>
    <col min="4" max="4" width="9.140625" style="11" customWidth="1"/>
    <col min="5" max="16" width="9.140625" style="13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17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8">
        <v>46113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5" t="s">
        <v>2</v>
      </c>
      <c r="B10" s="67" t="s">
        <v>0</v>
      </c>
      <c r="C10" s="69" t="s">
        <v>7</v>
      </c>
      <c r="D10" s="20">
        <f>C7</f>
        <v>46113</v>
      </c>
      <c r="E10" s="20">
        <f>D10+1</f>
        <v>46114</v>
      </c>
      <c r="F10" s="20">
        <f t="shared" ref="F10:AG10" si="0">E10+1</f>
        <v>46115</v>
      </c>
      <c r="G10" s="20">
        <f t="shared" si="0"/>
        <v>46116</v>
      </c>
      <c r="H10" s="20">
        <f t="shared" si="0"/>
        <v>46117</v>
      </c>
      <c r="I10" s="20">
        <f t="shared" si="0"/>
        <v>46118</v>
      </c>
      <c r="J10" s="20">
        <f t="shared" si="0"/>
        <v>46119</v>
      </c>
      <c r="K10" s="20">
        <f t="shared" si="0"/>
        <v>46120</v>
      </c>
      <c r="L10" s="20">
        <f t="shared" si="0"/>
        <v>46121</v>
      </c>
      <c r="M10" s="20">
        <f t="shared" si="0"/>
        <v>46122</v>
      </c>
      <c r="N10" s="20">
        <f t="shared" si="0"/>
        <v>46123</v>
      </c>
      <c r="O10" s="20">
        <f t="shared" si="0"/>
        <v>46124</v>
      </c>
      <c r="P10" s="20">
        <f t="shared" si="0"/>
        <v>46125</v>
      </c>
      <c r="Q10" s="20">
        <f t="shared" si="0"/>
        <v>46126</v>
      </c>
      <c r="R10" s="20">
        <f t="shared" si="0"/>
        <v>46127</v>
      </c>
      <c r="S10" s="20">
        <f t="shared" si="0"/>
        <v>46128</v>
      </c>
      <c r="T10" s="20">
        <f t="shared" si="0"/>
        <v>46129</v>
      </c>
      <c r="U10" s="20">
        <f t="shared" si="0"/>
        <v>46130</v>
      </c>
      <c r="V10" s="20">
        <f t="shared" si="0"/>
        <v>46131</v>
      </c>
      <c r="W10" s="20">
        <f t="shared" si="0"/>
        <v>46132</v>
      </c>
      <c r="X10" s="20">
        <f t="shared" si="0"/>
        <v>46133</v>
      </c>
      <c r="Y10" s="20">
        <f t="shared" si="0"/>
        <v>46134</v>
      </c>
      <c r="Z10" s="20">
        <f t="shared" si="0"/>
        <v>46135</v>
      </c>
      <c r="AA10" s="20">
        <f t="shared" si="0"/>
        <v>46136</v>
      </c>
      <c r="AB10" s="20">
        <f t="shared" si="0"/>
        <v>46137</v>
      </c>
      <c r="AC10" s="20">
        <f t="shared" si="0"/>
        <v>46138</v>
      </c>
      <c r="AD10" s="20">
        <f t="shared" si="0"/>
        <v>46139</v>
      </c>
      <c r="AE10" s="20">
        <f t="shared" si="0"/>
        <v>46140</v>
      </c>
      <c r="AF10" s="20">
        <f t="shared" si="0"/>
        <v>46141</v>
      </c>
      <c r="AG10" s="64">
        <f t="shared" si="0"/>
        <v>46142</v>
      </c>
      <c r="AH10" s="57"/>
    </row>
    <row r="11" spans="1:34" s="1" customFormat="1" x14ac:dyDescent="0.2">
      <c r="A11" s="66"/>
      <c r="B11" s="68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62"/>
    </row>
    <row r="12" spans="1:34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4" s="43" customFormat="1" ht="39.950000000000003" customHeight="1" x14ac:dyDescent="0.2">
      <c r="A13" s="58">
        <v>1</v>
      </c>
      <c r="B13" s="59" t="s">
        <v>15</v>
      </c>
      <c r="C13" s="41" t="s">
        <v>19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6.9444444444444441E-3</v>
      </c>
      <c r="AF13" s="42">
        <v>0</v>
      </c>
      <c r="AG13" s="42">
        <v>0</v>
      </c>
      <c r="AH13" s="63"/>
    </row>
    <row r="14" spans="1:34" s="14" customFormat="1" ht="12.75" customHeight="1" x14ac:dyDescent="0.2">
      <c r="A14" s="78" t="s">
        <v>18</v>
      </c>
      <c r="B14" s="79"/>
      <c r="C14" s="73" t="s">
        <v>20</v>
      </c>
      <c r="D14" s="84" t="s">
        <v>21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4" s="14" customFormat="1" ht="12.75" customHeight="1" x14ac:dyDescent="0.2">
      <c r="A15" s="80"/>
      <c r="B15" s="81"/>
      <c r="C15" s="7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4" s="14" customFormat="1" ht="12.75" customHeight="1" x14ac:dyDescent="0.2">
      <c r="A16" s="80"/>
      <c r="B16" s="81"/>
      <c r="C16" s="77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4" s="14" customFormat="1" ht="12.75" customHeight="1" x14ac:dyDescent="0.2">
      <c r="A17" s="80"/>
      <c r="B17" s="81"/>
      <c r="C17" s="7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4" s="14" customFormat="1" ht="12.75" customHeight="1" x14ac:dyDescent="0.2">
      <c r="A18" s="80"/>
      <c r="B18" s="81"/>
      <c r="C18" s="75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</row>
    <row r="19" spans="1:34" s="14" customFormat="1" ht="12.75" customHeight="1" x14ac:dyDescent="0.2">
      <c r="A19" s="80"/>
      <c r="B19" s="81"/>
      <c r="C19" s="76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57"/>
    </row>
    <row r="20" spans="1:34" s="14" customFormat="1" ht="25.5" customHeight="1" x14ac:dyDescent="0.2">
      <c r="A20" s="82"/>
      <c r="B20" s="83"/>
      <c r="C20" s="60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57"/>
    </row>
    <row r="21" spans="1:34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H21" s="57"/>
    </row>
    <row r="22" spans="1:34" s="14" customFormat="1" x14ac:dyDescent="0.2">
      <c r="A22" s="15"/>
      <c r="D22" s="16"/>
      <c r="E22" s="15"/>
      <c r="I22" s="27"/>
    </row>
    <row r="23" spans="1:34" s="14" customFormat="1" x14ac:dyDescent="0.2">
      <c r="A23" s="26" t="s">
        <v>11</v>
      </c>
      <c r="D23" s="16"/>
      <c r="E23" s="15"/>
      <c r="AF23" s="33"/>
    </row>
    <row r="24" spans="1:34" s="14" customFormat="1" ht="14.25" x14ac:dyDescent="0.2">
      <c r="A24" s="72" t="s">
        <v>2</v>
      </c>
      <c r="B24" s="72" t="s">
        <v>8</v>
      </c>
      <c r="C24" s="72" t="s">
        <v>1</v>
      </c>
      <c r="D24" s="71" t="s">
        <v>6</v>
      </c>
      <c r="E24" s="71"/>
      <c r="G24" s="61"/>
      <c r="H24" s="48"/>
      <c r="AF24" s="33"/>
    </row>
    <row r="25" spans="1:34" s="14" customFormat="1" x14ac:dyDescent="0.2">
      <c r="A25" s="72"/>
      <c r="B25" s="72"/>
      <c r="C25" s="72"/>
      <c r="D25" s="29" t="s">
        <v>9</v>
      </c>
      <c r="E25" s="25" t="s">
        <v>10</v>
      </c>
      <c r="AF25" s="33"/>
    </row>
    <row r="26" spans="1:34" s="17" customFormat="1" ht="15.75" x14ac:dyDescent="0.25">
      <c r="A26" s="39">
        <v>1</v>
      </c>
      <c r="B26" s="40" t="s">
        <v>15</v>
      </c>
      <c r="C26" s="34">
        <f>1-(((D26*3600)+(LEFT(E26,2)*60)+RIGHT(E26,2))/((60*60*24)*$C$8))</f>
        <v>0.99976851851851856</v>
      </c>
      <c r="D26" s="23" t="str">
        <f>TEXT(SUM(D13:AG13),"[h]")</f>
        <v>0</v>
      </c>
      <c r="E26" s="23" t="str">
        <f>TEXT(SUM(D13:AG13),"mm ss")</f>
        <v>10 00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</row>
    <row r="27" spans="1:34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7"/>
    </row>
    <row r="29" spans="1:34" x14ac:dyDescent="0.2">
      <c r="A29" s="15"/>
      <c r="B29" s="27" t="s">
        <v>14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4" ht="14.25" x14ac:dyDescent="0.2">
      <c r="B30" s="52" t="s">
        <v>16</v>
      </c>
      <c r="C30" s="49">
        <f>C26</f>
        <v>0.99976851851851856</v>
      </c>
      <c r="G30" s="51"/>
      <c r="H30" s="37"/>
    </row>
    <row r="32" spans="1:34" x14ac:dyDescent="0.2">
      <c r="H32" s="44"/>
      <c r="I32" s="14"/>
    </row>
    <row r="35" spans="2:33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</row>
    <row r="43" spans="2:33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</row>
    <row r="44" spans="2:33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2:33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2:33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G15"/>
    <mergeCell ref="D16:AG17"/>
    <mergeCell ref="D18:AG19"/>
    <mergeCell ref="D20:AG20"/>
  </mergeCells>
  <phoneticPr fontId="9" type="noConversion"/>
  <conditionalFormatting sqref="D13:AG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2007-08-03T02:53:39Z</cp:lastPrinted>
  <dcterms:created xsi:type="dcterms:W3CDTF">2006-10-16T02:50:45Z</dcterms:created>
  <dcterms:modified xsi:type="dcterms:W3CDTF">2026-05-03T14:47:39Z</dcterms:modified>
</cp:coreProperties>
</file>