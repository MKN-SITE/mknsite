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pril 2026\"/>
    </mc:Choice>
  </mc:AlternateContent>
  <xr:revisionPtr revIDLastSave="0" documentId="13_ncr:1_{C52CDE66-87DC-446B-A2CB-F02D03E77B5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<sst xmlns="http://schemas.openxmlformats.org/spreadsheetml/2006/main" count="116" uniqueCount="54">
  <si>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</si>
  <si>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</si>
  <si>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</si>
  <si>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</si>
  <si>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</si>
  <si>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</si>
  <si>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</si>
  <si>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</si>
  <si>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</si>
  <si>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</si>
  <si>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</si>
  <si>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</si>
  <si>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</si>
  <si>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</si>
  <si>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</si>
  <si>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</si>
  <si>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</si>
  <si>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</si>
  <si>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</si>
  <si>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</si>
  <si>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</si>
  <si>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</si>
  <si>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</si>
  <si>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</si>
  <si>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</si>
  <si>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</si>
  <si>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</si>
  <si>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</si>
  <si>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</si>
  <si>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</si>
  <si>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</si>
  <si>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</si>
  <si>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</si>
  <si>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</si>
  <si>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</si>
  <si>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</si>
  <si>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</si>
  <si>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</si>
  <si>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</si>
  <si>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</si>
  <si>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</si>
  <si>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</si>
  <si>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</si>
  <si>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</si>
  <si>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</si>
  <si>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</si>
  <si>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</si>
  <si>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</si>
  <si>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</si>
  <si>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30</t>
  </si>
  <si>
    <t>1 - 30 April</t>
  </si>
  <si>
    <t>Link PTH - Pinang South Off ( Aktif For Farnorth Andromeda )</t>
  </si>
  <si>
    <t>Link Surya - Bintang Down Problem Power</t>
  </si>
  <si>
    <t xml:space="preserve">16 April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</si>
</sst>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46" fontId="0" fillId="0" borderId="22" xfId="0" applyNumberFormat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5" fontId="39" fillId="0" borderId="4" xfId="0" quotePrefix="1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Normal="100" workbookViewId="0">
      <pane xSplit="3" ySplit="11" topLeftCell="D14" activePane="bottomRight" state="frozen"/>
      <selection pane="topRight" activeCell="D1" sqref="D1"/>
      <selection pane="bottomLeft" activeCell="A12" sqref="A12"/>
      <selection pane="bottomRight" activeCell="D33" sqref="D33:AG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5">
        <v>46113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7" t="s">
        <v>49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">
      <c r="A10" s="86" t="s">
        <v>2</v>
      </c>
      <c r="B10" s="88" t="s">
        <v>0</v>
      </c>
      <c r="C10" s="88" t="s">
        <v>8</v>
      </c>
      <c r="D10" s="40">
        <f>C7</f>
        <v>46113</v>
      </c>
      <c r="E10" s="40">
        <f>D10+1</f>
        <v>46114</v>
      </c>
      <c r="F10" s="40">
        <f t="shared" ref="F10:AF10" si="0">E10+1</f>
        <v>46115</v>
      </c>
      <c r="G10" s="40">
        <f t="shared" si="0"/>
        <v>46116</v>
      </c>
      <c r="H10" s="40">
        <f t="shared" si="0"/>
        <v>46117</v>
      </c>
      <c r="I10" s="40">
        <f t="shared" si="0"/>
        <v>46118</v>
      </c>
      <c r="J10" s="40">
        <f t="shared" si="0"/>
        <v>46119</v>
      </c>
      <c r="K10" s="40">
        <f t="shared" si="0"/>
        <v>46120</v>
      </c>
      <c r="L10" s="40">
        <f t="shared" si="0"/>
        <v>46121</v>
      </c>
      <c r="M10" s="40">
        <f t="shared" si="0"/>
        <v>46122</v>
      </c>
      <c r="N10" s="40">
        <f t="shared" si="0"/>
        <v>46123</v>
      </c>
      <c r="O10" s="40">
        <f t="shared" si="0"/>
        <v>46124</v>
      </c>
      <c r="P10" s="40">
        <f t="shared" si="0"/>
        <v>46125</v>
      </c>
      <c r="Q10" s="40">
        <f t="shared" si="0"/>
        <v>46126</v>
      </c>
      <c r="R10" s="40">
        <f t="shared" si="0"/>
        <v>46127</v>
      </c>
      <c r="S10" s="40">
        <f t="shared" si="0"/>
        <v>46128</v>
      </c>
      <c r="T10" s="40">
        <f t="shared" si="0"/>
        <v>46129</v>
      </c>
      <c r="U10" s="40">
        <f t="shared" si="0"/>
        <v>46130</v>
      </c>
      <c r="V10" s="40">
        <f t="shared" si="0"/>
        <v>46131</v>
      </c>
      <c r="W10" s="40">
        <f t="shared" si="0"/>
        <v>46132</v>
      </c>
      <c r="X10" s="40">
        <f t="shared" si="0"/>
        <v>46133</v>
      </c>
      <c r="Y10" s="40">
        <f t="shared" si="0"/>
        <v>46134</v>
      </c>
      <c r="Z10" s="40">
        <f t="shared" si="0"/>
        <v>46135</v>
      </c>
      <c r="AA10" s="40">
        <f t="shared" si="0"/>
        <v>46136</v>
      </c>
      <c r="AB10" s="40">
        <f t="shared" si="0"/>
        <v>46137</v>
      </c>
      <c r="AC10" s="40">
        <f t="shared" si="0"/>
        <v>46138</v>
      </c>
      <c r="AD10" s="40">
        <f t="shared" si="0"/>
        <v>46139</v>
      </c>
      <c r="AE10" s="40">
        <f t="shared" si="0"/>
        <v>46140</v>
      </c>
      <c r="AF10" s="40">
        <f t="shared" si="0"/>
        <v>46141</v>
      </c>
      <c r="AG10" s="72">
        <f>AF10+1</f>
        <v>46142</v>
      </c>
    </row>
    <row r="11" spans="1:33" s="1" customFormat="1" x14ac:dyDescent="0.2">
      <c r="A11" s="87"/>
      <c r="B11" s="89"/>
      <c r="C11" s="89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</row>
    <row r="14" spans="1:33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</row>
    <row r="15" spans="1:33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</row>
    <row r="16" spans="1:33" s="11" customFormat="1" ht="15.75" customHeight="1" x14ac:dyDescent="0.25">
      <c r="A16" s="42" t="s">
        <v>24</v>
      </c>
      <c r="B16" s="27" t="s">
        <v>43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</row>
    <row r="17" spans="1:33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1.0416666666666666E-2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</row>
    <row r="18" spans="1:33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</row>
    <row r="19" spans="1:33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</row>
    <row r="20" spans="1:33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</row>
    <row r="21" spans="1:33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</row>
    <row r="22" spans="1:33" s="11" customFormat="1" ht="15.75" customHeight="1" x14ac:dyDescent="0.25">
      <c r="A22" s="42" t="s">
        <v>30</v>
      </c>
      <c r="B22" s="43" t="s">
        <v>44</v>
      </c>
      <c r="C22" s="31"/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v>0</v>
      </c>
      <c r="AA22" s="82">
        <v>0</v>
      </c>
      <c r="AB22" s="82">
        <v>0</v>
      </c>
      <c r="AC22" s="82">
        <v>0</v>
      </c>
      <c r="AD22" s="82">
        <v>0</v>
      </c>
      <c r="AE22" s="82">
        <v>0</v>
      </c>
      <c r="AF22" s="82">
        <v>0</v>
      </c>
      <c r="AG22" s="82">
        <v>0</v>
      </c>
    </row>
    <row r="23" spans="1:33" s="11" customFormat="1" ht="15.75" customHeight="1" x14ac:dyDescent="0.25">
      <c r="A23" s="42" t="s">
        <v>32</v>
      </c>
      <c r="B23" s="43" t="s">
        <v>46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</row>
    <row r="24" spans="1:33" s="11" customFormat="1" ht="15.75" customHeight="1" x14ac:dyDescent="0.25">
      <c r="A24" s="42" t="s">
        <v>33</v>
      </c>
      <c r="B24" s="43" t="s">
        <v>47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</row>
    <row r="25" spans="1:33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</row>
    <row r="26" spans="1:33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</row>
    <row r="27" spans="1:33" s="11" customFormat="1" ht="15.75" customHeight="1" x14ac:dyDescent="0.25">
      <c r="A27" s="68" t="s">
        <v>39</v>
      </c>
      <c r="B27" s="27" t="s">
        <v>45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</row>
    <row r="28" spans="1:33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83"/>
    </row>
    <row r="29" spans="1:33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73"/>
    </row>
    <row r="30" spans="1:33" s="11" customFormat="1" ht="16.5" customHeight="1" x14ac:dyDescent="0.2">
      <c r="A30" s="92"/>
      <c r="B30" s="95" t="s">
        <v>36</v>
      </c>
      <c r="C30" s="74" t="s">
        <v>50</v>
      </c>
      <c r="D30" s="100" t="s">
        <v>48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</row>
    <row r="31" spans="1:33" s="11" customFormat="1" ht="16.5" customHeight="1" x14ac:dyDescent="0.2">
      <c r="A31" s="93"/>
      <c r="B31" s="96"/>
      <c r="C31" s="74" t="s">
        <v>50</v>
      </c>
      <c r="D31" s="98" t="s">
        <v>51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s="11" customFormat="1" ht="16.5" customHeight="1" x14ac:dyDescent="0.2">
      <c r="A32" s="93"/>
      <c r="B32" s="96"/>
      <c r="C32" s="102" t="s">
        <v>53</v>
      </c>
      <c r="D32" s="98" t="s">
        <v>52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</row>
    <row r="33" spans="1:33" s="11" customFormat="1" ht="16.5" customHeight="1" x14ac:dyDescent="0.2">
      <c r="A33" s="93"/>
      <c r="B33" s="96"/>
      <c r="C33" s="62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</row>
    <row r="34" spans="1:33" s="11" customFormat="1" ht="15" customHeight="1" x14ac:dyDescent="0.2">
      <c r="A34" s="93"/>
      <c r="B34" s="96"/>
      <c r="C34" s="62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</row>
    <row r="35" spans="1:33" s="11" customFormat="1" ht="15" customHeight="1" x14ac:dyDescent="0.2">
      <c r="A35" s="93"/>
      <c r="B35" s="96"/>
      <c r="C35" s="62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</row>
    <row r="36" spans="1:33" s="11" customFormat="1" ht="15" customHeight="1" x14ac:dyDescent="0.2">
      <c r="A36" s="94"/>
      <c r="B36" s="97"/>
      <c r="C36" s="62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</row>
    <row r="37" spans="1:33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3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3" s="11" customFormat="1" x14ac:dyDescent="0.2">
      <c r="A39" s="12"/>
      <c r="D39" s="58"/>
      <c r="AB39" s="26"/>
      <c r="AC39" s="26"/>
      <c r="AD39" s="26"/>
      <c r="AE39" s="26"/>
    </row>
    <row r="40" spans="1:33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3" s="11" customFormat="1" x14ac:dyDescent="0.2">
      <c r="A41" s="90" t="s">
        <v>2</v>
      </c>
      <c r="B41" s="90" t="s">
        <v>9</v>
      </c>
      <c r="C41" s="90" t="s">
        <v>1</v>
      </c>
      <c r="D41" s="84" t="s">
        <v>7</v>
      </c>
      <c r="E41" s="85"/>
      <c r="AB41" s="26"/>
      <c r="AC41" s="26"/>
      <c r="AD41" s="26"/>
      <c r="AE41" s="26"/>
    </row>
    <row r="42" spans="1:33" s="11" customFormat="1" x14ac:dyDescent="0.2">
      <c r="A42" s="91"/>
      <c r="B42" s="91"/>
      <c r="C42" s="91"/>
      <c r="D42" s="22" t="s">
        <v>10</v>
      </c>
      <c r="E42" s="18" t="s">
        <v>11</v>
      </c>
      <c r="AB42" s="26"/>
      <c r="AC42" s="26"/>
      <c r="AD42" s="26"/>
      <c r="AE42" s="26"/>
    </row>
    <row r="43" spans="1:33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 t="shared" ref="D43:D57" si="1">TEXT(SUM(D13:AG13),"[h]")</f>
        <v>0</v>
      </c>
      <c r="E43" s="16" t="str">
        <f t="shared" ref="E43:E57" si="2">TEXT(SUM(D13:AG13),"mm ss")</f>
        <v>00 00</v>
      </c>
      <c r="G43" s="77"/>
      <c r="H43" s="49"/>
      <c r="I43" s="49"/>
      <c r="AB43" s="26"/>
      <c r="AC43" s="26"/>
      <c r="AD43" s="26"/>
      <c r="AE43" s="26"/>
    </row>
    <row r="44" spans="1:33" s="11" customFormat="1" ht="15.75" x14ac:dyDescent="0.25">
      <c r="A44" s="36" t="s">
        <v>22</v>
      </c>
      <c r="B44" s="27" t="s">
        <v>20</v>
      </c>
      <c r="C44" s="33">
        <f t="shared" ref="C44:C51" si="3">1-(((D44*3600)+(LEFT(E44,2)*60)+RIGHT(E44,2))/((60*60*24)*$C$8))</f>
        <v>1</v>
      </c>
      <c r="D44" s="16" t="str">
        <f t="shared" si="1"/>
        <v>0</v>
      </c>
      <c r="E44" s="16" t="str">
        <f t="shared" si="2"/>
        <v>00 00</v>
      </c>
      <c r="G44" s="78"/>
      <c r="H44" s="49"/>
      <c r="I44" s="49"/>
      <c r="AB44" s="26"/>
      <c r="AC44" s="26"/>
      <c r="AD44" s="26"/>
      <c r="AE44" s="26"/>
    </row>
    <row r="45" spans="1:33" s="11" customFormat="1" ht="15.75" x14ac:dyDescent="0.25">
      <c r="A45" s="36" t="s">
        <v>23</v>
      </c>
      <c r="B45" s="27" t="s">
        <v>15</v>
      </c>
      <c r="C45" s="33">
        <f t="shared" si="3"/>
        <v>1</v>
      </c>
      <c r="D45" s="16" t="str">
        <f t="shared" si="1"/>
        <v>0</v>
      </c>
      <c r="E45" s="16" t="str">
        <f t="shared" si="2"/>
        <v>00 00</v>
      </c>
      <c r="G45" s="79"/>
      <c r="H45" s="80"/>
    </row>
    <row r="46" spans="1:33" s="11" customFormat="1" ht="15.75" x14ac:dyDescent="0.25">
      <c r="A46" s="36" t="s">
        <v>24</v>
      </c>
      <c r="B46" s="27" t="s">
        <v>43</v>
      </c>
      <c r="C46" s="33">
        <f t="shared" si="3"/>
        <v>1</v>
      </c>
      <c r="D46" s="16" t="str">
        <f t="shared" si="1"/>
        <v>0</v>
      </c>
      <c r="E46" s="16" t="str">
        <f t="shared" si="2"/>
        <v>00 00</v>
      </c>
      <c r="G46" s="79"/>
    </row>
    <row r="47" spans="1:33" s="11" customFormat="1" ht="15.75" x14ac:dyDescent="0.25">
      <c r="A47" s="36" t="s">
        <v>25</v>
      </c>
      <c r="B47" s="27" t="s">
        <v>16</v>
      </c>
      <c r="C47" s="33">
        <f t="shared" si="3"/>
        <v>0.99965277777777772</v>
      </c>
      <c r="D47" s="16" t="str">
        <f t="shared" si="1"/>
        <v>0</v>
      </c>
      <c r="E47" s="16" t="str">
        <f t="shared" si="2"/>
        <v>15 00</v>
      </c>
      <c r="G47" s="17"/>
    </row>
    <row r="48" spans="1:33" s="11" customFormat="1" ht="15.75" x14ac:dyDescent="0.25">
      <c r="A48" s="36" t="s">
        <v>26</v>
      </c>
      <c r="B48" s="27" t="s">
        <v>17</v>
      </c>
      <c r="C48" s="33">
        <f t="shared" si="3"/>
        <v>1</v>
      </c>
      <c r="D48" s="16" t="str">
        <f t="shared" si="1"/>
        <v>0</v>
      </c>
      <c r="E48" s="16" t="str">
        <f t="shared" si="2"/>
        <v>00 00</v>
      </c>
      <c r="G48" s="17"/>
      <c r="J48" s="20"/>
    </row>
    <row r="49" spans="1:33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1"/>
        <v>0</v>
      </c>
      <c r="E49" s="16" t="str">
        <f t="shared" si="2"/>
        <v>00 00</v>
      </c>
      <c r="G49" s="17"/>
    </row>
    <row r="50" spans="1:33" s="11" customFormat="1" ht="15.75" x14ac:dyDescent="0.25">
      <c r="A50" s="36" t="s">
        <v>28</v>
      </c>
      <c r="B50" s="27" t="s">
        <v>19</v>
      </c>
      <c r="C50" s="33">
        <f t="shared" si="3"/>
        <v>1</v>
      </c>
      <c r="D50" s="16" t="str">
        <f t="shared" si="1"/>
        <v>0</v>
      </c>
      <c r="E50" s="16" t="str">
        <f t="shared" si="2"/>
        <v>00 00</v>
      </c>
      <c r="G50" s="17"/>
    </row>
    <row r="51" spans="1:33" s="11" customFormat="1" ht="15.75" x14ac:dyDescent="0.25">
      <c r="A51" s="36" t="s">
        <v>29</v>
      </c>
      <c r="B51" s="27" t="s">
        <v>21</v>
      </c>
      <c r="C51" s="33">
        <f t="shared" si="3"/>
        <v>1</v>
      </c>
      <c r="D51" s="16" t="str">
        <f t="shared" si="1"/>
        <v>0</v>
      </c>
      <c r="E51" s="16" t="str">
        <f t="shared" si="2"/>
        <v>00 00</v>
      </c>
      <c r="G51" s="17"/>
      <c r="O51" s="53"/>
    </row>
    <row r="52" spans="1:33" s="11" customFormat="1" ht="15.75" x14ac:dyDescent="0.25">
      <c r="A52" s="36" t="s">
        <v>30</v>
      </c>
      <c r="B52" s="43" t="s">
        <v>44</v>
      </c>
      <c r="C52" s="33">
        <f t="shared" ref="C52" si="4">1-(((D52*3600)+(LEFT(E52,2)*60)+RIGHT(E52,2))/((60*60*24)*$C$8))</f>
        <v>1</v>
      </c>
      <c r="D52" s="16" t="str">
        <f t="shared" si="1"/>
        <v>0</v>
      </c>
      <c r="E52" s="16" t="str">
        <f t="shared" si="2"/>
        <v>00 00</v>
      </c>
      <c r="G52" s="17"/>
      <c r="O52" s="53"/>
    </row>
    <row r="53" spans="1:33" s="11" customFormat="1" ht="15.75" x14ac:dyDescent="0.25">
      <c r="A53" s="36" t="s">
        <v>32</v>
      </c>
      <c r="B53" s="43" t="s">
        <v>46</v>
      </c>
      <c r="C53" s="28">
        <f>1-(((D53*3600)+(LEFT(E53,2)*60)+RIGHT(E53,2))/((60*60*24)*$C$8))</f>
        <v>1</v>
      </c>
      <c r="D53" s="16" t="str">
        <f t="shared" si="1"/>
        <v>0</v>
      </c>
      <c r="E53" s="16" t="str">
        <f t="shared" si="2"/>
        <v>00 00</v>
      </c>
      <c r="G53" s="17"/>
      <c r="O53" s="53"/>
    </row>
    <row r="54" spans="1:33" s="11" customFormat="1" ht="15.75" x14ac:dyDescent="0.25">
      <c r="A54" s="36" t="s">
        <v>33</v>
      </c>
      <c r="B54" s="43" t="s">
        <v>47</v>
      </c>
      <c r="C54" s="28">
        <f>1-(((D54*3600)+(LEFT(E54,2)*60)+RIGHT(E54,2))/((60*60*24)*$C$8))</f>
        <v>1</v>
      </c>
      <c r="D54" s="16" t="str">
        <f t="shared" si="1"/>
        <v>0</v>
      </c>
      <c r="E54" s="16" t="str">
        <f t="shared" si="2"/>
        <v>00 00</v>
      </c>
      <c r="G54" s="17"/>
      <c r="O54" s="53"/>
    </row>
    <row r="55" spans="1:33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1"/>
        <v>0</v>
      </c>
      <c r="E55" s="16" t="str">
        <f t="shared" si="2"/>
        <v>00 00</v>
      </c>
      <c r="G55" s="17"/>
      <c r="O55" s="53"/>
    </row>
    <row r="56" spans="1:33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1"/>
        <v>0</v>
      </c>
      <c r="E56" s="16" t="str">
        <f t="shared" si="2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2" t="s">
        <v>39</v>
      </c>
      <c r="B57" s="27" t="s">
        <v>45</v>
      </c>
      <c r="C57" s="28">
        <f>1-(((D57*3600)+(LEFT(E57,2)*60)+RIGHT(E57,2))/((60*60*24)*$C$8))</f>
        <v>1</v>
      </c>
      <c r="D57" s="16" t="str">
        <f t="shared" si="1"/>
        <v>0</v>
      </c>
      <c r="E57" s="16" t="str">
        <f t="shared" si="2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3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3" x14ac:dyDescent="0.2">
      <c r="A62" s="12"/>
      <c r="B62" s="20" t="s">
        <v>42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3" x14ac:dyDescent="0.2">
      <c r="A63"/>
      <c r="B63" s="11" t="s">
        <v>41</v>
      </c>
      <c r="C63" s="76">
        <f>(SUM(C43:C57))/(100%*15)</f>
        <v>0.99997685185185181</v>
      </c>
      <c r="G63" s="34"/>
      <c r="L63" s="55"/>
      <c r="M63" s="55"/>
      <c r="N63" s="55"/>
      <c r="O63" s="55"/>
    </row>
    <row r="64" spans="1:33" x14ac:dyDescent="0.2">
      <c r="L64" s="55"/>
      <c r="M64" s="55"/>
      <c r="N64" s="55"/>
      <c r="O64" s="55"/>
    </row>
    <row r="65" spans="1:33" x14ac:dyDescent="0.2">
      <c r="L65" s="55"/>
      <c r="M65" s="55"/>
      <c r="N65" s="55"/>
    </row>
    <row r="66" spans="1:33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</row>
    <row r="67" spans="1:33" x14ac:dyDescent="0.2">
      <c r="B67" s="11"/>
      <c r="L67" s="55"/>
      <c r="M67" s="55"/>
      <c r="N67" s="55"/>
    </row>
    <row r="68" spans="1:33" x14ac:dyDescent="0.2">
      <c r="B68" s="11"/>
      <c r="L68" s="55"/>
      <c r="M68" s="55"/>
      <c r="N68" s="55"/>
    </row>
    <row r="69" spans="1:33" x14ac:dyDescent="0.2">
      <c r="B69" s="11"/>
      <c r="E69" s="57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1:33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1:33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1:33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1:33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3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3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G36"/>
    <mergeCell ref="D31:AG31"/>
    <mergeCell ref="D32:AG32"/>
    <mergeCell ref="D33:AG33"/>
    <mergeCell ref="D34:AG34"/>
    <mergeCell ref="D35:AG35"/>
    <mergeCell ref="D30:AG30"/>
  </mergeCells>
  <phoneticPr fontId="9" type="noConversion"/>
  <conditionalFormatting sqref="D13:D22">
    <cfRule type="cellIs" dxfId="12" priority="181" stopIfTrue="1" operator="greaterThan">
      <formula>0</formula>
    </cfRule>
  </conditionalFormatting>
  <conditionalFormatting sqref="D13:Z15 D16:K19 M16:Z20">
    <cfRule type="cellIs" dxfId="11" priority="12" stopIfTrue="1" operator="greaterThan">
      <formula>0</formula>
    </cfRule>
  </conditionalFormatting>
  <conditionalFormatting sqref="D23:Z28">
    <cfRule type="cellIs" dxfId="10" priority="37" stopIfTrue="1" operator="greaterThan">
      <formula>0</formula>
    </cfRule>
  </conditionalFormatting>
  <conditionalFormatting sqref="E20:F22">
    <cfRule type="cellIs" dxfId="9" priority="31" stopIfTrue="1" operator="greaterThan">
      <formula>0</formula>
    </cfRule>
  </conditionalFormatting>
  <conditionalFormatting sqref="G20:K21 M21:AB21">
    <cfRule type="cellIs" dxfId="8" priority="32" stopIfTrue="1" operator="greaterThan">
      <formula>0</formula>
    </cfRule>
  </conditionalFormatting>
  <conditionalFormatting sqref="G22:Z22">
    <cfRule type="cellIs" dxfId="7" priority="27" stopIfTrue="1" operator="greaterThan">
      <formula>0</formula>
    </cfRule>
  </conditionalFormatting>
  <conditionalFormatting sqref="K40:L40">
    <cfRule type="cellIs" dxfId="6" priority="70" stopIfTrue="1" operator="greaterThan">
      <formula>0</formula>
    </cfRule>
  </conditionalFormatting>
  <conditionalFormatting sqref="L16:L21">
    <cfRule type="cellIs" dxfId="5" priority="5" stopIfTrue="1" operator="greaterThan">
      <formula>0</formula>
    </cfRule>
  </conditionalFormatting>
  <conditionalFormatting sqref="AA22:AA28">
    <cfRule type="cellIs" dxfId="4" priority="29" stopIfTrue="1" operator="greaterThan">
      <formula>0</formula>
    </cfRule>
  </conditionalFormatting>
  <conditionalFormatting sqref="AA13:AB20">
    <cfRule type="cellIs" dxfId="3" priority="55" stopIfTrue="1" operator="greaterThan">
      <formula>0</formula>
    </cfRule>
  </conditionalFormatting>
  <conditionalFormatting sqref="AB22:AB27">
    <cfRule type="cellIs" dxfId="2" priority="4" stopIfTrue="1" operator="greaterThan">
      <formula>0</formula>
    </cfRule>
  </conditionalFormatting>
  <conditionalFormatting sqref="AB28:AG28">
    <cfRule type="cellIs" dxfId="1" priority="39" stopIfTrue="1" operator="greaterThan">
      <formula>0</formula>
    </cfRule>
  </conditionalFormatting>
  <conditionalFormatting sqref="AC13:AG27">
    <cfRule type="cellIs" dxfId="0" priority="3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2024-07-02T06:15:38Z</cp:lastPrinted>
  <dcterms:created xsi:type="dcterms:W3CDTF">2006-10-16T02:50:45Z</dcterms:created>
  <dcterms:modified xsi:type="dcterms:W3CDTF">2026-05-03T14:33:54Z</dcterms:modified>
</cp:coreProperties>
</file>