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4" i="11" l="1"/>
  <c r="D54" i="11"/>
  <c r="C54" i="11" l="1"/>
  <c r="D53" i="11"/>
  <c r="D52" i="11"/>
  <c r="D43" i="11"/>
  <c r="D42" i="11"/>
  <c r="E52" i="11" l="1"/>
  <c r="E53" i="11"/>
  <c r="E51" i="11"/>
  <c r="C52" i="11" l="1"/>
  <c r="C53" i="11"/>
  <c r="D51" i="11"/>
  <c r="C51" i="11" s="1"/>
  <c r="E42" i="11"/>
  <c r="C42" i="11" s="1"/>
  <c r="E43" i="11"/>
  <c r="C43" i="11" s="1"/>
  <c r="D44" i="11"/>
  <c r="E44" i="11"/>
  <c r="D45" i="11"/>
  <c r="E45" i="11"/>
  <c r="D46" i="11"/>
  <c r="E46" i="11"/>
  <c r="D47" i="11"/>
  <c r="E47" i="11"/>
  <c r="D48" i="11"/>
  <c r="E48" i="11"/>
  <c r="D49" i="11"/>
  <c r="E49" i="11"/>
  <c r="D50" i="11"/>
  <c r="E50" i="11"/>
  <c r="C46" i="11" l="1"/>
  <c r="C50" i="11"/>
  <c r="C48" i="11"/>
  <c r="C44" i="11"/>
  <c r="C49" i="11"/>
  <c r="C47" i="11"/>
  <c r="C45" i="11"/>
  <c r="C59" i="11" l="1"/>
</calcChain>
</file>

<file path=xl/sharedStrings.xml><?xml version="1.0" encoding="utf-8"?>
<sst xmlns="http://schemas.openxmlformats.org/spreadsheetml/2006/main" count="111" uniqueCount="56">
  <si>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</si>
  <si>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</si>
  <si>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</si>
  <si>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</si>
  <si>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</si>
  <si>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</si>
  <si>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</si>
  <si>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</si>
  <si>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</si>
  <si>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</si>
  <si>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</si>
  <si>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</si>
  <si>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</si>
  <si>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</si>
  <si>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</si>
  <si>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</si>
  <si>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</si>
  <si>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Remark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</si>
  <si>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</si>
  <si>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</si>
  <si>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</si>
  <si>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</si>
  <si>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</si>
  <si>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</si>
  <si>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</si>
  <si>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</si>
  <si>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</si>
  <si>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</si>
  <si>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</si>
  <si>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</si>
  <si>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</si>
  <si>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</si>
  <si>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</si>
  <si>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</si>
  <si>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</si>
  <si>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</si>
  <si>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</si>
  <si>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</si>
  <si>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</si>
  <si>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</si>
  <si>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</si>
  <si>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</si>
  <si>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</si>
  <si>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</si>
  <si>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</si>
  <si>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</si>
  <si>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</si>
  <si>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</si>
  <si>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</si>
  <si>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31</t>
  </si>
  <si>
    <t>α</t>
  </si>
  <si>
    <t>15 s/d 31 Jan 23</t>
  </si>
  <si>
    <t xml:space="preserve">                     Gen Set di tower HARAPAN Mati        </t>
  </si>
  <si>
    <t xml:space="preserve">                     Link ALU AB to BIG down /ODU Rusak</t>
  </si>
  <si>
    <t xml:space="preserve">                    MPPT Stuck/Reset Card Ok</t>
  </si>
  <si>
    <t xml:space="preserve">                     Power Di tower Harapan 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</si>
</sst>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10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0" fillId="0" borderId="2" xfId="0" applyBorder="1"/>
    <xf numFmtId="164" fontId="0" fillId="0" borderId="1" xfId="0" applyBorder="1"/>
    <xf numFmtId="164" fontId="6" fillId="0" borderId="2" xfId="0" applyFont="1" applyBorder="1"/>
    <xf numFmtId="164" fontId="6" fillId="0" borderId="23" xfId="0" applyFont="1" applyBorder="1"/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39" fillId="0" borderId="25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4" fontId="6" fillId="0" borderId="25" xfId="0" applyFont="1" applyBorder="1" applyAlignment="1"/>
    <xf numFmtId="164" fontId="6" fillId="0" borderId="25" xfId="0" applyFont="1" applyBorder="1"/>
    <xf numFmtId="21" fontId="6" fillId="0" borderId="25" xfId="0" applyNumberFormat="1" applyFont="1" applyBorder="1"/>
    <xf numFmtId="164" fontId="6" fillId="0" borderId="22" xfId="0" applyFont="1" applyBorder="1"/>
    <xf numFmtId="165" fontId="39" fillId="0" borderId="4" xfId="0" applyNumberFormat="1" applyFont="1" applyBorder="1" applyAlignment="1">
      <alignment horizontal="center" vertical="center"/>
    </xf>
    <xf numFmtId="164" fontId="36" fillId="0" borderId="0" xfId="0" applyFont="1" applyBorder="1" applyAlignment="1">
      <alignment horizontal="center" vertical="center" wrapText="1"/>
    </xf>
    <xf numFmtId="16" fontId="8" fillId="0" borderId="27" xfId="0" applyNumberFormat="1" applyFont="1" applyBorder="1" applyAlignment="1">
      <alignment horizont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25" xfId="0" applyFont="1" applyBorder="1" applyAlignment="1">
      <alignment horizontal="left" vertical="center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top"/>
    </xf>
    <xf numFmtId="164" fontId="36" fillId="0" borderId="28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0" xfId="0" applyFont="1" applyBorder="1" applyAlignment="1">
      <alignment horizontal="center" vertical="center" wrapText="1"/>
    </xf>
    <xf numFmtId="164" fontId="36" fillId="0" borderId="23" xfId="0" applyFont="1" applyBorder="1" applyAlignment="1">
      <alignment horizontal="center" vertical="center" wrapText="1"/>
    </xf>
    <xf numFmtId="164" fontId="36" fillId="0" borderId="26" xfId="0" applyFont="1" applyBorder="1" applyAlignment="1">
      <alignment horizontal="center" vertical="center" wrapText="1"/>
    </xf>
    <xf numFmtId="164" fontId="36" fillId="0" borderId="24" xfId="0" applyFont="1" applyBorder="1" applyAlignment="1">
      <alignment horizontal="center" vertical="center" wrapText="1"/>
    </xf>
    <xf numFmtId="164" fontId="38" fillId="0" borderId="25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8"/>
  <sheetViews>
    <sheetView tabSelected="1" zoomScale="90" zoomScaleNormal="9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AD37" sqref="AD37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4" width="10.57031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40">
        <v>44927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2" t="s">
        <v>49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106" t="s">
        <v>2</v>
      </c>
      <c r="B10" s="108" t="s">
        <v>0</v>
      </c>
      <c r="C10" s="108" t="s">
        <v>8</v>
      </c>
      <c r="D10" s="46">
        <v>44197</v>
      </c>
      <c r="E10" s="46">
        <v>44198</v>
      </c>
      <c r="F10" s="46">
        <v>44199</v>
      </c>
      <c r="G10" s="46">
        <v>44200</v>
      </c>
      <c r="H10" s="46">
        <v>44201</v>
      </c>
      <c r="I10" s="46">
        <v>44202</v>
      </c>
      <c r="J10" s="46">
        <v>44203</v>
      </c>
      <c r="K10" s="46">
        <v>44204</v>
      </c>
      <c r="L10" s="46">
        <v>44205</v>
      </c>
      <c r="M10" s="46">
        <v>44206</v>
      </c>
      <c r="N10" s="46">
        <v>44207</v>
      </c>
      <c r="O10" s="46">
        <v>44208</v>
      </c>
      <c r="P10" s="46">
        <v>44209</v>
      </c>
      <c r="Q10" s="46">
        <v>44210</v>
      </c>
      <c r="R10" s="46">
        <v>44211</v>
      </c>
      <c r="S10" s="46">
        <v>44212</v>
      </c>
      <c r="T10" s="46">
        <v>44213</v>
      </c>
      <c r="U10" s="46">
        <v>44214</v>
      </c>
      <c r="V10" s="46">
        <v>44215</v>
      </c>
      <c r="W10" s="46">
        <v>44216</v>
      </c>
      <c r="X10" s="46">
        <v>44217</v>
      </c>
      <c r="Y10" s="46">
        <v>44218</v>
      </c>
      <c r="Z10" s="46">
        <v>44219</v>
      </c>
      <c r="AA10" s="46">
        <v>44220</v>
      </c>
      <c r="AB10" s="46">
        <v>44221</v>
      </c>
      <c r="AC10" s="46">
        <v>44222</v>
      </c>
      <c r="AD10" s="46">
        <v>44223</v>
      </c>
      <c r="AE10" s="46">
        <v>44224</v>
      </c>
      <c r="AF10" s="46">
        <v>44225</v>
      </c>
      <c r="AG10" s="46">
        <v>44226</v>
      </c>
      <c r="AH10" s="91">
        <v>44227</v>
      </c>
    </row>
    <row r="11" spans="1:34" s="1" customFormat="1" x14ac:dyDescent="0.2">
      <c r="A11" s="107"/>
      <c r="B11" s="109"/>
      <c r="C11" s="109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7"/>
      <c r="AG12" s="66"/>
      <c r="AH12" s="67"/>
    </row>
    <row r="13" spans="1:34" s="12" customFormat="1" ht="15.75" x14ac:dyDescent="0.25">
      <c r="A13" s="48" t="s">
        <v>38</v>
      </c>
      <c r="B13" s="32" t="s">
        <v>18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</row>
    <row r="14" spans="1:34" s="12" customFormat="1" ht="15.75" x14ac:dyDescent="0.25">
      <c r="A14" s="48" t="s">
        <v>29</v>
      </c>
      <c r="B14" s="32" t="s">
        <v>26</v>
      </c>
      <c r="C14" s="36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</row>
    <row r="15" spans="1:34" s="12" customFormat="1" ht="15.75" x14ac:dyDescent="0.25">
      <c r="A15" s="48" t="s">
        <v>30</v>
      </c>
      <c r="B15" s="32" t="s">
        <v>19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</row>
    <row r="16" spans="1:34" s="12" customFormat="1" ht="15.75" x14ac:dyDescent="0.25">
      <c r="A16" s="48" t="s">
        <v>31</v>
      </c>
      <c r="B16" s="32" t="s">
        <v>20</v>
      </c>
      <c r="C16" s="36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</row>
    <row r="17" spans="1:38" s="12" customFormat="1" ht="15.75" x14ac:dyDescent="0.25">
      <c r="A17" s="48" t="s">
        <v>32</v>
      </c>
      <c r="B17" s="32" t="s">
        <v>21</v>
      </c>
      <c r="C17" s="36"/>
      <c r="D17" s="37">
        <v>0</v>
      </c>
      <c r="E17" s="37">
        <v>0</v>
      </c>
      <c r="F17" s="37">
        <v>0</v>
      </c>
      <c r="G17" s="37">
        <v>0.10460648148148148</v>
      </c>
      <c r="H17" s="37">
        <v>0</v>
      </c>
      <c r="I17" s="37">
        <v>0</v>
      </c>
      <c r="J17" s="37">
        <v>0</v>
      </c>
      <c r="K17" s="37">
        <v>0</v>
      </c>
      <c r="L17" s="37">
        <v>4.6365740740740742E-2</v>
      </c>
      <c r="M17" s="37">
        <v>0</v>
      </c>
      <c r="N17" s="37">
        <v>1.068287037037037E-2</v>
      </c>
      <c r="O17" s="37">
        <v>0</v>
      </c>
      <c r="P17" s="37">
        <v>0</v>
      </c>
      <c r="Q17" s="37">
        <v>0</v>
      </c>
      <c r="R17" s="37">
        <v>1</v>
      </c>
      <c r="S17" s="37">
        <v>1</v>
      </c>
      <c r="T17" s="37">
        <v>1</v>
      </c>
      <c r="U17" s="37">
        <v>1</v>
      </c>
      <c r="V17" s="37">
        <v>1</v>
      </c>
      <c r="W17" s="37">
        <v>1</v>
      </c>
      <c r="X17" s="37">
        <v>1</v>
      </c>
      <c r="Y17" s="37">
        <v>1</v>
      </c>
      <c r="Z17" s="37">
        <v>1</v>
      </c>
      <c r="AA17" s="37">
        <v>1</v>
      </c>
      <c r="AB17" s="37">
        <v>1</v>
      </c>
      <c r="AC17" s="37">
        <v>1</v>
      </c>
      <c r="AD17" s="37">
        <v>1</v>
      </c>
      <c r="AE17" s="37">
        <v>1</v>
      </c>
      <c r="AF17" s="37">
        <v>1</v>
      </c>
      <c r="AG17" s="37">
        <v>1</v>
      </c>
      <c r="AH17" s="37">
        <v>1</v>
      </c>
    </row>
    <row r="18" spans="1:38" s="12" customFormat="1" ht="15.75" x14ac:dyDescent="0.25">
      <c r="A18" s="48" t="s">
        <v>33</v>
      </c>
      <c r="B18" s="32" t="s">
        <v>22</v>
      </c>
      <c r="C18" s="36"/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L18" s="75"/>
    </row>
    <row r="19" spans="1:38" s="12" customFormat="1" ht="15.75" x14ac:dyDescent="0.25">
      <c r="A19" s="48" t="s">
        <v>34</v>
      </c>
      <c r="B19" s="32" t="s">
        <v>23</v>
      </c>
      <c r="C19" s="36"/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7.1921296296296303E-2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3.5648148148148154E-3</v>
      </c>
    </row>
    <row r="20" spans="1:38" s="12" customFormat="1" ht="15.75" x14ac:dyDescent="0.25">
      <c r="A20" s="48" t="s">
        <v>35</v>
      </c>
      <c r="B20" s="32" t="s">
        <v>27</v>
      </c>
      <c r="C20" s="36"/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</row>
    <row r="21" spans="1:38" s="12" customFormat="1" ht="15.75" x14ac:dyDescent="0.25">
      <c r="A21" s="48" t="s">
        <v>36</v>
      </c>
      <c r="B21" s="32" t="s">
        <v>25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</row>
    <row r="22" spans="1:38" s="12" customFormat="1" ht="15.75" x14ac:dyDescent="0.25">
      <c r="A22" s="48" t="s">
        <v>37</v>
      </c>
      <c r="B22" s="49" t="s">
        <v>24</v>
      </c>
      <c r="C22" s="36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37">
        <v>0</v>
      </c>
      <c r="L22" s="37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37">
        <v>0</v>
      </c>
      <c r="Y22" s="37">
        <v>0</v>
      </c>
      <c r="Z22" s="37">
        <v>0</v>
      </c>
      <c r="AA22" s="37">
        <v>0</v>
      </c>
      <c r="AB22" s="51">
        <v>0</v>
      </c>
      <c r="AC22" s="37">
        <v>0</v>
      </c>
      <c r="AD22" s="51">
        <v>0</v>
      </c>
      <c r="AE22" s="51">
        <v>0</v>
      </c>
      <c r="AF22" s="51">
        <v>0</v>
      </c>
      <c r="AG22" s="51">
        <v>0</v>
      </c>
      <c r="AH22" s="37">
        <v>0</v>
      </c>
    </row>
    <row r="23" spans="1:38" s="12" customFormat="1" ht="15.75" x14ac:dyDescent="0.25">
      <c r="A23" s="48" t="s">
        <v>39</v>
      </c>
      <c r="B23" s="49" t="s">
        <v>40</v>
      </c>
      <c r="C23" s="56"/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37">
        <v>0</v>
      </c>
      <c r="Y23" s="37">
        <v>0</v>
      </c>
      <c r="Z23" s="37">
        <v>0</v>
      </c>
      <c r="AA23" s="37">
        <v>0</v>
      </c>
      <c r="AB23" s="51">
        <v>0</v>
      </c>
      <c r="AC23" s="37">
        <v>0</v>
      </c>
      <c r="AD23" s="51">
        <v>0</v>
      </c>
      <c r="AE23" s="51">
        <v>0</v>
      </c>
      <c r="AF23" s="51">
        <v>0</v>
      </c>
      <c r="AG23" s="51">
        <v>0</v>
      </c>
      <c r="AH23" s="37">
        <v>0</v>
      </c>
    </row>
    <row r="24" spans="1:38" s="12" customFormat="1" ht="15.75" x14ac:dyDescent="0.25">
      <c r="A24" s="48" t="s">
        <v>42</v>
      </c>
      <c r="B24" s="49" t="s">
        <v>41</v>
      </c>
      <c r="C24" s="50"/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37">
        <v>0</v>
      </c>
      <c r="Y24" s="37">
        <v>0</v>
      </c>
      <c r="Z24" s="37">
        <v>0</v>
      </c>
      <c r="AA24" s="37">
        <v>0</v>
      </c>
      <c r="AB24" s="51">
        <v>0</v>
      </c>
      <c r="AC24" s="37">
        <v>0</v>
      </c>
      <c r="AD24" s="51">
        <v>0</v>
      </c>
      <c r="AE24" s="51">
        <v>0</v>
      </c>
      <c r="AF24" s="51">
        <v>0</v>
      </c>
      <c r="AG24" s="51">
        <v>0</v>
      </c>
      <c r="AH24" s="37">
        <v>0</v>
      </c>
    </row>
    <row r="25" spans="1:38" s="12" customFormat="1" ht="12.75" customHeight="1" x14ac:dyDescent="0.25">
      <c r="A25" s="48" t="s">
        <v>43</v>
      </c>
      <c r="B25" s="58" t="s">
        <v>46</v>
      </c>
      <c r="C25" s="71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</row>
    <row r="26" spans="1:38" s="12" customFormat="1" ht="16.5" customHeight="1" x14ac:dyDescent="0.2">
      <c r="A26" s="57"/>
      <c r="B26" s="70"/>
      <c r="C26" s="59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68"/>
    </row>
    <row r="27" spans="1:38" s="12" customFormat="1" ht="16.5" customHeight="1" x14ac:dyDescent="0.2">
      <c r="A27" s="99" t="s">
        <v>17</v>
      </c>
      <c r="B27" s="100"/>
      <c r="C27" s="74">
        <v>44930</v>
      </c>
      <c r="D27" s="96" t="s">
        <v>54</v>
      </c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69"/>
    </row>
    <row r="28" spans="1:38" s="12" customFormat="1" ht="16.5" customHeight="1" x14ac:dyDescent="0.2">
      <c r="A28" s="101"/>
      <c r="B28" s="102"/>
      <c r="C28" s="79">
        <v>44935</v>
      </c>
      <c r="D28" s="96" t="s">
        <v>54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68"/>
    </row>
    <row r="29" spans="1:38" s="12" customFormat="1" ht="16.5" customHeight="1" x14ac:dyDescent="0.2">
      <c r="A29" s="101"/>
      <c r="B29" s="102"/>
      <c r="C29" s="79">
        <v>44937</v>
      </c>
      <c r="D29" s="97" t="s">
        <v>54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69"/>
    </row>
    <row r="30" spans="1:38" s="12" customFormat="1" ht="16.5" customHeight="1" x14ac:dyDescent="0.2">
      <c r="A30" s="101"/>
      <c r="B30" s="102"/>
      <c r="C30" s="89" t="s">
        <v>51</v>
      </c>
      <c r="D30" s="97" t="s">
        <v>53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68"/>
    </row>
    <row r="31" spans="1:38" s="12" customFormat="1" ht="15" customHeight="1" x14ac:dyDescent="0.2">
      <c r="A31" s="101"/>
      <c r="B31" s="102"/>
      <c r="C31" s="89">
        <v>44947</v>
      </c>
      <c r="D31" s="98" t="s">
        <v>52</v>
      </c>
      <c r="E31" s="98"/>
      <c r="F31" s="98"/>
      <c r="G31" s="98"/>
      <c r="H31" s="98"/>
      <c r="I31" s="98"/>
      <c r="J31" s="98"/>
      <c r="K31" s="98"/>
      <c r="L31" s="98"/>
      <c r="M31" s="84"/>
      <c r="N31" s="84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H31" s="88"/>
    </row>
    <row r="32" spans="1:38" s="12" customFormat="1" ht="15" customHeight="1" x14ac:dyDescent="0.2">
      <c r="A32" s="101"/>
      <c r="B32" s="102"/>
      <c r="C32" s="83">
        <v>44957</v>
      </c>
      <c r="D32" s="96" t="s">
        <v>55</v>
      </c>
      <c r="E32" s="96"/>
      <c r="F32" s="96"/>
      <c r="G32" s="96"/>
      <c r="H32" s="96"/>
      <c r="I32" s="96"/>
      <c r="J32" s="96"/>
      <c r="K32" s="96"/>
      <c r="L32" s="96"/>
      <c r="M32" s="96"/>
      <c r="N32" s="81"/>
      <c r="O32" s="85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68"/>
    </row>
    <row r="33" spans="1:34" s="12" customFormat="1" ht="15" customHeight="1" x14ac:dyDescent="0.2">
      <c r="A33" s="103"/>
      <c r="B33" s="104"/>
      <c r="C33" s="89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85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68"/>
      <c r="AA33" s="86"/>
      <c r="AB33" s="87"/>
      <c r="AC33" s="86"/>
      <c r="AD33" s="86"/>
      <c r="AE33" s="86"/>
      <c r="AF33" s="86"/>
      <c r="AG33" s="86"/>
      <c r="AH33" s="68"/>
    </row>
    <row r="34" spans="1:34" s="12" customFormat="1" ht="15" x14ac:dyDescent="0.2">
      <c r="A34" s="82"/>
      <c r="B34" s="82"/>
      <c r="C34" s="83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15"/>
      <c r="AB34" s="31"/>
    </row>
    <row r="35" spans="1:34" s="12" customFormat="1" ht="15" x14ac:dyDescent="0.2">
      <c r="A35" s="90"/>
      <c r="B35" s="90"/>
      <c r="C35" s="83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15"/>
      <c r="AB35" s="31"/>
    </row>
    <row r="36" spans="1:34" s="12" customFormat="1" ht="15" x14ac:dyDescent="0.2">
      <c r="A36" s="90"/>
      <c r="B36" s="90"/>
      <c r="C36" s="83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15"/>
      <c r="AB36" s="31"/>
    </row>
    <row r="37" spans="1:34" s="12" customFormat="1" ht="15" x14ac:dyDescent="0.2">
      <c r="A37" s="13"/>
      <c r="B37" s="43"/>
      <c r="C37" s="44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15"/>
      <c r="AB37" s="31"/>
    </row>
    <row r="38" spans="1:34" s="12" customFormat="1" x14ac:dyDescent="0.2">
      <c r="A38" s="13"/>
      <c r="D38" s="8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AB38" s="31"/>
    </row>
    <row r="39" spans="1:34" s="12" customFormat="1" x14ac:dyDescent="0.2">
      <c r="A39" s="23" t="s">
        <v>12</v>
      </c>
      <c r="D39" s="14"/>
      <c r="E39" s="15"/>
      <c r="F39" s="15"/>
      <c r="G39" s="15"/>
      <c r="H39" s="15"/>
      <c r="I39" s="15"/>
      <c r="J39" s="15"/>
      <c r="K39" s="60"/>
      <c r="L39" s="60"/>
      <c r="M39" s="15"/>
      <c r="O39" s="15"/>
      <c r="AB39" s="31"/>
    </row>
    <row r="40" spans="1:34" s="12" customFormat="1" x14ac:dyDescent="0.2">
      <c r="A40" s="92" t="s">
        <v>2</v>
      </c>
      <c r="B40" s="92" t="s">
        <v>9</v>
      </c>
      <c r="C40" s="92" t="s">
        <v>1</v>
      </c>
      <c r="D40" s="94" t="s">
        <v>7</v>
      </c>
      <c r="E40" s="95"/>
      <c r="F40" s="15"/>
      <c r="G40" s="15"/>
      <c r="H40" s="15"/>
      <c r="I40" s="15"/>
      <c r="J40" s="15"/>
      <c r="K40" s="61"/>
      <c r="L40" s="61"/>
      <c r="M40" s="15"/>
      <c r="O40" s="15"/>
      <c r="AB40" s="31"/>
    </row>
    <row r="41" spans="1:34" s="12" customFormat="1" x14ac:dyDescent="0.2">
      <c r="A41" s="93"/>
      <c r="B41" s="93"/>
      <c r="C41" s="93"/>
      <c r="D41" s="27" t="s">
        <v>10</v>
      </c>
      <c r="E41" s="22" t="s">
        <v>11</v>
      </c>
      <c r="F41" s="15"/>
      <c r="G41" s="15"/>
      <c r="H41" s="15"/>
      <c r="I41" s="15"/>
      <c r="J41" s="15"/>
      <c r="K41" s="15"/>
      <c r="L41" s="15"/>
      <c r="M41" s="15"/>
      <c r="O41" s="15"/>
      <c r="AB41" s="31"/>
    </row>
    <row r="42" spans="1:34" s="12" customFormat="1" ht="15.75" x14ac:dyDescent="0.25">
      <c r="A42" s="41" t="s">
        <v>38</v>
      </c>
      <c r="B42" s="32" t="s">
        <v>48</v>
      </c>
      <c r="C42" s="38">
        <f t="shared" ref="C42:C50" si="0">1-(((D42*3600)+(LEFT(E42,2)*60)+RIGHT(E42,2))/((60*60*24)*$C$8))</f>
        <v>1</v>
      </c>
      <c r="D42" s="20" t="str">
        <f t="shared" ref="D42:D54" si="1">TEXT(SUM(D13:AG13),"[h]")</f>
        <v>0</v>
      </c>
      <c r="E42" s="20" t="str">
        <f t="shared" ref="E42:E54" si="2">TEXT(SUM(D13:AG13),"mm ss")</f>
        <v>00 00</v>
      </c>
      <c r="F42" s="15"/>
      <c r="G42" s="21"/>
      <c r="H42" s="15"/>
      <c r="I42" s="15"/>
      <c r="J42" s="15"/>
      <c r="K42" s="15"/>
      <c r="L42" s="15"/>
      <c r="M42" s="15"/>
      <c r="O42" s="15"/>
      <c r="AB42" s="31"/>
    </row>
    <row r="43" spans="1:34" s="12" customFormat="1" ht="15.75" x14ac:dyDescent="0.25">
      <c r="A43" s="41" t="s">
        <v>29</v>
      </c>
      <c r="B43" s="32" t="s">
        <v>26</v>
      </c>
      <c r="C43" s="38">
        <f t="shared" si="0"/>
        <v>1</v>
      </c>
      <c r="D43" s="20" t="str">
        <f t="shared" si="1"/>
        <v>0</v>
      </c>
      <c r="E43" s="20" t="str">
        <f t="shared" si="2"/>
        <v>00 00</v>
      </c>
      <c r="F43" s="15"/>
      <c r="G43" s="21"/>
      <c r="H43" s="15"/>
      <c r="I43" s="15"/>
      <c r="J43" s="15"/>
      <c r="K43" s="15"/>
      <c r="L43" s="15"/>
      <c r="M43" s="15"/>
      <c r="O43" s="15"/>
      <c r="AB43" s="31"/>
    </row>
    <row r="44" spans="1:34" s="12" customFormat="1" ht="15.75" x14ac:dyDescent="0.25">
      <c r="A44" s="41" t="s">
        <v>30</v>
      </c>
      <c r="B44" s="53" t="s">
        <v>19</v>
      </c>
      <c r="C44" s="38">
        <f t="shared" si="0"/>
        <v>1</v>
      </c>
      <c r="D44" s="20" t="str">
        <f t="shared" si="1"/>
        <v>0</v>
      </c>
      <c r="E44" s="20" t="str">
        <f t="shared" si="2"/>
        <v>00 00</v>
      </c>
      <c r="F44" s="15"/>
      <c r="G44" s="21"/>
      <c r="H44" s="72"/>
      <c r="I44" s="15"/>
      <c r="J44" s="15"/>
      <c r="K44" s="15"/>
      <c r="L44" s="15"/>
      <c r="M44" s="15"/>
      <c r="O44" s="15"/>
    </row>
    <row r="45" spans="1:34" s="12" customFormat="1" ht="15.75" x14ac:dyDescent="0.25">
      <c r="A45" s="41" t="s">
        <v>31</v>
      </c>
      <c r="B45" s="32" t="s">
        <v>20</v>
      </c>
      <c r="C45" s="38">
        <f t="shared" si="0"/>
        <v>1</v>
      </c>
      <c r="D45" s="20" t="str">
        <f t="shared" si="1"/>
        <v>0</v>
      </c>
      <c r="E45" s="20" t="str">
        <f t="shared" si="2"/>
        <v>00 00</v>
      </c>
      <c r="F45" s="15"/>
      <c r="G45" s="21"/>
      <c r="H45" s="15"/>
      <c r="I45" s="15"/>
      <c r="J45" s="15"/>
      <c r="K45" s="15"/>
      <c r="L45" s="15"/>
      <c r="M45" s="15"/>
      <c r="O45" s="15"/>
    </row>
    <row r="46" spans="1:34" s="12" customFormat="1" ht="15.75" x14ac:dyDescent="0.25">
      <c r="A46" s="41" t="s">
        <v>32</v>
      </c>
      <c r="B46" s="32" t="s">
        <v>21</v>
      </c>
      <c r="C46" s="38">
        <f t="shared" si="0"/>
        <v>0.47865628733572285</v>
      </c>
      <c r="D46" s="20" t="str">
        <f t="shared" si="1"/>
        <v>387</v>
      </c>
      <c r="E46" s="20" t="str">
        <f t="shared" si="2"/>
        <v>52 47</v>
      </c>
      <c r="F46" s="15"/>
      <c r="G46" s="21"/>
      <c r="H46" s="15"/>
      <c r="I46" s="15"/>
      <c r="J46" s="15"/>
      <c r="K46" s="15"/>
      <c r="L46" s="15"/>
      <c r="M46" s="15"/>
      <c r="O46" s="15"/>
    </row>
    <row r="47" spans="1:34" s="12" customFormat="1" ht="15.75" x14ac:dyDescent="0.25">
      <c r="A47" s="41" t="s">
        <v>33</v>
      </c>
      <c r="B47" s="32" t="s">
        <v>22</v>
      </c>
      <c r="C47" s="38">
        <f t="shared" si="0"/>
        <v>1</v>
      </c>
      <c r="D47" s="20" t="str">
        <f t="shared" si="1"/>
        <v>0</v>
      </c>
      <c r="E47" s="20" t="str">
        <f t="shared" si="2"/>
        <v>00 00</v>
      </c>
      <c r="F47" s="15"/>
      <c r="G47" s="21"/>
      <c r="H47" s="15"/>
      <c r="I47" s="15"/>
      <c r="J47" s="73"/>
      <c r="K47" s="15"/>
      <c r="L47" s="15"/>
      <c r="M47" s="15"/>
      <c r="O47" s="15"/>
    </row>
    <row r="48" spans="1:34" s="12" customFormat="1" ht="15.75" x14ac:dyDescent="0.25">
      <c r="A48" s="41" t="s">
        <v>34</v>
      </c>
      <c r="B48" s="32" t="s">
        <v>28</v>
      </c>
      <c r="C48" s="38">
        <f t="shared" si="0"/>
        <v>0.99767995818399047</v>
      </c>
      <c r="D48" s="20" t="str">
        <f t="shared" si="1"/>
        <v>1</v>
      </c>
      <c r="E48" s="20" t="str">
        <f t="shared" si="2"/>
        <v>43 34</v>
      </c>
      <c r="F48" s="15"/>
      <c r="G48" s="21"/>
      <c r="H48" s="15"/>
      <c r="I48" s="15"/>
      <c r="J48" s="15"/>
      <c r="K48" s="15"/>
      <c r="L48" s="15"/>
      <c r="M48" s="15"/>
      <c r="N48" s="15"/>
      <c r="O48" s="15"/>
    </row>
    <row r="49" spans="1:32" s="12" customFormat="1" ht="15.75" x14ac:dyDescent="0.25">
      <c r="A49" s="41" t="s">
        <v>35</v>
      </c>
      <c r="B49" s="32" t="s">
        <v>27</v>
      </c>
      <c r="C49" s="38">
        <f t="shared" si="0"/>
        <v>1</v>
      </c>
      <c r="D49" s="20" t="str">
        <f t="shared" si="1"/>
        <v>0</v>
      </c>
      <c r="E49" s="20" t="str">
        <f t="shared" si="2"/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15"/>
    </row>
    <row r="50" spans="1:32" s="12" customFormat="1" ht="15.75" x14ac:dyDescent="0.25">
      <c r="A50" s="41" t="s">
        <v>36</v>
      </c>
      <c r="B50" s="32" t="s">
        <v>25</v>
      </c>
      <c r="C50" s="38">
        <f t="shared" si="0"/>
        <v>1</v>
      </c>
      <c r="D50" s="20" t="str">
        <f t="shared" si="1"/>
        <v>0</v>
      </c>
      <c r="E50" s="20" t="str">
        <f t="shared" si="2"/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63"/>
    </row>
    <row r="51" spans="1:32" s="12" customFormat="1" ht="15.75" x14ac:dyDescent="0.25">
      <c r="A51" s="41" t="s">
        <v>37</v>
      </c>
      <c r="B51" s="32" t="s">
        <v>24</v>
      </c>
      <c r="C51" s="33">
        <f>1-(((D51*3600)+(LEFT(E51,2)*60)+RIGHT(E51,2))/((60*60*24)*$C$8))</f>
        <v>1</v>
      </c>
      <c r="D51" s="20" t="str">
        <f t="shared" si="1"/>
        <v>0</v>
      </c>
      <c r="E51" s="20" t="str">
        <f t="shared" si="2"/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63"/>
    </row>
    <row r="52" spans="1:32" s="16" customFormat="1" ht="15.75" x14ac:dyDescent="0.25">
      <c r="A52" s="41" t="s">
        <v>39</v>
      </c>
      <c r="B52" s="32" t="s">
        <v>44</v>
      </c>
      <c r="C52" s="33">
        <f t="shared" ref="C52:C54" si="3">1-(((D52*3600)+(LEFT(E52,2)*60)+RIGHT(E52,2))/((60*60*24)*$C$8))</f>
        <v>1</v>
      </c>
      <c r="D52" s="20" t="str">
        <f t="shared" si="1"/>
        <v>0</v>
      </c>
      <c r="E52" s="20" t="str">
        <f t="shared" si="2"/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63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8"/>
      <c r="AD52" s="18"/>
      <c r="AE52" s="18"/>
      <c r="AF52" s="18"/>
    </row>
    <row r="53" spans="1:32" ht="15.75" x14ac:dyDescent="0.25">
      <c r="A53" s="41" t="s">
        <v>42</v>
      </c>
      <c r="B53" s="32" t="s">
        <v>45</v>
      </c>
      <c r="C53" s="33">
        <f t="shared" si="3"/>
        <v>1</v>
      </c>
      <c r="D53" s="20" t="str">
        <f t="shared" si="1"/>
        <v>0</v>
      </c>
      <c r="E53" s="20" t="str">
        <f t="shared" si="2"/>
        <v>00 00</v>
      </c>
      <c r="F53" s="15"/>
      <c r="G53" s="21"/>
      <c r="H53" s="15"/>
      <c r="I53" s="15"/>
      <c r="J53" s="15"/>
      <c r="K53" s="15"/>
      <c r="L53" s="15"/>
      <c r="M53" s="15"/>
      <c r="N53" s="15"/>
      <c r="O53" s="63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32" ht="15.75" x14ac:dyDescent="0.25">
      <c r="A54" s="62" t="s">
        <v>43</v>
      </c>
      <c r="B54" s="32" t="s">
        <v>47</v>
      </c>
      <c r="C54" s="33">
        <f t="shared" si="3"/>
        <v>1</v>
      </c>
      <c r="D54" s="20" t="str">
        <f t="shared" si="1"/>
        <v>0</v>
      </c>
      <c r="E54" s="20" t="str">
        <f t="shared" si="2"/>
        <v>00 00</v>
      </c>
      <c r="F54" s="15"/>
      <c r="G54" s="21"/>
      <c r="H54" s="15"/>
      <c r="I54" s="15"/>
      <c r="J54" s="15"/>
      <c r="K54" s="15"/>
      <c r="L54" s="63"/>
      <c r="M54" s="63"/>
      <c r="N54" s="63"/>
      <c r="O54" s="64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32" ht="15.75" x14ac:dyDescent="0.25">
      <c r="A55" s="52"/>
      <c r="B55" s="53"/>
      <c r="C55" s="54"/>
      <c r="D55" s="55"/>
      <c r="E55" s="55"/>
      <c r="F55" s="15"/>
      <c r="G55" s="21"/>
      <c r="H55" s="15"/>
      <c r="I55" s="15"/>
      <c r="J55" s="15"/>
      <c r="K55" s="15"/>
      <c r="L55" s="63"/>
      <c r="M55" s="63"/>
      <c r="N55" s="63"/>
      <c r="O55" s="65"/>
    </row>
    <row r="56" spans="1:32" x14ac:dyDescent="0.2">
      <c r="A56" s="13"/>
      <c r="B56" s="12"/>
      <c r="C56" s="26"/>
      <c r="D56" s="25"/>
      <c r="E56" s="15"/>
      <c r="F56" s="15"/>
      <c r="G56" s="15"/>
      <c r="H56" s="15"/>
      <c r="I56" s="15"/>
      <c r="J56" s="15"/>
      <c r="K56" s="15"/>
      <c r="L56" s="63"/>
      <c r="M56" s="63"/>
      <c r="N56" s="63"/>
      <c r="O56" s="65"/>
    </row>
    <row r="57" spans="1:32" x14ac:dyDescent="0.2">
      <c r="A57" s="13"/>
      <c r="B57" s="12"/>
      <c r="C57" s="12"/>
      <c r="D57" s="14"/>
      <c r="E57" s="15"/>
      <c r="F57" s="15"/>
      <c r="G57" s="15"/>
      <c r="H57" s="15"/>
      <c r="I57" s="15"/>
      <c r="J57" s="15"/>
      <c r="K57" s="15"/>
      <c r="L57" s="63"/>
      <c r="M57" s="63"/>
      <c r="N57" s="63"/>
      <c r="O57" s="65"/>
    </row>
    <row r="58" spans="1:32" x14ac:dyDescent="0.2">
      <c r="A58" s="14"/>
      <c r="B58" s="24" t="s">
        <v>13</v>
      </c>
      <c r="C58" s="19"/>
      <c r="D58" s="18"/>
      <c r="E58" s="18"/>
      <c r="F58" s="18"/>
      <c r="G58" s="18"/>
      <c r="H58" s="18"/>
      <c r="I58" s="18"/>
      <c r="J58" s="18"/>
      <c r="K58" s="18"/>
      <c r="L58" s="64"/>
      <c r="M58" s="64"/>
      <c r="N58" s="64"/>
      <c r="O58" s="65"/>
    </row>
    <row r="59" spans="1:32" x14ac:dyDescent="0.2">
      <c r="A59"/>
      <c r="B59" s="12" t="s">
        <v>16</v>
      </c>
      <c r="C59" s="27">
        <f>(SUM(C42:C54))/(100%*13)</f>
        <v>0.95971817273228577</v>
      </c>
      <c r="G59" s="39"/>
      <c r="L59" s="65"/>
      <c r="M59" s="65"/>
      <c r="N59" s="65"/>
      <c r="O59" s="65"/>
    </row>
    <row r="60" spans="1:32" x14ac:dyDescent="0.2">
      <c r="C60" s="76"/>
      <c r="L60" s="65"/>
      <c r="M60" s="65"/>
      <c r="N60" s="65"/>
      <c r="O60" s="65"/>
      <c r="AC60" s="30"/>
      <c r="AD60" s="30"/>
      <c r="AE60" s="30"/>
      <c r="AF60" s="30"/>
    </row>
    <row r="61" spans="1:32" x14ac:dyDescent="0.2">
      <c r="C61" s="76"/>
      <c r="L61" s="65"/>
      <c r="M61" s="65"/>
      <c r="N61" s="65"/>
    </row>
    <row r="62" spans="1:32" x14ac:dyDescent="0.2">
      <c r="C62" s="76"/>
      <c r="L62" s="65"/>
      <c r="M62" s="65"/>
      <c r="N62" s="65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 spans="1:32" x14ac:dyDescent="0.2">
      <c r="A63" s="76"/>
      <c r="B63" s="11"/>
      <c r="C63" s="11"/>
      <c r="J63" s="65"/>
      <c r="K63" s="65"/>
      <c r="L63" s="65"/>
      <c r="N63"/>
      <c r="O63"/>
    </row>
    <row r="64" spans="1:32" x14ac:dyDescent="0.2">
      <c r="A64" s="76"/>
      <c r="B64" s="11"/>
      <c r="C64" s="11"/>
      <c r="J64" s="65"/>
      <c r="K64" s="65"/>
      <c r="L64" s="65"/>
      <c r="N64"/>
      <c r="O64"/>
    </row>
    <row r="65" spans="1:30" x14ac:dyDescent="0.2">
      <c r="A65" s="76"/>
      <c r="B65" s="78"/>
      <c r="C65" s="77" t="s">
        <v>50</v>
      </c>
      <c r="N65"/>
      <c r="O65"/>
    </row>
    <row r="66" spans="1:30" x14ac:dyDescent="0.2">
      <c r="A66" s="76"/>
      <c r="B66" s="78"/>
      <c r="C66" s="11"/>
      <c r="N66"/>
      <c r="O66"/>
    </row>
    <row r="67" spans="1:30" x14ac:dyDescent="0.2">
      <c r="A67" s="76"/>
      <c r="B67" s="78"/>
      <c r="C67" s="11"/>
      <c r="N67"/>
      <c r="O67"/>
    </row>
    <row r="68" spans="1:30" x14ac:dyDescent="0.2">
      <c r="A68" s="76"/>
      <c r="B68" s="78"/>
      <c r="C68" s="11"/>
      <c r="N68"/>
      <c r="O68"/>
      <c r="AC68" s="28"/>
      <c r="AD68" s="28"/>
    </row>
    <row r="69" spans="1:30" x14ac:dyDescent="0.2">
      <c r="A69" s="76"/>
      <c r="B69" s="78"/>
      <c r="C69" s="11"/>
      <c r="N69"/>
      <c r="O69"/>
      <c r="AC69" s="28"/>
      <c r="AD69" s="28"/>
    </row>
    <row r="70" spans="1:30" x14ac:dyDescent="0.2">
      <c r="A70" s="76"/>
      <c r="B70" s="11"/>
      <c r="C70" s="11"/>
      <c r="M70" s="29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x14ac:dyDescent="0.2">
      <c r="A71" s="76"/>
      <c r="B71" s="11"/>
      <c r="C71" s="11"/>
      <c r="M71" s="29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x14ac:dyDescent="0.2">
      <c r="A72" s="76"/>
      <c r="B72" s="11"/>
      <c r="C72" s="11"/>
      <c r="M72" s="29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30" x14ac:dyDescent="0.2">
      <c r="A73"/>
      <c r="B73" s="11"/>
      <c r="C73" s="11"/>
      <c r="M73" s="29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spans="1:30" x14ac:dyDescent="0.2">
      <c r="A74"/>
      <c r="B74" s="11"/>
      <c r="C74" s="28"/>
      <c r="D74" s="29"/>
      <c r="E74" s="29"/>
      <c r="F74" s="29"/>
      <c r="G74" s="29"/>
      <c r="H74" s="29"/>
      <c r="I74" s="29"/>
      <c r="J74" s="29"/>
      <c r="K74" s="29"/>
      <c r="L74" s="29"/>
      <c r="N74"/>
      <c r="O74"/>
    </row>
    <row r="75" spans="1:30" x14ac:dyDescent="0.2">
      <c r="A75"/>
      <c r="B75" s="11"/>
      <c r="C75" s="28"/>
      <c r="D75" s="29"/>
      <c r="E75" s="29"/>
      <c r="F75" s="29"/>
      <c r="G75" s="29"/>
      <c r="H75" s="29"/>
      <c r="I75" s="29"/>
      <c r="J75" s="29"/>
      <c r="K75" s="29"/>
      <c r="L75" s="29"/>
      <c r="N75"/>
      <c r="O75"/>
    </row>
    <row r="76" spans="1:30" x14ac:dyDescent="0.2">
      <c r="A76"/>
      <c r="B76" s="11"/>
      <c r="C76" s="28"/>
      <c r="D76" s="29"/>
      <c r="E76" s="29"/>
      <c r="F76" s="29"/>
      <c r="G76" s="29"/>
      <c r="H76" s="29"/>
      <c r="I76" s="29"/>
      <c r="J76" s="29"/>
      <c r="K76" s="29"/>
      <c r="L76" s="29"/>
      <c r="N76"/>
      <c r="O76"/>
    </row>
    <row r="77" spans="1:30" x14ac:dyDescent="0.2">
      <c r="A77"/>
      <c r="C77" s="28"/>
      <c r="D77" s="29"/>
      <c r="E77" s="29"/>
      <c r="F77" s="29"/>
      <c r="G77" s="29"/>
      <c r="H77" s="29"/>
      <c r="I77" s="29"/>
      <c r="J77" s="29"/>
      <c r="K77" s="29"/>
      <c r="L77" s="29"/>
      <c r="N77"/>
      <c r="O77"/>
    </row>
    <row r="78" spans="1:30" x14ac:dyDescent="0.2">
      <c r="A78"/>
      <c r="B78" s="11"/>
      <c r="C78" s="11"/>
      <c r="N78"/>
      <c r="O78"/>
    </row>
  </sheetData>
  <mergeCells count="16">
    <mergeCell ref="D26:AG26"/>
    <mergeCell ref="A10:A11"/>
    <mergeCell ref="B10:B11"/>
    <mergeCell ref="C10:C11"/>
    <mergeCell ref="A40:A41"/>
    <mergeCell ref="B40:B41"/>
    <mergeCell ref="C40:C41"/>
    <mergeCell ref="D40:E40"/>
    <mergeCell ref="D27:AG27"/>
    <mergeCell ref="D28:AG28"/>
    <mergeCell ref="D29:AG29"/>
    <mergeCell ref="D30:AG30"/>
    <mergeCell ref="D31:L31"/>
    <mergeCell ref="D32:M32"/>
    <mergeCell ref="D33:N33"/>
    <mergeCell ref="A27:B33"/>
  </mergeCells>
  <phoneticPr fontId="9" type="noConversion"/>
  <conditionalFormatting sqref="D15:F15 G21:M21 D17:N18 AE18:AF18 AE21:AF21 P21:W21 D13:D21 AB21:AC21 M17:R17">
    <cfRule type="cellIs" dxfId="125" priority="228" stopIfTrue="1" operator="greaterThan">
      <formula>0</formula>
    </cfRule>
  </conditionalFormatting>
  <conditionalFormatting sqref="I15:M15">
    <cfRule type="cellIs" dxfId="124" priority="227" stopIfTrue="1" operator="greaterThan">
      <formula>0</formula>
    </cfRule>
  </conditionalFormatting>
  <conditionalFormatting sqref="W18 O15:Z15 O18:U18 AB15:AD15 AB18 Z18">
    <cfRule type="cellIs" dxfId="123" priority="226" stopIfTrue="1" operator="greaterThan">
      <formula>0</formula>
    </cfRule>
  </conditionalFormatting>
  <conditionalFormatting sqref="G15">
    <cfRule type="cellIs" dxfId="122" priority="220" stopIfTrue="1" operator="greaterThan">
      <formula>0</formula>
    </cfRule>
  </conditionalFormatting>
  <conditionalFormatting sqref="N15">
    <cfRule type="cellIs" dxfId="121" priority="219" stopIfTrue="1" operator="greaterThan">
      <formula>0</formula>
    </cfRule>
  </conditionalFormatting>
  <conditionalFormatting sqref="H15">
    <cfRule type="cellIs" dxfId="120" priority="213" stopIfTrue="1" operator="greaterThan">
      <formula>0</formula>
    </cfRule>
  </conditionalFormatting>
  <conditionalFormatting sqref="AD18">
    <cfRule type="cellIs" dxfId="119" priority="212" stopIfTrue="1" operator="greaterThan">
      <formula>0</formula>
    </cfRule>
  </conditionalFormatting>
  <conditionalFormatting sqref="V18">
    <cfRule type="cellIs" dxfId="118" priority="207" stopIfTrue="1" operator="greaterThan">
      <formula>0</formula>
    </cfRule>
  </conditionalFormatting>
  <conditionalFormatting sqref="AE15:AF15">
    <cfRule type="cellIs" dxfId="117" priority="204" stopIfTrue="1" operator="greaterThan">
      <formula>0</formula>
    </cfRule>
  </conditionalFormatting>
  <conditionalFormatting sqref="D14:F14">
    <cfRule type="cellIs" dxfId="116" priority="198" stopIfTrue="1" operator="greaterThan">
      <formula>0</formula>
    </cfRule>
  </conditionalFormatting>
  <conditionalFormatting sqref="I14:M14">
    <cfRule type="cellIs" dxfId="115" priority="197" stopIfTrue="1" operator="greaterThan">
      <formula>0</formula>
    </cfRule>
  </conditionalFormatting>
  <conditionalFormatting sqref="O14:Z14 AB14:AD14">
    <cfRule type="cellIs" dxfId="114" priority="196" stopIfTrue="1" operator="greaterThan">
      <formula>0</formula>
    </cfRule>
  </conditionalFormatting>
  <conditionalFormatting sqref="G14">
    <cfRule type="cellIs" dxfId="113" priority="195" stopIfTrue="1" operator="greaterThan">
      <formula>0</formula>
    </cfRule>
  </conditionalFormatting>
  <conditionalFormatting sqref="N14">
    <cfRule type="cellIs" dxfId="112" priority="194" stopIfTrue="1" operator="greaterThan">
      <formula>0</formula>
    </cfRule>
  </conditionalFormatting>
  <conditionalFormatting sqref="H14">
    <cfRule type="cellIs" dxfId="111" priority="193" stopIfTrue="1" operator="greaterThan">
      <formula>0</formula>
    </cfRule>
  </conditionalFormatting>
  <conditionalFormatting sqref="AE14:AF14">
    <cfRule type="cellIs" dxfId="110" priority="192" stopIfTrue="1" operator="greaterThan">
      <formula>0</formula>
    </cfRule>
  </conditionalFormatting>
  <conditionalFormatting sqref="D13:F13">
    <cfRule type="cellIs" dxfId="109" priority="182" stopIfTrue="1" operator="greaterThan">
      <formula>0</formula>
    </cfRule>
  </conditionalFormatting>
  <conditionalFormatting sqref="D16:F16">
    <cfRule type="cellIs" dxfId="108" priority="174" stopIfTrue="1" operator="greaterThan">
      <formula>0</formula>
    </cfRule>
  </conditionalFormatting>
  <conditionalFormatting sqref="I13:M13">
    <cfRule type="cellIs" dxfId="107" priority="181" stopIfTrue="1" operator="greaterThan">
      <formula>0</formula>
    </cfRule>
  </conditionalFormatting>
  <conditionalFormatting sqref="O13:Z13 AB13:AD13">
    <cfRule type="cellIs" dxfId="106" priority="180" stopIfTrue="1" operator="greaterThan">
      <formula>0</formula>
    </cfRule>
  </conditionalFormatting>
  <conditionalFormatting sqref="G13">
    <cfRule type="cellIs" dxfId="105" priority="179" stopIfTrue="1" operator="greaterThan">
      <formula>0</formula>
    </cfRule>
  </conditionalFormatting>
  <conditionalFormatting sqref="N13">
    <cfRule type="cellIs" dxfId="104" priority="178" stopIfTrue="1" operator="greaterThan">
      <formula>0</formula>
    </cfRule>
  </conditionalFormatting>
  <conditionalFormatting sqref="H13">
    <cfRule type="cellIs" dxfId="103" priority="177" stopIfTrue="1" operator="greaterThan">
      <formula>0</formula>
    </cfRule>
  </conditionalFormatting>
  <conditionalFormatting sqref="AE13:AF13">
    <cfRule type="cellIs" dxfId="102" priority="176" stopIfTrue="1" operator="greaterThan">
      <formula>0</formula>
    </cfRule>
  </conditionalFormatting>
  <conditionalFormatting sqref="I16:M16">
    <cfRule type="cellIs" dxfId="101" priority="173" stopIfTrue="1" operator="greaterThan">
      <formula>0</formula>
    </cfRule>
  </conditionalFormatting>
  <conditionalFormatting sqref="O16:Q16">
    <cfRule type="cellIs" dxfId="100" priority="172" stopIfTrue="1" operator="greaterThan">
      <formula>0</formula>
    </cfRule>
  </conditionalFormatting>
  <conditionalFormatting sqref="G16">
    <cfRule type="cellIs" dxfId="99" priority="171" stopIfTrue="1" operator="greaterThan">
      <formula>0</formula>
    </cfRule>
  </conditionalFormatting>
  <conditionalFormatting sqref="N16">
    <cfRule type="cellIs" dxfId="98" priority="170" stopIfTrue="1" operator="greaterThan">
      <formula>0</formula>
    </cfRule>
  </conditionalFormatting>
  <conditionalFormatting sqref="H16">
    <cfRule type="cellIs" dxfId="97" priority="169" stopIfTrue="1" operator="greaterThan">
      <formula>0</formula>
    </cfRule>
  </conditionalFormatting>
  <conditionalFormatting sqref="D19">
    <cfRule type="cellIs" dxfId="96" priority="154" stopIfTrue="1" operator="greaterThan">
      <formula>0</formula>
    </cfRule>
  </conditionalFormatting>
  <conditionalFormatting sqref="I19:M19">
    <cfRule type="cellIs" dxfId="95" priority="153" stopIfTrue="1" operator="greaterThan">
      <formula>0</formula>
    </cfRule>
  </conditionalFormatting>
  <conditionalFormatting sqref="O19:U19 W19 AB19:AC19 Z19">
    <cfRule type="cellIs" dxfId="94" priority="152" stopIfTrue="1" operator="greaterThan">
      <formula>0</formula>
    </cfRule>
  </conditionalFormatting>
  <conditionalFormatting sqref="AD19">
    <cfRule type="cellIs" dxfId="93" priority="148" stopIfTrue="1" operator="greaterThan">
      <formula>0</formula>
    </cfRule>
  </conditionalFormatting>
  <conditionalFormatting sqref="N19">
    <cfRule type="cellIs" dxfId="92" priority="150" stopIfTrue="1" operator="greaterThan">
      <formula>0</formula>
    </cfRule>
  </conditionalFormatting>
  <conditionalFormatting sqref="H19">
    <cfRule type="cellIs" dxfId="91" priority="149" stopIfTrue="1" operator="greaterThan">
      <formula>0</formula>
    </cfRule>
  </conditionalFormatting>
  <conditionalFormatting sqref="D20">
    <cfRule type="cellIs" dxfId="90" priority="140" stopIfTrue="1" operator="greaterThan">
      <formula>0</formula>
    </cfRule>
  </conditionalFormatting>
  <conditionalFormatting sqref="V19">
    <cfRule type="cellIs" dxfId="89" priority="146" stopIfTrue="1" operator="greaterThan">
      <formula>0</formula>
    </cfRule>
  </conditionalFormatting>
  <conditionalFormatting sqref="AE19:AF19">
    <cfRule type="cellIs" dxfId="88" priority="145" stopIfTrue="1" operator="greaterThan">
      <formula>0</formula>
    </cfRule>
  </conditionalFormatting>
  <conditionalFormatting sqref="H20 AE20:AF20 J20:V20">
    <cfRule type="cellIs" dxfId="87" priority="143" stopIfTrue="1" operator="greaterThan">
      <formula>0</formula>
    </cfRule>
  </conditionalFormatting>
  <conditionalFormatting sqref="W20 AB20">
    <cfRule type="cellIs" dxfId="86" priority="142" stopIfTrue="1" operator="greaterThan">
      <formula>0</formula>
    </cfRule>
  </conditionalFormatting>
  <conditionalFormatting sqref="AD20:AD21">
    <cfRule type="cellIs" dxfId="84" priority="138" stopIfTrue="1" operator="greaterThan">
      <formula>0</formula>
    </cfRule>
  </conditionalFormatting>
  <conditionalFormatting sqref="W16">
    <cfRule type="cellIs" dxfId="83" priority="127" stopIfTrue="1" operator="greaterThan">
      <formula>0</formula>
    </cfRule>
  </conditionalFormatting>
  <conditionalFormatting sqref="V16">
    <cfRule type="cellIs" dxfId="82" priority="128" stopIfTrue="1" operator="greaterThan">
      <formula>0</formula>
    </cfRule>
  </conditionalFormatting>
  <conditionalFormatting sqref="R16">
    <cfRule type="cellIs" dxfId="81" priority="132" stopIfTrue="1" operator="greaterThan">
      <formula>0</formula>
    </cfRule>
  </conditionalFormatting>
  <conditionalFormatting sqref="S16">
    <cfRule type="cellIs" dxfId="80" priority="131" stopIfTrue="1" operator="greaterThan">
      <formula>0</formula>
    </cfRule>
  </conditionalFormatting>
  <conditionalFormatting sqref="T16">
    <cfRule type="cellIs" dxfId="79" priority="130" stopIfTrue="1" operator="greaterThan">
      <formula>0</formula>
    </cfRule>
  </conditionalFormatting>
  <conditionalFormatting sqref="U16">
    <cfRule type="cellIs" dxfId="78" priority="129" stopIfTrue="1" operator="greaterThan">
      <formula>0</formula>
    </cfRule>
  </conditionalFormatting>
  <conditionalFormatting sqref="X16">
    <cfRule type="cellIs" dxfId="77" priority="126" stopIfTrue="1" operator="greaterThan">
      <formula>0</formula>
    </cfRule>
  </conditionalFormatting>
  <conditionalFormatting sqref="Y16">
    <cfRule type="cellIs" dxfId="76" priority="125" stopIfTrue="1" operator="greaterThan">
      <formula>0</formula>
    </cfRule>
  </conditionalFormatting>
  <conditionalFormatting sqref="Z16">
    <cfRule type="cellIs" dxfId="75" priority="124" stopIfTrue="1" operator="greaterThan">
      <formula>0</formula>
    </cfRule>
  </conditionalFormatting>
  <conditionalFormatting sqref="AB16">
    <cfRule type="cellIs" dxfId="74" priority="122" stopIfTrue="1" operator="greaterThan">
      <formula>0</formula>
    </cfRule>
  </conditionalFormatting>
  <conditionalFormatting sqref="AC16">
    <cfRule type="cellIs" dxfId="73" priority="121" stopIfTrue="1" operator="greaterThan">
      <formula>0</formula>
    </cfRule>
  </conditionalFormatting>
  <conditionalFormatting sqref="AD16">
    <cfRule type="cellIs" dxfId="72" priority="120" stopIfTrue="1" operator="greaterThan">
      <formula>0</formula>
    </cfRule>
  </conditionalFormatting>
  <conditionalFormatting sqref="AE16:AF16">
    <cfRule type="cellIs" dxfId="71" priority="119" stopIfTrue="1" operator="greaterThan">
      <formula>0</formula>
    </cfRule>
  </conditionalFormatting>
  <conditionalFormatting sqref="D23:W24 D22:J22 M22:W22 AB22:AB24 AD22:AF24">
    <cfRule type="cellIs" dxfId="70" priority="77" stopIfTrue="1" operator="greaterThan">
      <formula>0</formula>
    </cfRule>
  </conditionalFormatting>
  <conditionalFormatting sqref="AG13">
    <cfRule type="cellIs" dxfId="69" priority="67" stopIfTrue="1" operator="greaterThan">
      <formula>0</formula>
    </cfRule>
  </conditionalFormatting>
  <conditionalFormatting sqref="AG13">
    <cfRule type="cellIs" dxfId="68" priority="58" stopIfTrue="1" operator="greaterThan">
      <formula>0</formula>
    </cfRule>
  </conditionalFormatting>
  <conditionalFormatting sqref="AG21 AG18">
    <cfRule type="cellIs" dxfId="67" priority="71" stopIfTrue="1" operator="greaterThan">
      <formula>0</formula>
    </cfRule>
  </conditionalFormatting>
  <conditionalFormatting sqref="AG15">
    <cfRule type="cellIs" dxfId="66" priority="70" stopIfTrue="1" operator="greaterThan">
      <formula>0</formula>
    </cfRule>
  </conditionalFormatting>
  <conditionalFormatting sqref="AG14">
    <cfRule type="cellIs" dxfId="65" priority="69" stopIfTrue="1" operator="greaterThan">
      <formula>0</formula>
    </cfRule>
  </conditionalFormatting>
  <conditionalFormatting sqref="AG19">
    <cfRule type="cellIs" dxfId="64" priority="66" stopIfTrue="1" operator="greaterThan">
      <formula>0</formula>
    </cfRule>
  </conditionalFormatting>
  <conditionalFormatting sqref="AG20">
    <cfRule type="cellIs" dxfId="63" priority="65" stopIfTrue="1" operator="greaterThan">
      <formula>0</formula>
    </cfRule>
  </conditionalFormatting>
  <conditionalFormatting sqref="AG16">
    <cfRule type="cellIs" dxfId="62" priority="64" stopIfTrue="1" operator="greaterThan">
      <formula>0</formula>
    </cfRule>
  </conditionalFormatting>
  <conditionalFormatting sqref="AG21 AG18">
    <cfRule type="cellIs" dxfId="61" priority="62" stopIfTrue="1" operator="greaterThan">
      <formula>0</formula>
    </cfRule>
  </conditionalFormatting>
  <conditionalFormatting sqref="AG15">
    <cfRule type="cellIs" dxfId="60" priority="61" stopIfTrue="1" operator="greaterThan">
      <formula>0</formula>
    </cfRule>
  </conditionalFormatting>
  <conditionalFormatting sqref="AG14">
    <cfRule type="cellIs" dxfId="59" priority="60" stopIfTrue="1" operator="greaterThan">
      <formula>0</formula>
    </cfRule>
  </conditionalFormatting>
  <conditionalFormatting sqref="AG19">
    <cfRule type="cellIs" dxfId="58" priority="57" stopIfTrue="1" operator="greaterThan">
      <formula>0</formula>
    </cfRule>
  </conditionalFormatting>
  <conditionalFormatting sqref="AG20">
    <cfRule type="cellIs" dxfId="57" priority="56" stopIfTrue="1" operator="greaterThan">
      <formula>0</formula>
    </cfRule>
  </conditionalFormatting>
  <conditionalFormatting sqref="AG16">
    <cfRule type="cellIs" dxfId="56" priority="55" stopIfTrue="1" operator="greaterThan">
      <formula>0</formula>
    </cfRule>
  </conditionalFormatting>
  <conditionalFormatting sqref="AF13">
    <cfRule type="cellIs" dxfId="55" priority="49" stopIfTrue="1" operator="greaterThan">
      <formula>0</formula>
    </cfRule>
  </conditionalFormatting>
  <conditionalFormatting sqref="AF19">
    <cfRule type="cellIs" dxfId="54" priority="48" stopIfTrue="1" operator="greaterThan">
      <formula>0</formula>
    </cfRule>
  </conditionalFormatting>
  <conditionalFormatting sqref="AF23:AF24">
    <cfRule type="cellIs" dxfId="53" priority="45" stopIfTrue="1" operator="greaterThan">
      <formula>0</formula>
    </cfRule>
  </conditionalFormatting>
  <conditionalFormatting sqref="AF21 AF18">
    <cfRule type="cellIs" dxfId="52" priority="53" stopIfTrue="1" operator="greaterThan">
      <formula>0</formula>
    </cfRule>
  </conditionalFormatting>
  <conditionalFormatting sqref="AF15">
    <cfRule type="cellIs" dxfId="51" priority="52" stopIfTrue="1" operator="greaterThan">
      <formula>0</formula>
    </cfRule>
  </conditionalFormatting>
  <conditionalFormatting sqref="AF14">
    <cfRule type="cellIs" dxfId="50" priority="51" stopIfTrue="1" operator="greaterThan">
      <formula>0</formula>
    </cfRule>
  </conditionalFormatting>
  <conditionalFormatting sqref="AF20">
    <cfRule type="cellIs" dxfId="49" priority="47" stopIfTrue="1" operator="greaterThan">
      <formula>0</formula>
    </cfRule>
  </conditionalFormatting>
  <conditionalFormatting sqref="AF16">
    <cfRule type="cellIs" dxfId="48" priority="46" stopIfTrue="1" operator="greaterThan">
      <formula>0</formula>
    </cfRule>
  </conditionalFormatting>
  <conditionalFormatting sqref="D25:J25 M25:W25 AB25 AD25:AF25">
    <cfRule type="cellIs" dxfId="47" priority="44" stopIfTrue="1" operator="greaterThan">
      <formula>0</formula>
    </cfRule>
  </conditionalFormatting>
  <conditionalFormatting sqref="AG25">
    <cfRule type="cellIs" dxfId="46" priority="42" stopIfTrue="1" operator="greaterThan">
      <formula>0</formula>
    </cfRule>
  </conditionalFormatting>
  <conditionalFormatting sqref="AG25">
    <cfRule type="cellIs" dxfId="45" priority="41" stopIfTrue="1" operator="greaterThan">
      <formula>0</formula>
    </cfRule>
  </conditionalFormatting>
  <conditionalFormatting sqref="AF25">
    <cfRule type="cellIs" dxfId="44" priority="40" stopIfTrue="1" operator="greaterThan">
      <formula>0</formula>
    </cfRule>
  </conditionalFormatting>
  <conditionalFormatting sqref="N21">
    <cfRule type="cellIs" dxfId="43" priority="38" stopIfTrue="1" operator="greaterThan">
      <formula>0</formula>
    </cfRule>
  </conditionalFormatting>
  <conditionalFormatting sqref="O21">
    <cfRule type="cellIs" dxfId="42" priority="37" stopIfTrue="1" operator="greaterThan">
      <formula>0</formula>
    </cfRule>
  </conditionalFormatting>
  <conditionalFormatting sqref="AG22:AG24">
    <cfRule type="cellIs" dxfId="41" priority="36" stopIfTrue="1" operator="greaterThan">
      <formula>0</formula>
    </cfRule>
  </conditionalFormatting>
  <conditionalFormatting sqref="E21:F21">
    <cfRule type="cellIs" dxfId="40" priority="35" stopIfTrue="1" operator="greaterThan">
      <formula>0</formula>
    </cfRule>
  </conditionalFormatting>
  <conditionalFormatting sqref="I20">
    <cfRule type="cellIs" dxfId="39" priority="33" stopIfTrue="1" operator="greaterThan">
      <formula>0</formula>
    </cfRule>
  </conditionalFormatting>
  <conditionalFormatting sqref="K39">
    <cfRule type="cellIs" dxfId="38" priority="30" stopIfTrue="1" operator="greaterThan">
      <formula>0</formula>
    </cfRule>
  </conditionalFormatting>
  <conditionalFormatting sqref="L39">
    <cfRule type="cellIs" dxfId="37" priority="29" stopIfTrue="1" operator="greaterThan">
      <formula>0</formula>
    </cfRule>
  </conditionalFormatting>
  <conditionalFormatting sqref="K22">
    <cfRule type="cellIs" dxfId="36" priority="22" stopIfTrue="1" operator="greaterThan">
      <formula>0</formula>
    </cfRule>
  </conditionalFormatting>
  <conditionalFormatting sqref="K25">
    <cfRule type="cellIs" dxfId="35" priority="21" stopIfTrue="1" operator="greaterThan">
      <formula>0</formula>
    </cfRule>
  </conditionalFormatting>
  <conditionalFormatting sqref="L22">
    <cfRule type="cellIs" dxfId="34" priority="20" stopIfTrue="1" operator="greaterThan">
      <formula>0</formula>
    </cfRule>
  </conditionalFormatting>
  <conditionalFormatting sqref="AH13:AH16 AH18:AH25">
    <cfRule type="cellIs" dxfId="33" priority="17" stopIfTrue="1" operator="greaterThan">
      <formula>0</formula>
    </cfRule>
  </conditionalFormatting>
  <conditionalFormatting sqref="AH13:AH16 AH18:AH25">
    <cfRule type="cellIs" dxfId="32" priority="18" stopIfTrue="1" operator="greaterThan">
      <formula>0</formula>
    </cfRule>
  </conditionalFormatting>
  <conditionalFormatting sqref="AL18">
    <cfRule type="cellIs" dxfId="31" priority="16" stopIfTrue="1" operator="greaterThan">
      <formula>0</formula>
    </cfRule>
  </conditionalFormatting>
  <conditionalFormatting sqref="AL18">
    <cfRule type="cellIs" dxfId="30" priority="15" stopIfTrue="1" operator="greaterThan">
      <formula>0</formula>
    </cfRule>
  </conditionalFormatting>
  <conditionalFormatting sqref="AA13:AA16 AA18:AA25">
    <cfRule type="cellIs" dxfId="29" priority="14" stopIfTrue="1" operator="greaterThan">
      <formula>0</formula>
    </cfRule>
  </conditionalFormatting>
  <conditionalFormatting sqref="E19:G20">
    <cfRule type="cellIs" dxfId="28" priority="13" stopIfTrue="1" operator="greaterThan">
      <formula>0</formula>
    </cfRule>
  </conditionalFormatting>
  <conditionalFormatting sqref="L25">
    <cfRule type="cellIs" dxfId="27" priority="12" stopIfTrue="1" operator="greaterThan">
      <formula>0</formula>
    </cfRule>
  </conditionalFormatting>
  <conditionalFormatting sqref="X18:Y25">
    <cfRule type="cellIs" dxfId="26" priority="11" stopIfTrue="1" operator="greaterThan">
      <formula>0</formula>
    </cfRule>
  </conditionalFormatting>
  <conditionalFormatting sqref="S17:AH17">
    <cfRule type="cellIs" dxfId="25" priority="9" stopIfTrue="1" operator="greaterThan">
      <formula>0</formula>
    </cfRule>
  </conditionalFormatting>
  <conditionalFormatting sqref="Z20:Z25">
    <cfRule type="cellIs" dxfId="13" priority="7" stopIfTrue="1" operator="greaterThan">
      <formula>0</formula>
    </cfRule>
  </conditionalFormatting>
  <conditionalFormatting sqref="AC18">
    <cfRule type="cellIs" dxfId="11" priority="6" stopIfTrue="1" operator="greaterThan">
      <formula>0</formula>
    </cfRule>
  </conditionalFormatting>
  <conditionalFormatting sqref="AC20">
    <cfRule type="cellIs" dxfId="9" priority="5" stopIfTrue="1" operator="greaterThan">
      <formula>0</formula>
    </cfRule>
  </conditionalFormatting>
  <conditionalFormatting sqref="AC23:AC25">
    <cfRule type="cellIs" dxfId="5" priority="3" stopIfTrue="1" operator="greaterThan">
      <formula>0</formula>
    </cfRule>
  </conditionalFormatting>
  <conditionalFormatting sqref="AC22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2023-02-01T06:15:52Z</dcterms:modified>
</cp:coreProperties>
</file>