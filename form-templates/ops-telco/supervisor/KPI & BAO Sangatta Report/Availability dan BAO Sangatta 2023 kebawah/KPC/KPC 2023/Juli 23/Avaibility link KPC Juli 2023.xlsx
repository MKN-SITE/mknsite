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420" windowWidth="15480" windowHeight="1122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2" i="11" l="1"/>
  <c r="D52" i="11"/>
  <c r="C52" i="11" l="1"/>
  <c r="D51" i="11"/>
  <c r="D50" i="11"/>
  <c r="D41" i="11"/>
  <c r="D40" i="11"/>
  <c r="E50" i="11" l="1"/>
  <c r="E51" i="11"/>
  <c r="E49" i="11"/>
  <c r="C50" i="11" l="1"/>
  <c r="C51" i="11"/>
  <c r="D49" i="11"/>
  <c r="C49" i="11" s="1"/>
  <c r="E40" i="11"/>
  <c r="C40" i="11" s="1"/>
  <c r="E41" i="11"/>
  <c r="C41" i="11" s="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C44" i="11" l="1"/>
  <c r="C48" i="11"/>
  <c r="C46" i="11"/>
  <c r="C42" i="11"/>
  <c r="C47" i="11"/>
  <c r="C45" i="11"/>
  <c r="C43" i="11"/>
  <c r="C57" i="11" l="1"/>
</calcChain>
</file>

<file path=xl/sharedStrings.xml><?xml version="1.0" encoding="utf-8"?>
<sst xmlns="http://schemas.openxmlformats.org/spreadsheetml/2006/main" count="117" uniqueCount="62">
  <si>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</si>
  <si>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</si>
  <si>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</si>
  <si>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</si>
  <si>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</si>
  <si>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</si>
  <si>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</si>
  <si>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</si>
  <si>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</si>
  <si>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</si>
  <si>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</si>
  <si>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</si>
  <si>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</si>
  <si>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</si>
  <si>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</si>
  <si>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</si>
  <si>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</si>
  <si>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</si>
  <si>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</si>
  <si>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</si>
  <si>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</si>
  <si>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</si>
  <si>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</si>
  <si>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</si>
  <si>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</si>
  <si>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</si>
  <si>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</si>
  <si>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</si>
  <si>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</si>
  <si>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</si>
  <si>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</si>
  <si>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</si>
  <si>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</si>
  <si>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</si>
  <si>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</si>
  <si>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</si>
  <si>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</si>
  <si>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</si>
  <si>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</si>
  <si>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</si>
  <si>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</si>
  <si>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</si>
  <si>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</si>
  <si>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</si>
  <si>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</si>
  <si>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</si>
  <si>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</si>
  <si>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</si>
  <si>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</si>
  <si>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α</t>
  </si>
  <si>
    <t>I</t>
  </si>
  <si>
    <t xml:space="preserve"> </t>
  </si>
  <si>
    <t>21 Juli 23</t>
  </si>
  <si>
    <t>22 Juli 23</t>
  </si>
  <si>
    <t>24 Juli 23</t>
  </si>
  <si>
    <t>30 Juli 23</t>
  </si>
  <si>
    <t>28 Juli 23</t>
  </si>
  <si>
    <t xml:space="preserve">          Intermitten</t>
  </si>
  <si>
    <t xml:space="preserve">          Bintang  Black Out</t>
  </si>
  <si>
    <t xml:space="preserve">          Low BER</t>
  </si>
  <si>
    <t>14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</si>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</sst>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3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7" xfId="0" applyNumberFormat="1" applyFont="1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6" fillId="0" borderId="2" xfId="0" applyFont="1" applyBorder="1"/>
    <xf numFmtId="164" fontId="6" fillId="0" borderId="21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9" fillId="0" borderId="23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3" xfId="0" applyFont="1" applyBorder="1" applyAlignment="1"/>
    <xf numFmtId="164" fontId="6" fillId="0" borderId="23" xfId="0" applyFont="1" applyBorder="1"/>
    <xf numFmtId="21" fontId="6" fillId="0" borderId="23" xfId="0" applyNumberFormat="1" applyFont="1" applyBorder="1"/>
    <xf numFmtId="164" fontId="6" fillId="0" borderId="19" xfId="0" applyFont="1" applyBorder="1"/>
    <xf numFmtId="165" fontId="39" fillId="0" borderId="4" xfId="0" applyNumberFormat="1" applyFont="1" applyBorder="1" applyAlignment="1">
      <alignment horizontal="center" vertical="center"/>
    </xf>
    <xf numFmtId="16" fontId="8" fillId="0" borderId="24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164" fontId="6" fillId="0" borderId="0" xfId="0" applyFont="1" applyFill="1" applyBorder="1"/>
    <xf numFmtId="164" fontId="0" fillId="0" borderId="25" xfId="0" applyBorder="1" applyAlignment="1">
      <alignment horizontal="center"/>
    </xf>
    <xf numFmtId="164" fontId="0" fillId="0" borderId="20" xfId="0" applyBorder="1"/>
    <xf numFmtId="164" fontId="0" fillId="0" borderId="26" xfId="0" applyBorder="1"/>
    <xf numFmtId="9" fontId="13" fillId="0" borderId="26" xfId="0" applyNumberFormat="1" applyFont="1" applyBorder="1" applyAlignment="1">
      <alignment horizontal="center"/>
    </xf>
    <xf numFmtId="164" fontId="0" fillId="0" borderId="5" xfId="0" applyBorder="1"/>
    <xf numFmtId="164" fontId="0" fillId="0" borderId="22" xfId="0" applyBorder="1"/>
    <xf numFmtId="164" fontId="12" fillId="0" borderId="29" xfId="0" applyFont="1" applyBorder="1" applyAlignment="1">
      <alignment horizontal="center" vertical="center"/>
    </xf>
    <xf numFmtId="16" fontId="8" fillId="0" borderId="17" xfId="0" applyNumberFormat="1" applyFont="1" applyFill="1" applyBorder="1" applyAlignment="1">
      <alignment horizontal="center"/>
    </xf>
    <xf numFmtId="164" fontId="39" fillId="0" borderId="23" xfId="0" applyFont="1" applyBorder="1" applyAlignment="1">
      <alignment horizontal="left" vertical="top"/>
    </xf>
    <xf numFmtId="164" fontId="39" fillId="0" borderId="23" xfId="0" applyFont="1" applyBorder="1" applyAlignment="1">
      <alignment horizontal="left" vertical="center"/>
    </xf>
    <xf numFmtId="164" fontId="39" fillId="0" borderId="0" xfId="0" applyFont="1" applyBorder="1" applyAlignment="1">
      <alignment horizontal="left" vertical="top"/>
    </xf>
    <xf numFmtId="164" fontId="38" fillId="0" borderId="23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4" xfId="0" applyFont="1" applyBorder="1" applyAlignment="1">
      <alignment horizontal="left" vertical="center"/>
    </xf>
    <xf numFmtId="164" fontId="8" fillId="0" borderId="15" xfId="0" applyFont="1" applyBorder="1" applyAlignment="1">
      <alignment horizontal="center" vertical="center" wrapText="1"/>
    </xf>
    <xf numFmtId="164" fontId="8" fillId="0" borderId="27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8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3" xfId="0" applyFont="1" applyBorder="1" applyAlignment="1">
      <alignment horizontal="center" vertical="center" wrapText="1"/>
    </xf>
    <xf numFmtId="164" fontId="36" fillId="0" borderId="26" xfId="0" applyFont="1" applyBorder="1" applyAlignment="1">
      <alignment horizontal="center" vertical="center" wrapText="1"/>
    </xf>
    <xf numFmtId="164" fontId="36" fillId="0" borderId="5" xfId="0" applyFont="1" applyBorder="1" applyAlignment="1">
      <alignment horizontal="center" vertical="center" wrapText="1"/>
    </xf>
    <xf numFmtId="49" fontId="37" fillId="0" borderId="19" xfId="0" applyNumberFormat="1" applyFont="1" applyBorder="1" applyAlignment="1">
      <alignment horizontal="center" vertical="center" wrapText="1"/>
    </xf>
    <xf numFmtId="49" fontId="36" fillId="0" borderId="21" xfId="0" applyNumberFormat="1" applyFont="1" applyBorder="1" applyAlignment="1">
      <alignment horizontal="center" vertical="center" wrapText="1"/>
    </xf>
    <xf numFmtId="49" fontId="36" fillId="0" borderId="22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6"/>
  <sheetViews>
    <sheetView tabSelected="1" zoomScale="80" zoomScaleNormal="80" workbookViewId="0">
      <pane xSplit="3" ySplit="11" topLeftCell="D51" activePane="bottomRight" state="frozen"/>
      <selection pane="topRight" activeCell="D1" sqref="D1"/>
      <selection pane="bottomLeft" activeCell="A12" sqref="A12"/>
      <selection pane="bottomRight" activeCell="B27" sqref="B27:B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1" width="10.5703125" customWidth="1"/>
    <col min="32" max="34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5">
        <v>45108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37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1" t="s">
        <v>2</v>
      </c>
      <c r="B10" s="103" t="s">
        <v>0</v>
      </c>
      <c r="C10" s="103" t="s">
        <v>8</v>
      </c>
      <c r="D10" s="93">
        <v>44378</v>
      </c>
      <c r="E10" s="93">
        <v>44379</v>
      </c>
      <c r="F10" s="93">
        <v>44380</v>
      </c>
      <c r="G10" s="93">
        <v>44381</v>
      </c>
      <c r="H10" s="93">
        <v>44382</v>
      </c>
      <c r="I10" s="93">
        <v>44383</v>
      </c>
      <c r="J10" s="93">
        <v>44384</v>
      </c>
      <c r="K10" s="93">
        <v>44385</v>
      </c>
      <c r="L10" s="93">
        <v>44386</v>
      </c>
      <c r="M10" s="93">
        <v>44387</v>
      </c>
      <c r="N10" s="93">
        <v>44388</v>
      </c>
      <c r="O10" s="93">
        <v>44389</v>
      </c>
      <c r="P10" s="93">
        <v>44390</v>
      </c>
      <c r="Q10" s="93">
        <v>44391</v>
      </c>
      <c r="R10" s="93">
        <v>44392</v>
      </c>
      <c r="S10" s="93">
        <v>44393</v>
      </c>
      <c r="T10" s="93">
        <v>44394</v>
      </c>
      <c r="U10" s="41">
        <v>44395</v>
      </c>
      <c r="V10" s="41">
        <v>44396</v>
      </c>
      <c r="W10" s="41">
        <v>44397</v>
      </c>
      <c r="X10" s="41">
        <v>44398</v>
      </c>
      <c r="Y10" s="41">
        <v>44399</v>
      </c>
      <c r="Z10" s="41">
        <v>44400</v>
      </c>
      <c r="AA10" s="41">
        <v>44401</v>
      </c>
      <c r="AB10" s="41">
        <v>44402</v>
      </c>
      <c r="AC10" s="41">
        <v>44403</v>
      </c>
      <c r="AD10" s="41">
        <v>44404</v>
      </c>
      <c r="AE10" s="41">
        <v>44405</v>
      </c>
      <c r="AF10" s="41">
        <v>44406</v>
      </c>
      <c r="AG10" s="41">
        <v>44407</v>
      </c>
      <c r="AH10" s="81">
        <v>44408</v>
      </c>
    </row>
    <row r="11" spans="1:34" s="1" customFormat="1" ht="13.5" thickBot="1" x14ac:dyDescent="0.25">
      <c r="A11" s="102"/>
      <c r="B11" s="104"/>
      <c r="C11" s="104"/>
      <c r="D11" s="92" t="s">
        <v>7</v>
      </c>
      <c r="E11" s="92" t="s">
        <v>7</v>
      </c>
      <c r="F11" s="92" t="s">
        <v>7</v>
      </c>
      <c r="G11" s="92" t="s">
        <v>7</v>
      </c>
      <c r="H11" s="92" t="s">
        <v>7</v>
      </c>
      <c r="I11" s="92" t="s">
        <v>7</v>
      </c>
      <c r="J11" s="92" t="s">
        <v>7</v>
      </c>
      <c r="K11" s="92" t="s">
        <v>7</v>
      </c>
      <c r="L11" s="92" t="s">
        <v>7</v>
      </c>
      <c r="M11" s="92" t="s">
        <v>7</v>
      </c>
      <c r="N11" s="92" t="s">
        <v>7</v>
      </c>
      <c r="O11" s="92" t="s">
        <v>7</v>
      </c>
      <c r="P11" s="92" t="s">
        <v>7</v>
      </c>
      <c r="Q11" s="92" t="s">
        <v>7</v>
      </c>
      <c r="R11" s="92" t="s">
        <v>7</v>
      </c>
      <c r="S11" s="92" t="s">
        <v>7</v>
      </c>
      <c r="T11" s="92" t="s">
        <v>7</v>
      </c>
      <c r="U11" s="92" t="s">
        <v>7</v>
      </c>
      <c r="V11" s="92" t="s">
        <v>7</v>
      </c>
      <c r="W11" s="92" t="s">
        <v>7</v>
      </c>
      <c r="X11" s="92" t="s">
        <v>7</v>
      </c>
      <c r="Y11" s="92" t="s">
        <v>7</v>
      </c>
      <c r="Z11" s="92" t="s">
        <v>7</v>
      </c>
      <c r="AA11" s="92" t="s">
        <v>7</v>
      </c>
      <c r="AB11" s="92" t="s">
        <v>7</v>
      </c>
      <c r="AC11" s="92" t="s">
        <v>7</v>
      </c>
      <c r="AD11" s="92" t="s">
        <v>7</v>
      </c>
      <c r="AE11" s="92" t="s">
        <v>7</v>
      </c>
      <c r="AF11" s="92" t="s">
        <v>7</v>
      </c>
      <c r="AG11" s="92" t="s">
        <v>7</v>
      </c>
      <c r="AH11" s="92" t="s">
        <v>7</v>
      </c>
    </row>
    <row r="12" spans="1:34" x14ac:dyDescent="0.2">
      <c r="A12" s="86"/>
      <c r="B12" s="87"/>
      <c r="C12" s="88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90"/>
      <c r="AG12" s="91"/>
      <c r="AH12" s="90"/>
    </row>
    <row r="13" spans="1:34" s="11" customFormat="1" ht="15.75" x14ac:dyDescent="0.25">
      <c r="A13" s="42" t="s">
        <v>37</v>
      </c>
      <c r="B13" s="30" t="s">
        <v>17</v>
      </c>
      <c r="C13" s="32"/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82">
        <v>0</v>
      </c>
      <c r="Z13" s="82">
        <v>0</v>
      </c>
      <c r="AA13" s="82">
        <v>0</v>
      </c>
      <c r="AB13" s="82">
        <v>0</v>
      </c>
      <c r="AC13" s="82">
        <v>0</v>
      </c>
      <c r="AD13" s="82">
        <v>0</v>
      </c>
      <c r="AE13" s="82">
        <v>0</v>
      </c>
      <c r="AF13" s="82">
        <v>0</v>
      </c>
      <c r="AG13" s="82">
        <v>0</v>
      </c>
      <c r="AH13" s="82">
        <v>0</v>
      </c>
    </row>
    <row r="14" spans="1:34" s="11" customFormat="1" ht="15.75" x14ac:dyDescent="0.25">
      <c r="A14" s="42" t="s">
        <v>28</v>
      </c>
      <c r="B14" s="30" t="s">
        <v>25</v>
      </c>
      <c r="C14" s="32"/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82">
        <v>0</v>
      </c>
      <c r="M14" s="82">
        <v>0</v>
      </c>
      <c r="N14" s="82">
        <v>0</v>
      </c>
      <c r="O14" s="82">
        <v>0</v>
      </c>
      <c r="P14" s="82">
        <v>0</v>
      </c>
      <c r="Q14" s="82">
        <v>0</v>
      </c>
      <c r="R14" s="82">
        <v>0</v>
      </c>
      <c r="S14" s="82">
        <v>0</v>
      </c>
      <c r="T14" s="82">
        <v>0</v>
      </c>
      <c r="U14" s="82">
        <v>0</v>
      </c>
      <c r="V14" s="82">
        <v>0</v>
      </c>
      <c r="W14" s="82">
        <v>0</v>
      </c>
      <c r="X14" s="82">
        <v>0</v>
      </c>
      <c r="Y14" s="82">
        <v>0</v>
      </c>
      <c r="Z14" s="82">
        <v>0</v>
      </c>
      <c r="AA14" s="82">
        <v>0</v>
      </c>
      <c r="AB14" s="82">
        <v>0</v>
      </c>
      <c r="AC14" s="82">
        <v>0</v>
      </c>
      <c r="AD14" s="82">
        <v>0</v>
      </c>
      <c r="AE14" s="82">
        <v>0</v>
      </c>
      <c r="AF14" s="82">
        <v>0</v>
      </c>
      <c r="AG14" s="82">
        <v>0</v>
      </c>
      <c r="AH14" s="82">
        <v>0</v>
      </c>
    </row>
    <row r="15" spans="1:34" s="11" customFormat="1" ht="15.75" x14ac:dyDescent="0.25">
      <c r="A15" s="42" t="s">
        <v>29</v>
      </c>
      <c r="B15" s="30" t="s">
        <v>18</v>
      </c>
      <c r="C15" s="32"/>
      <c r="D15" s="82">
        <v>0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2">
        <v>0</v>
      </c>
      <c r="Z15" s="82">
        <v>0</v>
      </c>
      <c r="AA15" s="82">
        <v>0</v>
      </c>
      <c r="AB15" s="82">
        <v>0</v>
      </c>
      <c r="AC15" s="82">
        <v>0</v>
      </c>
      <c r="AD15" s="82">
        <v>0</v>
      </c>
      <c r="AE15" s="82">
        <v>0</v>
      </c>
      <c r="AF15" s="82">
        <v>0</v>
      </c>
      <c r="AG15" s="82">
        <v>0</v>
      </c>
      <c r="AH15" s="82">
        <v>0</v>
      </c>
    </row>
    <row r="16" spans="1:34" s="11" customFormat="1" ht="15.75" x14ac:dyDescent="0.25">
      <c r="A16" s="42" t="s">
        <v>30</v>
      </c>
      <c r="B16" s="30" t="s">
        <v>19</v>
      </c>
      <c r="C16" s="32"/>
      <c r="D16" s="82">
        <v>0</v>
      </c>
      <c r="E16" s="82">
        <v>0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0</v>
      </c>
      <c r="M16" s="82">
        <v>0</v>
      </c>
      <c r="N16" s="82">
        <v>0</v>
      </c>
      <c r="O16" s="82">
        <v>0</v>
      </c>
      <c r="P16" s="82">
        <v>0</v>
      </c>
      <c r="Q16" s="82">
        <v>0</v>
      </c>
      <c r="R16" s="82">
        <v>0</v>
      </c>
      <c r="S16" s="82">
        <v>0</v>
      </c>
      <c r="T16" s="82">
        <v>0</v>
      </c>
      <c r="U16" s="82">
        <v>0</v>
      </c>
      <c r="V16" s="82">
        <v>0</v>
      </c>
      <c r="W16" s="82">
        <v>0</v>
      </c>
      <c r="X16" s="82">
        <v>0</v>
      </c>
      <c r="Y16" s="82">
        <v>0</v>
      </c>
      <c r="Z16" s="82">
        <v>0</v>
      </c>
      <c r="AA16" s="82">
        <v>0</v>
      </c>
      <c r="AB16" s="82">
        <v>0</v>
      </c>
      <c r="AC16" s="82">
        <v>0</v>
      </c>
      <c r="AD16" s="82">
        <v>0</v>
      </c>
      <c r="AE16" s="82">
        <v>0</v>
      </c>
      <c r="AF16" s="82">
        <v>0</v>
      </c>
      <c r="AG16" s="82">
        <v>0</v>
      </c>
      <c r="AH16" s="82">
        <v>0</v>
      </c>
    </row>
    <row r="17" spans="1:38" s="11" customFormat="1" ht="15.75" x14ac:dyDescent="0.25">
      <c r="A17" s="42" t="s">
        <v>31</v>
      </c>
      <c r="B17" s="30" t="s">
        <v>20</v>
      </c>
      <c r="C17" s="32"/>
      <c r="D17" s="82">
        <v>0</v>
      </c>
      <c r="E17" s="82">
        <v>0</v>
      </c>
      <c r="F17" s="82">
        <v>0</v>
      </c>
      <c r="G17" s="82">
        <v>0</v>
      </c>
      <c r="H17" s="82">
        <v>0</v>
      </c>
      <c r="I17" s="82">
        <v>0</v>
      </c>
      <c r="J17" s="82">
        <v>0</v>
      </c>
      <c r="K17" s="82">
        <v>0</v>
      </c>
      <c r="L17" s="82">
        <v>0</v>
      </c>
      <c r="M17" s="82">
        <v>0</v>
      </c>
      <c r="N17" s="82">
        <v>0</v>
      </c>
      <c r="O17" s="82">
        <v>0</v>
      </c>
      <c r="P17" s="82">
        <v>0</v>
      </c>
      <c r="Q17" s="82">
        <v>0</v>
      </c>
      <c r="R17" s="82">
        <v>0</v>
      </c>
      <c r="S17" s="82">
        <v>0</v>
      </c>
      <c r="T17" s="82">
        <v>0</v>
      </c>
      <c r="U17" s="82">
        <v>0</v>
      </c>
      <c r="V17" s="82">
        <v>0</v>
      </c>
      <c r="W17" s="82">
        <v>0</v>
      </c>
      <c r="X17" s="82">
        <v>0</v>
      </c>
      <c r="Y17" s="82">
        <v>0</v>
      </c>
      <c r="Z17" s="82">
        <v>0</v>
      </c>
      <c r="AA17" s="82">
        <v>0</v>
      </c>
      <c r="AB17" s="82">
        <v>0</v>
      </c>
      <c r="AC17" s="82">
        <v>0</v>
      </c>
      <c r="AD17" s="82">
        <v>0</v>
      </c>
      <c r="AE17" s="82">
        <v>5.9259259259259256E-3</v>
      </c>
      <c r="AF17" s="82">
        <v>0</v>
      </c>
      <c r="AG17" s="82">
        <v>3.1145833333333334E-2</v>
      </c>
      <c r="AH17" s="82">
        <v>0</v>
      </c>
    </row>
    <row r="18" spans="1:38" s="11" customFormat="1" ht="15.75" x14ac:dyDescent="0.25">
      <c r="A18" s="42" t="s">
        <v>32</v>
      </c>
      <c r="B18" s="30" t="s">
        <v>21</v>
      </c>
      <c r="C18" s="32"/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Z18" s="82">
        <v>0</v>
      </c>
      <c r="AA18" s="82">
        <v>0</v>
      </c>
      <c r="AB18" s="82">
        <v>0</v>
      </c>
      <c r="AC18" s="82">
        <v>0</v>
      </c>
      <c r="AD18" s="82">
        <v>0</v>
      </c>
      <c r="AE18" s="82">
        <v>0</v>
      </c>
      <c r="AF18" s="82">
        <v>0</v>
      </c>
      <c r="AG18" s="82">
        <v>0</v>
      </c>
      <c r="AH18" s="82">
        <v>0</v>
      </c>
      <c r="AL18" s="65"/>
    </row>
    <row r="19" spans="1:38" s="11" customFormat="1" ht="15.75" x14ac:dyDescent="0.25">
      <c r="A19" s="42" t="s">
        <v>33</v>
      </c>
      <c r="B19" s="30" t="s">
        <v>22</v>
      </c>
      <c r="C19" s="32"/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Z19" s="82">
        <v>0</v>
      </c>
      <c r="AA19" s="82">
        <v>6.4699074074074069E-3</v>
      </c>
      <c r="AB19" s="82">
        <v>0</v>
      </c>
      <c r="AC19" s="82">
        <v>0</v>
      </c>
      <c r="AD19" s="82">
        <v>0</v>
      </c>
      <c r="AE19" s="82">
        <v>0</v>
      </c>
      <c r="AF19" s="82">
        <v>0</v>
      </c>
      <c r="AG19" s="82">
        <v>0</v>
      </c>
      <c r="AH19" s="82">
        <v>0</v>
      </c>
    </row>
    <row r="20" spans="1:38" s="11" customFormat="1" ht="15.75" x14ac:dyDescent="0.25">
      <c r="A20" s="42" t="s">
        <v>34</v>
      </c>
      <c r="B20" s="30" t="s">
        <v>26</v>
      </c>
      <c r="C20" s="32"/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Z20" s="82">
        <v>0</v>
      </c>
      <c r="AA20" s="82">
        <v>0</v>
      </c>
      <c r="AB20" s="82">
        <v>0</v>
      </c>
      <c r="AC20" s="82">
        <v>0</v>
      </c>
      <c r="AD20" s="82">
        <v>0</v>
      </c>
      <c r="AE20" s="82">
        <v>0</v>
      </c>
      <c r="AF20" s="82">
        <v>0</v>
      </c>
      <c r="AG20" s="82">
        <v>0</v>
      </c>
      <c r="AH20" s="82">
        <v>0</v>
      </c>
    </row>
    <row r="21" spans="1:38" s="11" customFormat="1" ht="15.75" x14ac:dyDescent="0.25">
      <c r="A21" s="42" t="s">
        <v>35</v>
      </c>
      <c r="B21" s="30" t="s">
        <v>24</v>
      </c>
      <c r="C21" s="32"/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Z21" s="82">
        <v>0</v>
      </c>
      <c r="AA21" s="82">
        <v>0</v>
      </c>
      <c r="AB21" s="82">
        <v>0</v>
      </c>
      <c r="AC21" s="82">
        <v>0</v>
      </c>
      <c r="AD21" s="82">
        <v>0</v>
      </c>
      <c r="AE21" s="82">
        <v>0</v>
      </c>
      <c r="AF21" s="82">
        <v>0</v>
      </c>
      <c r="AG21" s="82">
        <v>0</v>
      </c>
      <c r="AH21" s="82">
        <v>0</v>
      </c>
    </row>
    <row r="22" spans="1:38" s="11" customFormat="1" ht="15.75" x14ac:dyDescent="0.25">
      <c r="A22" s="42" t="s">
        <v>36</v>
      </c>
      <c r="B22" s="43" t="s">
        <v>23</v>
      </c>
      <c r="C22" s="32"/>
      <c r="D22" s="83">
        <v>0</v>
      </c>
      <c r="E22" s="83">
        <v>0</v>
      </c>
      <c r="F22" s="83">
        <v>0</v>
      </c>
      <c r="G22" s="83">
        <v>0</v>
      </c>
      <c r="H22" s="82">
        <v>0</v>
      </c>
      <c r="I22" s="83">
        <v>0</v>
      </c>
      <c r="J22" s="83">
        <v>0</v>
      </c>
      <c r="K22" s="82">
        <v>0</v>
      </c>
      <c r="L22" s="82">
        <v>0</v>
      </c>
      <c r="M22" s="83">
        <v>0</v>
      </c>
      <c r="N22" s="82">
        <v>0</v>
      </c>
      <c r="O22" s="83">
        <v>0</v>
      </c>
      <c r="P22" s="83">
        <v>0</v>
      </c>
      <c r="Q22" s="83">
        <v>0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1.0856481481481481E-2</v>
      </c>
      <c r="Y22" s="83">
        <v>4.08912037037037E-2</v>
      </c>
      <c r="Z22" s="83">
        <v>0</v>
      </c>
      <c r="AA22" s="82">
        <v>0</v>
      </c>
      <c r="AB22" s="83">
        <v>0</v>
      </c>
      <c r="AC22" s="83">
        <v>0</v>
      </c>
      <c r="AD22" s="83">
        <v>0</v>
      </c>
      <c r="AE22" s="83">
        <v>0</v>
      </c>
      <c r="AF22" s="83">
        <v>0</v>
      </c>
      <c r="AG22" s="83">
        <v>0</v>
      </c>
      <c r="AH22" s="82">
        <v>0</v>
      </c>
    </row>
    <row r="23" spans="1:38" s="11" customFormat="1" ht="15.75" x14ac:dyDescent="0.25">
      <c r="A23" s="42" t="s">
        <v>38</v>
      </c>
      <c r="B23" s="43" t="s">
        <v>39</v>
      </c>
      <c r="C23" s="49"/>
      <c r="D23" s="83">
        <v>0</v>
      </c>
      <c r="E23" s="83">
        <v>0</v>
      </c>
      <c r="F23" s="83">
        <v>0</v>
      </c>
      <c r="G23" s="83">
        <v>0</v>
      </c>
      <c r="H23" s="82">
        <v>0</v>
      </c>
      <c r="I23" s="83">
        <v>0</v>
      </c>
      <c r="J23" s="83">
        <v>0</v>
      </c>
      <c r="K23" s="83">
        <v>0</v>
      </c>
      <c r="L23" s="83">
        <v>0</v>
      </c>
      <c r="M23" s="83">
        <v>0</v>
      </c>
      <c r="N23" s="83">
        <v>0</v>
      </c>
      <c r="O23" s="83">
        <v>0</v>
      </c>
      <c r="P23" s="83">
        <v>0</v>
      </c>
      <c r="Q23" s="83">
        <v>0</v>
      </c>
      <c r="R23" s="82">
        <v>0</v>
      </c>
      <c r="S23" s="83">
        <v>0</v>
      </c>
      <c r="T23" s="83">
        <v>0</v>
      </c>
      <c r="U23" s="83">
        <v>0</v>
      </c>
      <c r="V23" s="83">
        <v>0</v>
      </c>
      <c r="W23" s="83">
        <v>0</v>
      </c>
      <c r="X23" s="83">
        <v>0</v>
      </c>
      <c r="Y23" s="83">
        <v>0</v>
      </c>
      <c r="Z23" s="83">
        <v>0</v>
      </c>
      <c r="AA23" s="83">
        <v>0</v>
      </c>
      <c r="AB23" s="83">
        <v>0</v>
      </c>
      <c r="AC23" s="83">
        <v>0</v>
      </c>
      <c r="AD23" s="83">
        <v>0</v>
      </c>
      <c r="AE23" s="83">
        <v>0</v>
      </c>
      <c r="AF23" s="83">
        <v>0</v>
      </c>
      <c r="AG23" s="83">
        <v>0</v>
      </c>
      <c r="AH23" s="82">
        <v>0</v>
      </c>
    </row>
    <row r="24" spans="1:38" s="11" customFormat="1" ht="15.75" x14ac:dyDescent="0.25">
      <c r="A24" s="42" t="s">
        <v>41</v>
      </c>
      <c r="B24" s="43" t="s">
        <v>40</v>
      </c>
      <c r="C24" s="44"/>
      <c r="D24" s="83">
        <v>0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K24" s="83">
        <v>0</v>
      </c>
      <c r="L24" s="83">
        <v>0</v>
      </c>
      <c r="M24" s="83">
        <v>0</v>
      </c>
      <c r="N24" s="83">
        <v>0</v>
      </c>
      <c r="O24" s="83">
        <v>0</v>
      </c>
      <c r="P24" s="83">
        <v>0</v>
      </c>
      <c r="Q24" s="83">
        <v>0</v>
      </c>
      <c r="R24" s="83">
        <v>0</v>
      </c>
      <c r="S24" s="83">
        <v>0</v>
      </c>
      <c r="T24" s="83">
        <v>0</v>
      </c>
      <c r="U24" s="83">
        <v>0</v>
      </c>
      <c r="V24" s="83">
        <v>0</v>
      </c>
      <c r="W24" s="83">
        <v>0</v>
      </c>
      <c r="X24" s="83">
        <v>0</v>
      </c>
      <c r="Y24" s="83">
        <v>0</v>
      </c>
      <c r="Z24" s="83">
        <v>0</v>
      </c>
      <c r="AA24" s="82">
        <v>0</v>
      </c>
      <c r="AB24" s="83">
        <v>0</v>
      </c>
      <c r="AC24" s="83">
        <v>0</v>
      </c>
      <c r="AD24" s="83">
        <v>0</v>
      </c>
      <c r="AE24" s="83">
        <v>0</v>
      </c>
      <c r="AF24" s="83">
        <v>0</v>
      </c>
      <c r="AG24" s="83">
        <v>0</v>
      </c>
      <c r="AH24" s="82">
        <v>0</v>
      </c>
    </row>
    <row r="25" spans="1:38" s="11" customFormat="1" ht="12.75" customHeight="1" x14ac:dyDescent="0.25">
      <c r="A25" s="42" t="s">
        <v>42</v>
      </c>
      <c r="B25" s="51" t="s">
        <v>45</v>
      </c>
      <c r="C25" s="62"/>
      <c r="D25" s="82">
        <v>0</v>
      </c>
      <c r="E25" s="82">
        <v>0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>
        <v>0</v>
      </c>
      <c r="L25" s="82">
        <v>0</v>
      </c>
      <c r="M25" s="82">
        <v>0</v>
      </c>
      <c r="N25" s="82">
        <v>0</v>
      </c>
      <c r="O25" s="82">
        <v>0</v>
      </c>
      <c r="P25" s="82">
        <v>0</v>
      </c>
      <c r="Q25" s="82">
        <v>0</v>
      </c>
      <c r="R25" s="82">
        <v>0</v>
      </c>
      <c r="S25" s="82">
        <v>0</v>
      </c>
      <c r="T25" s="82">
        <v>0</v>
      </c>
      <c r="U25" s="82">
        <v>0</v>
      </c>
      <c r="V25" s="82">
        <v>0</v>
      </c>
      <c r="W25" s="82">
        <v>0</v>
      </c>
      <c r="X25" s="82">
        <v>0</v>
      </c>
      <c r="Y25" s="82">
        <v>0</v>
      </c>
      <c r="Z25" s="82">
        <v>0</v>
      </c>
      <c r="AA25" s="82">
        <v>0</v>
      </c>
      <c r="AB25" s="82">
        <v>0</v>
      </c>
      <c r="AC25" s="82">
        <v>0</v>
      </c>
      <c r="AD25" s="82">
        <v>0</v>
      </c>
      <c r="AE25" s="82">
        <v>0</v>
      </c>
      <c r="AF25" s="82">
        <v>0</v>
      </c>
      <c r="AG25" s="82">
        <v>0</v>
      </c>
      <c r="AH25" s="82">
        <v>0</v>
      </c>
    </row>
    <row r="26" spans="1:38" s="11" customFormat="1" ht="16.5" customHeight="1" x14ac:dyDescent="0.2">
      <c r="A26" s="50"/>
      <c r="B26" s="61"/>
      <c r="C26" s="52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59"/>
    </row>
    <row r="27" spans="1:38" s="11" customFormat="1" ht="16.5" customHeight="1" x14ac:dyDescent="0.2">
      <c r="A27" s="110" t="s">
        <v>60</v>
      </c>
      <c r="B27" s="107" t="s">
        <v>61</v>
      </c>
      <c r="C27" s="69" t="s">
        <v>52</v>
      </c>
      <c r="D27" s="100" t="s">
        <v>57</v>
      </c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59"/>
    </row>
    <row r="28" spans="1:38" s="11" customFormat="1" ht="16.5" customHeight="1" x14ac:dyDescent="0.2">
      <c r="A28" s="111"/>
      <c r="B28" s="108"/>
      <c r="C28" s="69" t="s">
        <v>53</v>
      </c>
      <c r="D28" s="100" t="s">
        <v>57</v>
      </c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60"/>
    </row>
    <row r="29" spans="1:38" s="11" customFormat="1" ht="16.5" customHeight="1" x14ac:dyDescent="0.2">
      <c r="A29" s="111"/>
      <c r="B29" s="108"/>
      <c r="C29" s="69" t="s">
        <v>54</v>
      </c>
      <c r="D29" s="100" t="s">
        <v>59</v>
      </c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59"/>
    </row>
    <row r="30" spans="1:38" s="11" customFormat="1" ht="15" customHeight="1" x14ac:dyDescent="0.2">
      <c r="A30" s="111"/>
      <c r="B30" s="108"/>
      <c r="C30" s="80" t="s">
        <v>56</v>
      </c>
      <c r="D30" s="94" t="s">
        <v>58</v>
      </c>
      <c r="E30" s="94"/>
      <c r="F30" s="94"/>
      <c r="G30" s="94"/>
      <c r="H30" s="94"/>
      <c r="I30" s="94"/>
      <c r="J30" s="94"/>
      <c r="K30" s="94"/>
      <c r="L30" s="94"/>
      <c r="M30" s="75"/>
      <c r="N30" s="75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H30" s="79"/>
    </row>
    <row r="31" spans="1:38" s="11" customFormat="1" ht="15" customHeight="1" x14ac:dyDescent="0.2">
      <c r="A31" s="111"/>
      <c r="B31" s="108"/>
      <c r="C31" s="80" t="s">
        <v>55</v>
      </c>
      <c r="D31" s="95" t="s">
        <v>58</v>
      </c>
      <c r="E31" s="95"/>
      <c r="F31" s="95"/>
      <c r="G31" s="95"/>
      <c r="H31" s="95"/>
      <c r="I31" s="95"/>
      <c r="J31" s="95"/>
      <c r="K31" s="95"/>
      <c r="L31" s="95"/>
      <c r="M31" s="95"/>
      <c r="N31" s="72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59"/>
    </row>
    <row r="32" spans="1:38" s="11" customFormat="1" ht="15" customHeight="1" x14ac:dyDescent="0.2">
      <c r="A32" s="111"/>
      <c r="B32" s="108"/>
      <c r="C32" s="80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76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59"/>
      <c r="AA32" s="77"/>
      <c r="AB32" s="78"/>
      <c r="AC32" s="77"/>
      <c r="AD32" s="77"/>
      <c r="AE32" s="77"/>
      <c r="AF32" s="77"/>
      <c r="AG32" s="77"/>
      <c r="AH32" s="59"/>
    </row>
    <row r="33" spans="1:34" s="11" customFormat="1" ht="15" customHeight="1" x14ac:dyDescent="0.2">
      <c r="A33" s="112"/>
      <c r="B33" s="109"/>
      <c r="C33" s="80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76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8"/>
      <c r="AC33" s="77"/>
      <c r="AD33" s="77"/>
      <c r="AE33" s="77"/>
      <c r="AF33" s="77"/>
      <c r="AG33" s="77"/>
      <c r="AH33" s="59"/>
    </row>
    <row r="34" spans="1:34" s="11" customFormat="1" ht="15" x14ac:dyDescent="0.2">
      <c r="A34" s="73"/>
      <c r="B34" s="73"/>
      <c r="C34" s="74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14"/>
      <c r="AB34" s="29"/>
    </row>
    <row r="35" spans="1:34" s="11" customFormat="1" ht="15" x14ac:dyDescent="0.2">
      <c r="A35" s="12"/>
      <c r="B35" s="38"/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14"/>
      <c r="AB35" s="29"/>
    </row>
    <row r="36" spans="1:34" s="11" customFormat="1" x14ac:dyDescent="0.2">
      <c r="A36" s="12"/>
      <c r="D36" s="70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AB36" s="29"/>
    </row>
    <row r="37" spans="1:34" s="11" customFormat="1" x14ac:dyDescent="0.2">
      <c r="A37" s="21" t="s">
        <v>12</v>
      </c>
      <c r="D37" s="13"/>
      <c r="E37" s="14"/>
      <c r="F37" s="14"/>
      <c r="G37" s="14"/>
      <c r="H37" s="14"/>
      <c r="I37" s="14"/>
      <c r="J37" s="14"/>
      <c r="K37" s="53"/>
      <c r="L37" s="53"/>
      <c r="M37" s="14"/>
      <c r="O37" s="14"/>
      <c r="AB37" s="29"/>
    </row>
    <row r="38" spans="1:34" s="11" customFormat="1" x14ac:dyDescent="0.2">
      <c r="A38" s="105" t="s">
        <v>2</v>
      </c>
      <c r="B38" s="105" t="s">
        <v>9</v>
      </c>
      <c r="C38" s="105" t="s">
        <v>1</v>
      </c>
      <c r="D38" s="98" t="s">
        <v>7</v>
      </c>
      <c r="E38" s="99"/>
      <c r="F38" s="14"/>
      <c r="G38" s="14"/>
      <c r="H38" s="14"/>
      <c r="I38" s="14"/>
      <c r="J38" s="14"/>
      <c r="K38" s="54"/>
      <c r="L38" s="54"/>
      <c r="M38" s="14"/>
      <c r="O38" s="14"/>
      <c r="T38" s="11" t="s">
        <v>50</v>
      </c>
      <c r="AB38" s="29"/>
    </row>
    <row r="39" spans="1:34" s="11" customFormat="1" x14ac:dyDescent="0.2">
      <c r="A39" s="106"/>
      <c r="B39" s="106"/>
      <c r="C39" s="106"/>
      <c r="D39" s="25" t="s">
        <v>10</v>
      </c>
      <c r="E39" s="20" t="s">
        <v>11</v>
      </c>
      <c r="F39" s="14"/>
      <c r="G39" s="14"/>
      <c r="H39" s="14"/>
      <c r="I39" s="14"/>
      <c r="J39" s="14"/>
      <c r="K39" s="14"/>
      <c r="L39" s="14"/>
      <c r="M39" s="14"/>
      <c r="O39" s="14"/>
      <c r="AB39" s="29"/>
    </row>
    <row r="40" spans="1:34" s="11" customFormat="1" ht="15.75" x14ac:dyDescent="0.25">
      <c r="A40" s="36" t="s">
        <v>37</v>
      </c>
      <c r="B40" s="30" t="s">
        <v>47</v>
      </c>
      <c r="C40" s="33">
        <f t="shared" ref="C40:C48" si="0">1-(((D40*3600)+(LEFT(E40,2)*60)+RIGHT(E40,2))/((60*60*24)*$C$8))</f>
        <v>1</v>
      </c>
      <c r="D40" s="18" t="str">
        <f>TEXT(SUM(D13:AG13),"[h]")</f>
        <v>0</v>
      </c>
      <c r="E40" s="18" t="str">
        <f>TEXT(SUM(D13:AG13),"mm ss")</f>
        <v>00 00</v>
      </c>
      <c r="F40" s="14"/>
      <c r="G40" s="19"/>
      <c r="H40" s="14"/>
      <c r="I40" s="14"/>
      <c r="J40" s="14"/>
      <c r="K40" s="14"/>
      <c r="L40" s="14"/>
      <c r="M40" s="14"/>
      <c r="O40" s="14"/>
      <c r="AB40" s="29"/>
    </row>
    <row r="41" spans="1:34" s="11" customFormat="1" ht="15.75" x14ac:dyDescent="0.25">
      <c r="A41" s="36" t="s">
        <v>28</v>
      </c>
      <c r="B41" s="30" t="s">
        <v>25</v>
      </c>
      <c r="C41" s="33">
        <f t="shared" si="0"/>
        <v>1</v>
      </c>
      <c r="D41" s="18" t="str">
        <f>TEXT(SUM(D14:AG14),"[h]")</f>
        <v>0</v>
      </c>
      <c r="E41" s="18" t="str">
        <f>TEXT(SUM(D14:AG14),"mm ss")</f>
        <v>00 00</v>
      </c>
      <c r="F41" s="96"/>
      <c r="G41" s="96"/>
      <c r="H41" s="96"/>
      <c r="I41" s="96"/>
      <c r="J41" s="96"/>
      <c r="K41" s="96"/>
      <c r="L41" s="96"/>
      <c r="M41" s="96"/>
      <c r="N41" s="96"/>
      <c r="O41" s="14"/>
    </row>
    <row r="42" spans="1:34" s="11" customFormat="1" ht="15.75" x14ac:dyDescent="0.25">
      <c r="A42" s="36" t="s">
        <v>29</v>
      </c>
      <c r="B42" s="46" t="s">
        <v>18</v>
      </c>
      <c r="C42" s="33">
        <f t="shared" si="0"/>
        <v>1</v>
      </c>
      <c r="D42" s="18" t="str">
        <f>TEXT(SUM(D15:AG15),"[h]")</f>
        <v>0</v>
      </c>
      <c r="E42" s="18" t="str">
        <f>TEXT(SUM(D15:AG15),"mm ss")</f>
        <v>00 00</v>
      </c>
      <c r="F42" s="14"/>
      <c r="G42" s="19"/>
      <c r="H42" s="63"/>
      <c r="I42" s="14"/>
      <c r="J42" s="14"/>
      <c r="K42" s="14"/>
      <c r="L42" s="14"/>
      <c r="M42" s="14"/>
      <c r="O42" s="14"/>
    </row>
    <row r="43" spans="1:34" s="11" customFormat="1" ht="15.75" x14ac:dyDescent="0.25">
      <c r="A43" s="36" t="s">
        <v>30</v>
      </c>
      <c r="B43" s="30" t="s">
        <v>19</v>
      </c>
      <c r="C43" s="33">
        <f t="shared" si="0"/>
        <v>1</v>
      </c>
      <c r="D43" s="18" t="str">
        <f>TEXT(SUM(D16:AG16),"[h]")</f>
        <v>0</v>
      </c>
      <c r="E43" s="18" t="str">
        <f>TEXT(SUM(D16:AG16),"mm ss")</f>
        <v>00 00</v>
      </c>
      <c r="F43" s="14"/>
      <c r="G43" s="19"/>
      <c r="H43" s="14"/>
      <c r="I43" s="14"/>
      <c r="J43" s="14"/>
      <c r="K43" s="14"/>
      <c r="L43" s="14"/>
      <c r="M43" s="14"/>
      <c r="O43" s="14"/>
    </row>
    <row r="44" spans="1:34" s="11" customFormat="1" ht="15.75" x14ac:dyDescent="0.25">
      <c r="A44" s="36" t="s">
        <v>31</v>
      </c>
      <c r="B44" s="30" t="s">
        <v>20</v>
      </c>
      <c r="C44" s="33">
        <f t="shared" si="0"/>
        <v>0.99880413679808844</v>
      </c>
      <c r="D44" s="18" t="str">
        <f>TEXT(SUM(D17:AG17),"[h]")</f>
        <v>0</v>
      </c>
      <c r="E44" s="18" t="str">
        <f>TEXT(SUM(D17:AG17),"mm ss")</f>
        <v>53 23</v>
      </c>
      <c r="F44" s="14"/>
      <c r="G44" s="19"/>
      <c r="H44" s="14"/>
      <c r="I44" s="14"/>
      <c r="J44" s="14"/>
      <c r="K44" s="14"/>
      <c r="L44" s="14"/>
      <c r="M44" s="14"/>
      <c r="O44" s="14"/>
      <c r="S44" s="11" t="s">
        <v>51</v>
      </c>
    </row>
    <row r="45" spans="1:34" s="11" customFormat="1" ht="15.75" x14ac:dyDescent="0.25">
      <c r="A45" s="36" t="s">
        <v>32</v>
      </c>
      <c r="B45" s="30" t="s">
        <v>21</v>
      </c>
      <c r="C45" s="33">
        <f t="shared" si="0"/>
        <v>1</v>
      </c>
      <c r="D45" s="18" t="str">
        <f>TEXT(SUM(D18:AG18),"[h]")</f>
        <v>0</v>
      </c>
      <c r="E45" s="18" t="str">
        <f>TEXT(SUM(D18:AG18),"mm ss")</f>
        <v>00 00</v>
      </c>
      <c r="F45" s="14"/>
      <c r="G45" s="19"/>
      <c r="H45" s="14"/>
      <c r="I45" s="14"/>
      <c r="J45" s="64"/>
      <c r="K45" s="14"/>
      <c r="L45" s="14"/>
      <c r="M45" s="14"/>
      <c r="O45" s="14"/>
    </row>
    <row r="46" spans="1:34" s="11" customFormat="1" ht="15.75" x14ac:dyDescent="0.25">
      <c r="A46" s="36" t="s">
        <v>33</v>
      </c>
      <c r="B46" s="30" t="s">
        <v>27</v>
      </c>
      <c r="C46" s="33">
        <f t="shared" si="0"/>
        <v>0.9997912933094385</v>
      </c>
      <c r="D46" s="18" t="str">
        <f>TEXT(SUM(D19:AG19),"[h]")</f>
        <v>0</v>
      </c>
      <c r="E46" s="18" t="str">
        <f>TEXT(SUM(D19:AG19),"mm ss")</f>
        <v>09 19</v>
      </c>
      <c r="F46" s="14"/>
      <c r="G46" s="19"/>
      <c r="H46" s="14"/>
      <c r="I46" s="14"/>
      <c r="J46" s="14"/>
      <c r="K46" s="14"/>
      <c r="L46" s="14"/>
      <c r="M46" s="14"/>
      <c r="N46" s="14"/>
      <c r="O46" s="14"/>
    </row>
    <row r="47" spans="1:34" s="11" customFormat="1" ht="15.75" x14ac:dyDescent="0.25">
      <c r="A47" s="36" t="s">
        <v>34</v>
      </c>
      <c r="B47" s="30" t="s">
        <v>26</v>
      </c>
      <c r="C47" s="33">
        <f t="shared" si="0"/>
        <v>1</v>
      </c>
      <c r="D47" s="18" t="str">
        <f>TEXT(SUM(D20:AG20),"[h]")</f>
        <v>0</v>
      </c>
      <c r="E47" s="18" t="str">
        <f>TEXT(SUM(D20:AG20),"mm ss")</f>
        <v>00 00</v>
      </c>
      <c r="F47" s="14"/>
      <c r="G47" s="19"/>
      <c r="H47" s="14"/>
      <c r="I47" s="14"/>
      <c r="J47" s="14"/>
      <c r="K47" s="14"/>
      <c r="L47" s="14"/>
      <c r="M47" s="14"/>
      <c r="N47" s="14"/>
      <c r="O47" s="56"/>
    </row>
    <row r="48" spans="1:34" s="11" customFormat="1" ht="15.75" x14ac:dyDescent="0.25">
      <c r="A48" s="36" t="s">
        <v>35</v>
      </c>
      <c r="B48" s="30" t="s">
        <v>24</v>
      </c>
      <c r="C48" s="33">
        <f t="shared" si="0"/>
        <v>1</v>
      </c>
      <c r="D48" s="18" t="str">
        <f>TEXT(SUM(D21:AG21),"[h]")</f>
        <v>0</v>
      </c>
      <c r="E48" s="18" t="str">
        <f>TEXT(SUM(D21:AG21),"mm ss")</f>
        <v>00 00</v>
      </c>
      <c r="F48" s="14"/>
      <c r="G48" s="19"/>
      <c r="H48" s="14"/>
      <c r="I48" s="14"/>
      <c r="J48" s="14"/>
      <c r="K48" s="14"/>
      <c r="L48" s="14"/>
      <c r="M48" s="14"/>
      <c r="N48" s="14"/>
      <c r="O48" s="56"/>
    </row>
    <row r="49" spans="1:32" s="11" customFormat="1" ht="15.75" x14ac:dyDescent="0.25">
      <c r="A49" s="36" t="s">
        <v>36</v>
      </c>
      <c r="B49" s="30" t="s">
        <v>23</v>
      </c>
      <c r="C49" s="31">
        <f>1-(((D49*3600)+(LEFT(E49,2)*60)+RIGHT(E49,2))/((60*60*24)*$C$8))</f>
        <v>0.99833071983273591</v>
      </c>
      <c r="D49" s="18" t="str">
        <f>TEXT(SUM(D22:AG22),"[h]")</f>
        <v>1</v>
      </c>
      <c r="E49" s="18" t="str">
        <f>TEXT(SUM(D22:AG22),"mm ss")</f>
        <v>14 31</v>
      </c>
      <c r="F49" s="14"/>
      <c r="G49" s="19"/>
      <c r="H49" s="14"/>
      <c r="I49" s="14"/>
      <c r="J49" s="14"/>
      <c r="K49" s="14"/>
      <c r="L49" s="14"/>
      <c r="M49" s="14"/>
      <c r="N49" s="14"/>
      <c r="O49" s="56"/>
    </row>
    <row r="50" spans="1:32" s="11" customFormat="1" ht="15.75" x14ac:dyDescent="0.25">
      <c r="A50" s="36" t="s">
        <v>38</v>
      </c>
      <c r="B50" s="30" t="s">
        <v>43</v>
      </c>
      <c r="C50" s="31">
        <f t="shared" ref="C50:C52" si="1">1-(((D50*3600)+(LEFT(E50,2)*60)+RIGHT(E50,2))/((60*60*24)*$C$8))</f>
        <v>1</v>
      </c>
      <c r="D50" s="18" t="str">
        <f>TEXT(SUM(D23:AG23),"[h]")</f>
        <v>0</v>
      </c>
      <c r="E50" s="18" t="str">
        <f>TEXT(SUM(D23:AG23),"mm ss")</f>
        <v>00 00</v>
      </c>
      <c r="F50" s="14"/>
      <c r="G50" s="19"/>
      <c r="H50" s="14"/>
      <c r="I50" s="14"/>
      <c r="J50" s="14"/>
      <c r="K50" s="14"/>
      <c r="L50" s="14"/>
      <c r="M50" s="14"/>
      <c r="N50" s="14"/>
      <c r="O50" s="56"/>
    </row>
    <row r="51" spans="1:32" s="15" customFormat="1" ht="15.75" x14ac:dyDescent="0.25">
      <c r="A51" s="36" t="s">
        <v>41</v>
      </c>
      <c r="B51" s="30" t="s">
        <v>44</v>
      </c>
      <c r="C51" s="31">
        <f t="shared" si="1"/>
        <v>1</v>
      </c>
      <c r="D51" s="18" t="str">
        <f>TEXT(SUM(D24:AG24),"[h]")</f>
        <v>0</v>
      </c>
      <c r="E51" s="18" t="str">
        <f>TEXT(SUM(D24:AG24),"mm ss")</f>
        <v>00 00</v>
      </c>
      <c r="F51" s="14"/>
      <c r="G51" s="19"/>
      <c r="H51" s="14"/>
      <c r="I51" s="14"/>
      <c r="J51" s="14"/>
      <c r="K51" s="14"/>
      <c r="L51" s="14"/>
      <c r="M51" s="14"/>
      <c r="N51" s="14"/>
      <c r="O51" s="57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 spans="1:32" ht="15.75" x14ac:dyDescent="0.25">
      <c r="A52" s="55" t="s">
        <v>42</v>
      </c>
      <c r="B52" s="30" t="s">
        <v>46</v>
      </c>
      <c r="C52" s="31">
        <f t="shared" si="1"/>
        <v>1</v>
      </c>
      <c r="D52" s="18" t="str">
        <f>TEXT(SUM(D25:AG25),"[h]")</f>
        <v>0</v>
      </c>
      <c r="E52" s="18" t="str">
        <f>TEXT(SUM(D25:AG25),"mm ss")</f>
        <v>00 00</v>
      </c>
      <c r="F52" s="14"/>
      <c r="G52" s="19"/>
      <c r="H52" s="14"/>
      <c r="I52" s="14"/>
      <c r="J52" s="14"/>
      <c r="K52" s="14"/>
      <c r="L52" s="56"/>
      <c r="M52" s="56"/>
      <c r="N52" s="56"/>
      <c r="O52" s="58"/>
    </row>
    <row r="53" spans="1:32" ht="15.75" x14ac:dyDescent="0.25">
      <c r="A53" s="45"/>
      <c r="B53" s="46"/>
      <c r="C53" s="47"/>
      <c r="D53" s="48"/>
      <c r="E53" s="48"/>
      <c r="F53" s="14"/>
      <c r="G53" s="19"/>
      <c r="H53" s="14"/>
      <c r="I53" s="14"/>
      <c r="J53" s="14"/>
      <c r="K53" s="14"/>
      <c r="L53" s="56"/>
      <c r="M53" s="56"/>
      <c r="N53" s="56"/>
      <c r="O53" s="58"/>
    </row>
    <row r="54" spans="1:32" x14ac:dyDescent="0.2">
      <c r="A54" s="12"/>
      <c r="B54" s="11"/>
      <c r="C54" s="24"/>
      <c r="D54" s="23"/>
      <c r="E54" s="14"/>
      <c r="F54" s="14"/>
      <c r="G54" s="14"/>
      <c r="H54" s="14"/>
      <c r="I54" s="14"/>
      <c r="J54" s="14"/>
      <c r="K54" s="14"/>
      <c r="L54" s="56"/>
      <c r="M54" s="56"/>
      <c r="N54" s="56"/>
      <c r="O54" s="58"/>
    </row>
    <row r="55" spans="1:32" x14ac:dyDescent="0.2">
      <c r="A55" s="12"/>
      <c r="B55" s="11"/>
      <c r="C55" s="11"/>
      <c r="D55" s="13"/>
      <c r="E55" s="14"/>
      <c r="F55" s="14"/>
      <c r="G55" s="14"/>
      <c r="H55" s="14"/>
      <c r="I55" s="14"/>
      <c r="J55" s="14"/>
      <c r="K55" s="14"/>
      <c r="L55" s="56"/>
      <c r="M55" s="56"/>
      <c r="N55" s="56"/>
      <c r="O55" s="58"/>
    </row>
    <row r="56" spans="1:32" x14ac:dyDescent="0.2">
      <c r="A56" s="13"/>
      <c r="B56" s="22" t="s">
        <v>13</v>
      </c>
      <c r="C56" s="17"/>
      <c r="D56" s="16"/>
      <c r="E56" s="16"/>
      <c r="F56" s="16"/>
      <c r="G56" s="16"/>
      <c r="H56" s="16"/>
      <c r="I56" s="16"/>
      <c r="J56" s="16"/>
      <c r="K56" s="16"/>
      <c r="L56" s="57"/>
      <c r="M56" s="57"/>
      <c r="N56" s="57"/>
      <c r="O56" s="58"/>
    </row>
    <row r="57" spans="1:32" x14ac:dyDescent="0.2">
      <c r="A57"/>
      <c r="B57" s="11" t="s">
        <v>16</v>
      </c>
      <c r="C57" s="25">
        <f>(SUM(C40:C52))/(100%*13)</f>
        <v>0.99976354999540484</v>
      </c>
      <c r="G57" s="34"/>
      <c r="L57" s="58"/>
      <c r="M57" s="58"/>
      <c r="N57" s="58"/>
      <c r="O57" s="58"/>
    </row>
    <row r="58" spans="1:32" x14ac:dyDescent="0.2">
      <c r="C58" s="66"/>
      <c r="L58" s="58"/>
      <c r="M58" s="58"/>
      <c r="N58" s="58"/>
    </row>
    <row r="59" spans="1:32" x14ac:dyDescent="0.2">
      <c r="B59" s="11"/>
      <c r="C59" s="66"/>
      <c r="L59" s="58"/>
      <c r="M59" s="58"/>
      <c r="N59" s="5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spans="1:32" x14ac:dyDescent="0.2">
      <c r="B60" s="85"/>
      <c r="C60" s="66"/>
      <c r="L60" s="58"/>
      <c r="M60" s="58"/>
      <c r="N60" s="58"/>
    </row>
    <row r="61" spans="1:32" x14ac:dyDescent="0.2">
      <c r="B61" s="11"/>
      <c r="C61" s="66"/>
      <c r="L61" s="58"/>
      <c r="M61" s="58"/>
      <c r="N61" s="58"/>
    </row>
    <row r="62" spans="1:32" x14ac:dyDescent="0.2">
      <c r="B62" s="11"/>
      <c r="C62" s="66"/>
      <c r="L62" s="58"/>
      <c r="M62" s="58"/>
      <c r="N62" s="58"/>
    </row>
    <row r="63" spans="1:32" x14ac:dyDescent="0.2">
      <c r="B63" s="84"/>
      <c r="C63" s="66"/>
      <c r="D63" s="68"/>
      <c r="E63" s="67" t="s">
        <v>49</v>
      </c>
    </row>
    <row r="64" spans="1:32" x14ac:dyDescent="0.2">
      <c r="A64"/>
      <c r="B64" s="84"/>
      <c r="C64" s="66"/>
      <c r="D64" s="68"/>
    </row>
    <row r="65" spans="1:32" x14ac:dyDescent="0.2">
      <c r="B65" s="84"/>
      <c r="C65" s="66"/>
      <c r="D65" s="68"/>
    </row>
    <row r="66" spans="1:32" x14ac:dyDescent="0.2">
      <c r="B66" s="84"/>
      <c r="C66" s="66"/>
      <c r="D66" s="68"/>
    </row>
    <row r="67" spans="1:32" x14ac:dyDescent="0.2">
      <c r="B67" s="84"/>
      <c r="C67" s="66"/>
      <c r="D67" s="68"/>
      <c r="O67" s="27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</row>
    <row r="68" spans="1:32" x14ac:dyDescent="0.2">
      <c r="B68" s="66"/>
      <c r="C68" s="66"/>
      <c r="O68" s="27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</row>
    <row r="69" spans="1:32" x14ac:dyDescent="0.2">
      <c r="B69" s="84"/>
      <c r="C69" s="66"/>
      <c r="O69" s="27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</row>
    <row r="70" spans="1:32" x14ac:dyDescent="0.2">
      <c r="B70" s="84"/>
      <c r="C70" s="66"/>
      <c r="O70" s="27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</row>
    <row r="71" spans="1:32" x14ac:dyDescent="0.2">
      <c r="B71" s="84"/>
      <c r="C71" s="66"/>
    </row>
    <row r="72" spans="1:32" x14ac:dyDescent="0.2">
      <c r="A72"/>
      <c r="B72" s="84"/>
      <c r="C72" s="66"/>
      <c r="E72" s="26"/>
      <c r="F72" s="27"/>
      <c r="G72" s="27"/>
      <c r="H72" s="27"/>
      <c r="I72" s="27"/>
      <c r="J72" s="27"/>
      <c r="K72" s="27"/>
      <c r="L72" s="27"/>
      <c r="M72" s="27"/>
      <c r="N72" s="27"/>
    </row>
    <row r="73" spans="1:32" x14ac:dyDescent="0.2">
      <c r="A73"/>
      <c r="B73" s="84"/>
      <c r="C73" s="66"/>
      <c r="E73" s="26"/>
      <c r="F73" s="27"/>
      <c r="G73" s="27"/>
      <c r="H73" s="27"/>
      <c r="I73" s="27"/>
      <c r="J73" s="27"/>
      <c r="K73" s="27"/>
      <c r="L73" s="27"/>
      <c r="M73" s="27"/>
      <c r="N73" s="27"/>
    </row>
    <row r="74" spans="1:32" x14ac:dyDescent="0.2">
      <c r="A74"/>
      <c r="B74" s="84"/>
      <c r="C74" s="66"/>
      <c r="E74" s="26"/>
      <c r="F74" s="27"/>
      <c r="G74" s="27"/>
      <c r="H74" s="27"/>
      <c r="I74" s="27"/>
      <c r="J74" s="27"/>
      <c r="K74" s="27"/>
      <c r="L74" s="27"/>
      <c r="M74" s="27"/>
      <c r="N74" s="27"/>
    </row>
    <row r="75" spans="1:32" x14ac:dyDescent="0.2">
      <c r="A75"/>
      <c r="B75" s="84"/>
      <c r="C75" s="66"/>
      <c r="D75"/>
      <c r="E75" s="26"/>
      <c r="F75" s="27"/>
      <c r="G75" s="27"/>
      <c r="H75" s="27"/>
      <c r="I75" s="27"/>
      <c r="J75" s="27"/>
      <c r="K75" s="27"/>
      <c r="L75" s="27"/>
      <c r="M75" s="27"/>
      <c r="N75" s="27"/>
    </row>
    <row r="76" spans="1:32" x14ac:dyDescent="0.2">
      <c r="B76" s="71"/>
    </row>
  </sheetData>
  <mergeCells count="18">
    <mergeCell ref="A10:A11"/>
    <mergeCell ref="B10:B11"/>
    <mergeCell ref="C10:C11"/>
    <mergeCell ref="A38:A39"/>
    <mergeCell ref="B38:B39"/>
    <mergeCell ref="C38:C39"/>
    <mergeCell ref="A27:A33"/>
    <mergeCell ref="B27:B33"/>
    <mergeCell ref="D30:L30"/>
    <mergeCell ref="D31:M31"/>
    <mergeCell ref="D33:N33"/>
    <mergeCell ref="F41:N41"/>
    <mergeCell ref="D26:AG26"/>
    <mergeCell ref="D38:E38"/>
    <mergeCell ref="D27:AG27"/>
    <mergeCell ref="D28:AG28"/>
    <mergeCell ref="D29:AG29"/>
    <mergeCell ref="D32:N32"/>
  </mergeCells>
  <phoneticPr fontId="9" type="noConversion"/>
  <conditionalFormatting sqref="D15:F15 G21 AE18:AF18 AE21:AF21 P21:Z21 AB21:AC21 AC17:AF17 D13:D21 O17:Z17 D18:K18 I21:M21 D17:F17 H17:K17 M17:M18">
    <cfRule type="cellIs" dxfId="114" priority="268" stopIfTrue="1" operator="greaterThan">
      <formula>0</formula>
    </cfRule>
  </conditionalFormatting>
  <conditionalFormatting sqref="I15:M15">
    <cfRule type="cellIs" dxfId="113" priority="267" stopIfTrue="1" operator="greaterThan">
      <formula>0</formula>
    </cfRule>
  </conditionalFormatting>
  <conditionalFormatting sqref="W18:Z18 O15:Z15 O18:U18 AB15:AD15 AB18:AC18">
    <cfRule type="cellIs" dxfId="112" priority="266" stopIfTrue="1" operator="greaterThan">
      <formula>0</formula>
    </cfRule>
  </conditionalFormatting>
  <conditionalFormatting sqref="G15">
    <cfRule type="cellIs" dxfId="111" priority="260" stopIfTrue="1" operator="greaterThan">
      <formula>0</formula>
    </cfRule>
  </conditionalFormatting>
  <conditionalFormatting sqref="H15">
    <cfRule type="cellIs" dxfId="110" priority="253" stopIfTrue="1" operator="greaterThan">
      <formula>0</formula>
    </cfRule>
  </conditionalFormatting>
  <conditionalFormatting sqref="AD18">
    <cfRule type="cellIs" dxfId="109" priority="252" stopIfTrue="1" operator="greaterThan">
      <formula>0</formula>
    </cfRule>
  </conditionalFormatting>
  <conditionalFormatting sqref="V18">
    <cfRule type="cellIs" dxfId="108" priority="247" stopIfTrue="1" operator="greaterThan">
      <formula>0</formula>
    </cfRule>
  </conditionalFormatting>
  <conditionalFormatting sqref="AE15:AF15">
    <cfRule type="cellIs" dxfId="107" priority="244" stopIfTrue="1" operator="greaterThan">
      <formula>0</formula>
    </cfRule>
  </conditionalFormatting>
  <conditionalFormatting sqref="D14:F14">
    <cfRule type="cellIs" dxfId="106" priority="238" stopIfTrue="1" operator="greaterThan">
      <formula>0</formula>
    </cfRule>
  </conditionalFormatting>
  <conditionalFormatting sqref="I14:M14">
    <cfRule type="cellIs" dxfId="105" priority="237" stopIfTrue="1" operator="greaterThan">
      <formula>0</formula>
    </cfRule>
  </conditionalFormatting>
  <conditionalFormatting sqref="O14:Z14 AB14:AD14">
    <cfRule type="cellIs" dxfId="104" priority="236" stopIfTrue="1" operator="greaterThan">
      <formula>0</formula>
    </cfRule>
  </conditionalFormatting>
  <conditionalFormatting sqref="G14">
    <cfRule type="cellIs" dxfId="103" priority="235" stopIfTrue="1" operator="greaterThan">
      <formula>0</formula>
    </cfRule>
  </conditionalFormatting>
  <conditionalFormatting sqref="H14">
    <cfRule type="cellIs" dxfId="102" priority="233" stopIfTrue="1" operator="greaterThan">
      <formula>0</formula>
    </cfRule>
  </conditionalFormatting>
  <conditionalFormatting sqref="AE14:AF14">
    <cfRule type="cellIs" dxfId="101" priority="232" stopIfTrue="1" operator="greaterThan">
      <formula>0</formula>
    </cfRule>
  </conditionalFormatting>
  <conditionalFormatting sqref="D13:F13">
    <cfRule type="cellIs" dxfId="100" priority="222" stopIfTrue="1" operator="greaterThan">
      <formula>0</formula>
    </cfRule>
  </conditionalFormatting>
  <conditionalFormatting sqref="D16:F16">
    <cfRule type="cellIs" dxfId="99" priority="214" stopIfTrue="1" operator="greaterThan">
      <formula>0</formula>
    </cfRule>
  </conditionalFormatting>
  <conditionalFormatting sqref="I13:M13">
    <cfRule type="cellIs" dxfId="98" priority="221" stopIfTrue="1" operator="greaterThan">
      <formula>0</formula>
    </cfRule>
  </conditionalFormatting>
  <conditionalFormatting sqref="O13:Z13 AB13:AD13">
    <cfRule type="cellIs" dxfId="97" priority="220" stopIfTrue="1" operator="greaterThan">
      <formula>0</formula>
    </cfRule>
  </conditionalFormatting>
  <conditionalFormatting sqref="G13">
    <cfRule type="cellIs" dxfId="96" priority="219" stopIfTrue="1" operator="greaterThan">
      <formula>0</formula>
    </cfRule>
  </conditionalFormatting>
  <conditionalFormatting sqref="H13">
    <cfRule type="cellIs" dxfId="95" priority="217" stopIfTrue="1" operator="greaterThan">
      <formula>0</formula>
    </cfRule>
  </conditionalFormatting>
  <conditionalFormatting sqref="AE13:AF13">
    <cfRule type="cellIs" dxfId="94" priority="216" stopIfTrue="1" operator="greaterThan">
      <formula>0</formula>
    </cfRule>
  </conditionalFormatting>
  <conditionalFormatting sqref="I16:K16 M16">
    <cfRule type="cellIs" dxfId="93" priority="213" stopIfTrue="1" operator="greaterThan">
      <formula>0</formula>
    </cfRule>
  </conditionalFormatting>
  <conditionalFormatting sqref="O16:Q16">
    <cfRule type="cellIs" dxfId="92" priority="212" stopIfTrue="1" operator="greaterThan">
      <formula>0</formula>
    </cfRule>
  </conditionalFormatting>
  <conditionalFormatting sqref="G16">
    <cfRule type="cellIs" dxfId="91" priority="211" stopIfTrue="1" operator="greaterThan">
      <formula>0</formula>
    </cfRule>
  </conditionalFormatting>
  <conditionalFormatting sqref="H16">
    <cfRule type="cellIs" dxfId="90" priority="209" stopIfTrue="1" operator="greaterThan">
      <formula>0</formula>
    </cfRule>
  </conditionalFormatting>
  <conditionalFormatting sqref="D19:F19">
    <cfRule type="cellIs" dxfId="89" priority="194" stopIfTrue="1" operator="greaterThan">
      <formula>0</formula>
    </cfRule>
  </conditionalFormatting>
  <conditionalFormatting sqref="I19:K19 M19">
    <cfRule type="cellIs" dxfId="88" priority="193" stopIfTrue="1" operator="greaterThan">
      <formula>0</formula>
    </cfRule>
  </conditionalFormatting>
  <conditionalFormatting sqref="O19:U19 W19:Z19 AB19:AC19">
    <cfRule type="cellIs" dxfId="87" priority="192" stopIfTrue="1" operator="greaterThan">
      <formula>0</formula>
    </cfRule>
  </conditionalFormatting>
  <conditionalFormatting sqref="G19">
    <cfRule type="cellIs" dxfId="86" priority="191" stopIfTrue="1" operator="greaterThan">
      <formula>0</formula>
    </cfRule>
  </conditionalFormatting>
  <conditionalFormatting sqref="H19">
    <cfRule type="cellIs" dxfId="85" priority="189" stopIfTrue="1" operator="greaterThan">
      <formula>0</formula>
    </cfRule>
  </conditionalFormatting>
  <conditionalFormatting sqref="AD19">
    <cfRule type="cellIs" dxfId="84" priority="188" stopIfTrue="1" operator="greaterThan">
      <formula>0</formula>
    </cfRule>
  </conditionalFormatting>
  <conditionalFormatting sqref="D20">
    <cfRule type="cellIs" dxfId="83" priority="180" stopIfTrue="1" operator="greaterThan">
      <formula>0</formula>
    </cfRule>
  </conditionalFormatting>
  <conditionalFormatting sqref="V19">
    <cfRule type="cellIs" dxfId="82" priority="186" stopIfTrue="1" operator="greaterThan">
      <formula>0</formula>
    </cfRule>
  </conditionalFormatting>
  <conditionalFormatting sqref="AE19:AF19">
    <cfRule type="cellIs" dxfId="81" priority="185" stopIfTrue="1" operator="greaterThan">
      <formula>0</formula>
    </cfRule>
  </conditionalFormatting>
  <conditionalFormatting sqref="G20 AE20:AF20 K20 O20:S20 M20 U20:V20">
    <cfRule type="cellIs" dxfId="80" priority="183" stopIfTrue="1" operator="greaterThan">
      <formula>0</formula>
    </cfRule>
  </conditionalFormatting>
  <conditionalFormatting sqref="W20 Y20:Z20">
    <cfRule type="cellIs" dxfId="79" priority="182" stopIfTrue="1" operator="greaterThan">
      <formula>0</formula>
    </cfRule>
  </conditionalFormatting>
  <conditionalFormatting sqref="AC20">
    <cfRule type="cellIs" dxfId="78" priority="181" stopIfTrue="1" operator="greaterThan">
      <formula>0</formula>
    </cfRule>
  </conditionalFormatting>
  <conditionalFormatting sqref="AD20:AD21">
    <cfRule type="cellIs" dxfId="77" priority="178" stopIfTrue="1" operator="greaterThan">
      <formula>0</formula>
    </cfRule>
  </conditionalFormatting>
  <conditionalFormatting sqref="W16">
    <cfRule type="cellIs" dxfId="76" priority="167" stopIfTrue="1" operator="greaterThan">
      <formula>0</formula>
    </cfRule>
  </conditionalFormatting>
  <conditionalFormatting sqref="V16">
    <cfRule type="cellIs" dxfId="75" priority="168" stopIfTrue="1" operator="greaterThan">
      <formula>0</formula>
    </cfRule>
  </conditionalFormatting>
  <conditionalFormatting sqref="R16">
    <cfRule type="cellIs" dxfId="74" priority="172" stopIfTrue="1" operator="greaterThan">
      <formula>0</formula>
    </cfRule>
  </conditionalFormatting>
  <conditionalFormatting sqref="S16">
    <cfRule type="cellIs" dxfId="73" priority="171" stopIfTrue="1" operator="greaterThan">
      <formula>0</formula>
    </cfRule>
  </conditionalFormatting>
  <conditionalFormatting sqref="T16">
    <cfRule type="cellIs" dxfId="72" priority="170" stopIfTrue="1" operator="greaterThan">
      <formula>0</formula>
    </cfRule>
  </conditionalFormatting>
  <conditionalFormatting sqref="U16">
    <cfRule type="cellIs" dxfId="71" priority="169" stopIfTrue="1" operator="greaterThan">
      <formula>0</formula>
    </cfRule>
  </conditionalFormatting>
  <conditionalFormatting sqref="X16">
    <cfRule type="cellIs" dxfId="70" priority="166" stopIfTrue="1" operator="greaterThan">
      <formula>0</formula>
    </cfRule>
  </conditionalFormatting>
  <conditionalFormatting sqref="Z16">
    <cfRule type="cellIs" dxfId="69" priority="164" stopIfTrue="1" operator="greaterThan">
      <formula>0</formula>
    </cfRule>
  </conditionalFormatting>
  <conditionalFormatting sqref="AB16">
    <cfRule type="cellIs" dxfId="68" priority="162" stopIfTrue="1" operator="greaterThan">
      <formula>0</formula>
    </cfRule>
  </conditionalFormatting>
  <conditionalFormatting sqref="AC16">
    <cfRule type="cellIs" dxfId="67" priority="161" stopIfTrue="1" operator="greaterThan">
      <formula>0</formula>
    </cfRule>
  </conditionalFormatting>
  <conditionalFormatting sqref="AD16">
    <cfRule type="cellIs" dxfId="66" priority="160" stopIfTrue="1" operator="greaterThan">
      <formula>0</formula>
    </cfRule>
  </conditionalFormatting>
  <conditionalFormatting sqref="AE16:AF16">
    <cfRule type="cellIs" dxfId="65" priority="159" stopIfTrue="1" operator="greaterThan">
      <formula>0</formula>
    </cfRule>
  </conditionalFormatting>
  <conditionalFormatting sqref="M22 AB22:AF24 O22:Z22 D24:Z24 D22:G23 I23:Q23 I22:J22 S23:Z23">
    <cfRule type="cellIs" dxfId="64" priority="117" stopIfTrue="1" operator="greaterThan">
      <formula>0</formula>
    </cfRule>
  </conditionalFormatting>
  <conditionalFormatting sqref="AG13">
    <cfRule type="cellIs" dxfId="63" priority="107" stopIfTrue="1" operator="greaterThan">
      <formula>0</formula>
    </cfRule>
  </conditionalFormatting>
  <conditionalFormatting sqref="AG13">
    <cfRule type="cellIs" dxfId="62" priority="98" stopIfTrue="1" operator="greaterThan">
      <formula>0</formula>
    </cfRule>
  </conditionalFormatting>
  <conditionalFormatting sqref="AG21 AG17:AG18">
    <cfRule type="cellIs" dxfId="61" priority="111" stopIfTrue="1" operator="greaterThan">
      <formula>0</formula>
    </cfRule>
  </conditionalFormatting>
  <conditionalFormatting sqref="AG15">
    <cfRule type="cellIs" dxfId="60" priority="110" stopIfTrue="1" operator="greaterThan">
      <formula>0</formula>
    </cfRule>
  </conditionalFormatting>
  <conditionalFormatting sqref="AG14">
    <cfRule type="cellIs" dxfId="59" priority="109" stopIfTrue="1" operator="greaterThan">
      <formula>0</formula>
    </cfRule>
  </conditionalFormatting>
  <conditionalFormatting sqref="AG19">
    <cfRule type="cellIs" dxfId="58" priority="106" stopIfTrue="1" operator="greaterThan">
      <formula>0</formula>
    </cfRule>
  </conditionalFormatting>
  <conditionalFormatting sqref="AG16">
    <cfRule type="cellIs" dxfId="57" priority="104" stopIfTrue="1" operator="greaterThan">
      <formula>0</formula>
    </cfRule>
  </conditionalFormatting>
  <conditionalFormatting sqref="AG21 AG17:AG18">
    <cfRule type="cellIs" dxfId="56" priority="102" stopIfTrue="1" operator="greaterThan">
      <formula>0</formula>
    </cfRule>
  </conditionalFormatting>
  <conditionalFormatting sqref="AG15">
    <cfRule type="cellIs" dxfId="55" priority="101" stopIfTrue="1" operator="greaterThan">
      <formula>0</formula>
    </cfRule>
  </conditionalFormatting>
  <conditionalFormatting sqref="AG14">
    <cfRule type="cellIs" dxfId="54" priority="100" stopIfTrue="1" operator="greaterThan">
      <formula>0</formula>
    </cfRule>
  </conditionalFormatting>
  <conditionalFormatting sqref="AG19">
    <cfRule type="cellIs" dxfId="53" priority="97" stopIfTrue="1" operator="greaterThan">
      <formula>0</formula>
    </cfRule>
  </conditionalFormatting>
  <conditionalFormatting sqref="AG16">
    <cfRule type="cellIs" dxfId="52" priority="95" stopIfTrue="1" operator="greaterThan">
      <formula>0</formula>
    </cfRule>
  </conditionalFormatting>
  <conditionalFormatting sqref="AF13">
    <cfRule type="cellIs" dxfId="51" priority="89" stopIfTrue="1" operator="greaterThan">
      <formula>0</formula>
    </cfRule>
  </conditionalFormatting>
  <conditionalFormatting sqref="AF19">
    <cfRule type="cellIs" dxfId="50" priority="88" stopIfTrue="1" operator="greaterThan">
      <formula>0</formula>
    </cfRule>
  </conditionalFormatting>
  <conditionalFormatting sqref="AF23:AF24">
    <cfRule type="cellIs" dxfId="49" priority="85" stopIfTrue="1" operator="greaterThan">
      <formula>0</formula>
    </cfRule>
  </conditionalFormatting>
  <conditionalFormatting sqref="AF21 AF17:AF18">
    <cfRule type="cellIs" dxfId="48" priority="93" stopIfTrue="1" operator="greaterThan">
      <formula>0</formula>
    </cfRule>
  </conditionalFormatting>
  <conditionalFormatting sqref="AF15">
    <cfRule type="cellIs" dxfId="47" priority="92" stopIfTrue="1" operator="greaterThan">
      <formula>0</formula>
    </cfRule>
  </conditionalFormatting>
  <conditionalFormatting sqref="AF14">
    <cfRule type="cellIs" dxfId="46" priority="91" stopIfTrue="1" operator="greaterThan">
      <formula>0</formula>
    </cfRule>
  </conditionalFormatting>
  <conditionalFormatting sqref="AF20">
    <cfRule type="cellIs" dxfId="45" priority="87" stopIfTrue="1" operator="greaterThan">
      <formula>0</formula>
    </cfRule>
  </conditionalFormatting>
  <conditionalFormatting sqref="AF16">
    <cfRule type="cellIs" dxfId="44" priority="86" stopIfTrue="1" operator="greaterThan">
      <formula>0</formula>
    </cfRule>
  </conditionalFormatting>
  <conditionalFormatting sqref="D25 M25:U25 AB25:AF25 F25:I25 W25:Z25">
    <cfRule type="cellIs" dxfId="43" priority="84" stopIfTrue="1" operator="greaterThan">
      <formula>0</formula>
    </cfRule>
  </conditionalFormatting>
  <conditionalFormatting sqref="AG25">
    <cfRule type="cellIs" dxfId="42" priority="82" stopIfTrue="1" operator="greaterThan">
      <formula>0</formula>
    </cfRule>
  </conditionalFormatting>
  <conditionalFormatting sqref="AG25">
    <cfRule type="cellIs" dxfId="41" priority="81" stopIfTrue="1" operator="greaterThan">
      <formula>0</formula>
    </cfRule>
  </conditionalFormatting>
  <conditionalFormatting sqref="AF25">
    <cfRule type="cellIs" dxfId="40" priority="80" stopIfTrue="1" operator="greaterThan">
      <formula>0</formula>
    </cfRule>
  </conditionalFormatting>
  <conditionalFormatting sqref="O21">
    <cfRule type="cellIs" dxfId="39" priority="77" stopIfTrue="1" operator="greaterThan">
      <formula>0</formula>
    </cfRule>
  </conditionalFormatting>
  <conditionalFormatting sqref="AG22:AG24">
    <cfRule type="cellIs" dxfId="38" priority="76" stopIfTrue="1" operator="greaterThan">
      <formula>0</formula>
    </cfRule>
  </conditionalFormatting>
  <conditionalFormatting sqref="E21:F21">
    <cfRule type="cellIs" dxfId="37" priority="75" stopIfTrue="1" operator="greaterThan">
      <formula>0</formula>
    </cfRule>
  </conditionalFormatting>
  <conditionalFormatting sqref="F20">
    <cfRule type="cellIs" dxfId="36" priority="74" stopIfTrue="1" operator="greaterThan">
      <formula>0</formula>
    </cfRule>
  </conditionalFormatting>
  <conditionalFormatting sqref="I20">
    <cfRule type="cellIs" dxfId="35" priority="73" stopIfTrue="1" operator="greaterThan">
      <formula>0</formula>
    </cfRule>
  </conditionalFormatting>
  <conditionalFormatting sqref="X20">
    <cfRule type="cellIs" dxfId="34" priority="71" stopIfTrue="1" operator="greaterThan">
      <formula>0</formula>
    </cfRule>
  </conditionalFormatting>
  <conditionalFormatting sqref="K37">
    <cfRule type="cellIs" dxfId="33" priority="70" stopIfTrue="1" operator="greaterThan">
      <formula>0</formula>
    </cfRule>
  </conditionalFormatting>
  <conditionalFormatting sqref="L37">
    <cfRule type="cellIs" dxfId="32" priority="69" stopIfTrue="1" operator="greaterThan">
      <formula>0</formula>
    </cfRule>
  </conditionalFormatting>
  <conditionalFormatting sqref="K22">
    <cfRule type="cellIs" dxfId="31" priority="62" stopIfTrue="1" operator="greaterThan">
      <formula>0</formula>
    </cfRule>
  </conditionalFormatting>
  <conditionalFormatting sqref="K25">
    <cfRule type="cellIs" dxfId="30" priority="61" stopIfTrue="1" operator="greaterThan">
      <formula>0</formula>
    </cfRule>
  </conditionalFormatting>
  <conditionalFormatting sqref="L22">
    <cfRule type="cellIs" dxfId="29" priority="60" stopIfTrue="1" operator="greaterThan">
      <formula>0</formula>
    </cfRule>
  </conditionalFormatting>
  <conditionalFormatting sqref="AH13:AH25">
    <cfRule type="cellIs" dxfId="28" priority="58" stopIfTrue="1" operator="greaterThan">
      <formula>0</formula>
    </cfRule>
  </conditionalFormatting>
  <conditionalFormatting sqref="AH13:AH25">
    <cfRule type="cellIs" dxfId="27" priority="57" stopIfTrue="1" operator="greaterThan">
      <formula>0</formula>
    </cfRule>
  </conditionalFormatting>
  <conditionalFormatting sqref="AL18">
    <cfRule type="cellIs" dxfId="26" priority="56" stopIfTrue="1" operator="greaterThan">
      <formula>0</formula>
    </cfRule>
  </conditionalFormatting>
  <conditionalFormatting sqref="AL18">
    <cfRule type="cellIs" dxfId="25" priority="55" stopIfTrue="1" operator="greaterThan">
      <formula>0</formula>
    </cfRule>
  </conditionalFormatting>
  <conditionalFormatting sqref="AA13:AA15 AA24:AA25 AA17:AA22">
    <cfRule type="cellIs" dxfId="24" priority="54" stopIfTrue="1" operator="greaterThan">
      <formula>0</formula>
    </cfRule>
  </conditionalFormatting>
  <conditionalFormatting sqref="AA23">
    <cfRule type="cellIs" dxfId="23" priority="52" stopIfTrue="1" operator="greaterThan">
      <formula>0</formula>
    </cfRule>
  </conditionalFormatting>
  <conditionalFormatting sqref="N13:N22">
    <cfRule type="cellIs" dxfId="22" priority="36" stopIfTrue="1" operator="greaterThan">
      <formula>0</formula>
    </cfRule>
  </conditionalFormatting>
  <conditionalFormatting sqref="D17">
    <cfRule type="cellIs" dxfId="21" priority="35" stopIfTrue="1" operator="greaterThan">
      <formula>0</formula>
    </cfRule>
  </conditionalFormatting>
  <conditionalFormatting sqref="G17">
    <cfRule type="cellIs" dxfId="20" priority="27" stopIfTrue="1" operator="greaterThan">
      <formula>0</formula>
    </cfRule>
  </conditionalFormatting>
  <conditionalFormatting sqref="H20:H23">
    <cfRule type="cellIs" dxfId="19" priority="26" stopIfTrue="1" operator="greaterThan">
      <formula>0</formula>
    </cfRule>
  </conditionalFormatting>
  <conditionalFormatting sqref="J20">
    <cfRule type="cellIs" dxfId="18" priority="25" stopIfTrue="1" operator="greaterThan">
      <formula>0</formula>
    </cfRule>
  </conditionalFormatting>
  <conditionalFormatting sqref="J25">
    <cfRule type="cellIs" dxfId="17" priority="24" stopIfTrue="1" operator="greaterThan">
      <formula>0</formula>
    </cfRule>
  </conditionalFormatting>
  <conditionalFormatting sqref="L25">
    <cfRule type="cellIs" dxfId="16" priority="23" stopIfTrue="1" operator="greaterThan">
      <formula>0</formula>
    </cfRule>
  </conditionalFormatting>
  <conditionalFormatting sqref="L16:L20">
    <cfRule type="cellIs" dxfId="15" priority="21" stopIfTrue="1" operator="greaterThan">
      <formula>0</formula>
    </cfRule>
  </conditionalFormatting>
  <conditionalFormatting sqref="AG20">
    <cfRule type="cellIs" dxfId="14" priority="20" stopIfTrue="1" operator="greaterThan">
      <formula>0</formula>
    </cfRule>
  </conditionalFormatting>
  <conditionalFormatting sqref="AG20">
    <cfRule type="cellIs" dxfId="13" priority="19" stopIfTrue="1" operator="greaterThan">
      <formula>0</formula>
    </cfRule>
  </conditionalFormatting>
  <conditionalFormatting sqref="AB17">
    <cfRule type="cellIs" dxfId="12" priority="18" stopIfTrue="1" operator="greaterThan">
      <formula>0</formula>
    </cfRule>
  </conditionalFormatting>
  <conditionalFormatting sqref="AB17">
    <cfRule type="cellIs" dxfId="11" priority="17" stopIfTrue="1" operator="greaterThan">
      <formula>0</formula>
    </cfRule>
  </conditionalFormatting>
  <conditionalFormatting sqref="AB20">
    <cfRule type="cellIs" dxfId="10" priority="16" stopIfTrue="1" operator="greaterThan">
      <formula>0</formula>
    </cfRule>
  </conditionalFormatting>
  <conditionalFormatting sqref="AB20">
    <cfRule type="cellIs" dxfId="9" priority="15" stopIfTrue="1" operator="greaterThan">
      <formula>0</formula>
    </cfRule>
  </conditionalFormatting>
  <conditionalFormatting sqref="T20">
    <cfRule type="cellIs" dxfId="8" priority="14" stopIfTrue="1" operator="greaterThan">
      <formula>0</formula>
    </cfRule>
  </conditionalFormatting>
  <conditionalFormatting sqref="T20">
    <cfRule type="cellIs" dxfId="7" priority="13" stopIfTrue="1" operator="greaterThan">
      <formula>0</formula>
    </cfRule>
  </conditionalFormatting>
  <conditionalFormatting sqref="R23">
    <cfRule type="cellIs" dxfId="6" priority="10" stopIfTrue="1" operator="greaterThan">
      <formula>0</formula>
    </cfRule>
  </conditionalFormatting>
  <conditionalFormatting sqref="R23">
    <cfRule type="cellIs" dxfId="5" priority="9" stopIfTrue="1" operator="greaterThan">
      <formula>0</formula>
    </cfRule>
  </conditionalFormatting>
  <conditionalFormatting sqref="E20">
    <cfRule type="cellIs" dxfId="4" priority="6" stopIfTrue="1" operator="greaterThan">
      <formula>0</formula>
    </cfRule>
  </conditionalFormatting>
  <conditionalFormatting sqref="E25">
    <cfRule type="cellIs" dxfId="3" priority="5" stopIfTrue="1" operator="greaterThan">
      <formula>0</formula>
    </cfRule>
  </conditionalFormatting>
  <conditionalFormatting sqref="V25">
    <cfRule type="cellIs" dxfId="2" priority="4" stopIfTrue="1" operator="greaterThan">
      <formula>0</formula>
    </cfRule>
  </conditionalFormatting>
  <conditionalFormatting sqref="Y16">
    <cfRule type="cellIs" dxfId="1" priority="3" stopIfTrue="1" operator="greaterThan">
      <formula>0</formula>
    </cfRule>
  </conditionalFormatting>
  <conditionalFormatting sqref="AA16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2023-08-02T07:20:58Z</dcterms:modified>
</cp:coreProperties>
</file>