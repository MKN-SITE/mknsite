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autoCompressPictures="0" defaultThemeVersion="124226"/>
  <bookViews>
    <workbookView xWindow="0" yWindow="420" windowWidth="15480" windowHeight="11220"/>
  </bookViews>
  <sheets>
    <sheet name="Avaibility ALU" sheetId="11" r:id="rId1"/>
  </sheets>
  <calcPr calcId="144525"/>
</workbook>
</file>

<file path=xl/calcChain.xml><?xml version="1.0" encoding="utf-8"?>
<calcChain xmlns="http://schemas.openxmlformats.org/spreadsheetml/2006/main">
  <c r="E57" i="11" l="1"/>
  <c r="D57" i="11"/>
  <c r="E56" i="11"/>
  <c r="D56" i="11"/>
  <c r="D54" i="11"/>
  <c r="E54" i="11"/>
  <c r="E53" i="11"/>
  <c r="D53" i="11"/>
  <c r="E52" i="11"/>
  <c r="D52" i="11"/>
  <c r="E51" i="11"/>
  <c r="D51" i="11"/>
  <c r="E50" i="11"/>
  <c r="D50" i="11"/>
  <c r="E49" i="11"/>
  <c r="D49" i="11"/>
  <c r="E48" i="11"/>
  <c r="D48" i="11"/>
  <c r="E47" i="11"/>
  <c r="D47" i="11"/>
  <c r="E46" i="11"/>
  <c r="D45" i="11"/>
  <c r="E44" i="11"/>
  <c r="D44" i="11"/>
  <c r="E43" i="11"/>
  <c r="D43" i="11"/>
  <c r="E55" i="11"/>
  <c r="D55" i="11"/>
  <c r="C53" i="11" l="1"/>
  <c r="C54" i="11"/>
  <c r="C52" i="11"/>
  <c r="C43" i="11"/>
  <c r="C44" i="11"/>
  <c r="E45" i="11"/>
  <c r="D46" i="11"/>
  <c r="C47" i="11" l="1"/>
  <c r="C51" i="11"/>
  <c r="C49" i="11"/>
  <c r="C45" i="11"/>
  <c r="C50" i="11"/>
  <c r="C48" i="11"/>
  <c r="C46" i="11"/>
  <c r="C63" i="11" l="1"/>
</calcChain>
</file>

<file path=xl/sharedStrings.xml><?xml version="1.0" encoding="utf-8"?>
<sst xmlns="http://schemas.openxmlformats.org/spreadsheetml/2006/main" count="124" uniqueCount="59">
  <si>
    <t>Device Name</t>
  </si>
  <si>
    <t>Availability</t>
  </si>
  <si>
    <t>No</t>
  </si>
  <si>
    <t>Dailly Report</t>
  </si>
  <si>
    <t>Device Availability - KPC-ISD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</si>
  <si>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</si>
  <si>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</si>
  <si>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</si>
  <si>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</si>
  <si>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</si>
  <si>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</si>
  <si>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</si>
  <si>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</si>
  <si>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r>
      <t>Availability</t>
    </r>
    <r>
      <rPr>
        <b/>
        <sz val="10"/>
        <rFont val="Tahoma"/>
        <family val="2"/>
      </rPr>
      <t xml:space="preserve"> (Overall)</t>
    </r>
  </si>
  <si>
    <t>PT MULTI KONTROL NUSANTARA</t>
  </si>
  <si>
    <t>Sangatta Operation</t>
  </si>
  <si>
    <t>KPC BACKBONE ALCATEL-LUCENT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</si>
  <si>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</si>
  <si>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</si>
  <si>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</si>
  <si>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</si>
  <si>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</si>
  <si>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</si>
  <si>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</si>
  <si>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</si>
  <si>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</si>
  <si>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</t>
  </si>
  <si>
    <t>11</t>
  </si>
  <si>
    <t>12</t>
  </si>
  <si>
    <t>13</t>
  </si>
  <si>
    <t>31</t>
  </si>
  <si>
    <t>Remaks</t>
  </si>
  <si>
    <t>4 Des 23</t>
  </si>
  <si>
    <t>8 Des 23</t>
  </si>
  <si>
    <t>11 des 23</t>
  </si>
  <si>
    <t>16 Des 23</t>
  </si>
  <si>
    <t>23 Des 23</t>
  </si>
  <si>
    <t>26 Des 23</t>
  </si>
  <si>
    <t xml:space="preserve">      High BER / Obstacle</t>
  </si>
  <si>
    <t>M5 to SURYA ODU 1</t>
  </si>
  <si>
    <t>M5 to PTH</t>
  </si>
  <si>
    <t>M5 to HATARI</t>
  </si>
  <si>
    <t>SURYA to BINTANG</t>
  </si>
  <si>
    <t>BINTANG to AB</t>
  </si>
  <si>
    <t>AB to FARNORTH</t>
  </si>
  <si>
    <t>HATARI to AB</t>
  </si>
  <si>
    <t>PTH to LBTT</t>
  </si>
  <si>
    <t>P11 to PTH</t>
  </si>
  <si>
    <t>FARNORTH to LIGNITE</t>
  </si>
  <si>
    <t>FARNORTH to 15000</t>
  </si>
  <si>
    <t>FARNORTH to MIDDLE</t>
  </si>
  <si>
    <t>LBTT to 15000</t>
  </si>
  <si>
    <t>14</t>
  </si>
  <si>
    <t>PTH to GALAXI</t>
  </si>
  <si>
    <t>15</t>
  </si>
  <si>
    <t>MIDDLE to LIGNITE</t>
  </si>
  <si>
    <t>M5 to SURYA</t>
  </si>
  <si>
    <t>FARNORTH to 15K</t>
  </si>
  <si>
    <t xml:space="preserve">LBTT to 15K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</si>
</sst>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[$-409]mmmm\-yy;@"/>
    <numFmt numFmtId="165" formatCode="[$-409]d\-mmm\-yyyy;@"/>
  </numFmts>
  <fonts count="43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sz val="12"/>
      <color rgb="FF000000"/>
      <name val="Calibri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sz val="12"/>
      <name val="Tahoma"/>
      <family val="2"/>
    </font>
    <font>
      <sz val="9"/>
      <name val="Tahoma"/>
      <family val="2"/>
    </font>
    <font>
      <b/>
      <sz val="9"/>
      <name val="Tahoma"/>
      <family val="2"/>
    </font>
    <font>
      <sz val="8"/>
      <name val="Calibri"/>
      <family val="2"/>
    </font>
    <font>
      <b/>
      <sz val="10"/>
      <color rgb="FFFF0000"/>
      <name val="Tahoma"/>
      <family val="2"/>
    </font>
    <font>
      <sz val="14"/>
      <name val="Tahoma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 style="medium">
        <color indexed="64"/>
      </top>
      <bottom style="thin">
        <color auto="1"/>
      </bottom>
      <diagonal/>
    </border>
  </borders>
  <cellStyleXfs count="2136">
    <xf numFmtId="164" fontId="0" fillId="0" borderId="0"/>
    <xf numFmtId="9" fontId="7" fillId="0" borderId="0" applyFon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6" fillId="0" borderId="0" applyNumberFormat="0" applyFill="0" applyBorder="0" applyAlignment="0" applyProtection="0"/>
    <xf numFmtId="164" fontId="17" fillId="0" borderId="0" applyNumberFormat="0" applyFill="0" applyBorder="0" applyAlignment="0" applyProtection="0"/>
    <xf numFmtId="164" fontId="19" fillId="0" borderId="0" applyNumberFormat="0" applyFill="0" applyBorder="0" applyAlignment="0" applyProtection="0"/>
    <xf numFmtId="164" fontId="20" fillId="0" borderId="6" applyNumberFormat="0" applyFill="0" applyAlignment="0" applyProtection="0"/>
    <xf numFmtId="164" fontId="21" fillId="0" borderId="7" applyNumberFormat="0" applyFill="0" applyAlignment="0" applyProtection="0"/>
    <xf numFmtId="164" fontId="22" fillId="0" borderId="8" applyNumberFormat="0" applyFill="0" applyAlignment="0" applyProtection="0"/>
    <xf numFmtId="164" fontId="22" fillId="0" borderId="0" applyNumberFormat="0" applyFill="0" applyBorder="0" applyAlignment="0" applyProtection="0"/>
    <xf numFmtId="164" fontId="23" fillId="2" borderId="0" applyNumberFormat="0" applyBorder="0" applyAlignment="0" applyProtection="0"/>
    <xf numFmtId="164" fontId="24" fillId="3" borderId="0" applyNumberFormat="0" applyBorder="0" applyAlignment="0" applyProtection="0"/>
    <xf numFmtId="164" fontId="25" fillId="4" borderId="0" applyNumberFormat="0" applyBorder="0" applyAlignment="0" applyProtection="0"/>
    <xf numFmtId="164" fontId="26" fillId="5" borderId="9" applyNumberFormat="0" applyAlignment="0" applyProtection="0"/>
    <xf numFmtId="164" fontId="27" fillId="6" borderId="10" applyNumberFormat="0" applyAlignment="0" applyProtection="0"/>
    <xf numFmtId="164" fontId="28" fillId="6" borderId="9" applyNumberFormat="0" applyAlignment="0" applyProtection="0"/>
    <xf numFmtId="164" fontId="29" fillId="0" borderId="11" applyNumberFormat="0" applyFill="0" applyAlignment="0" applyProtection="0"/>
    <xf numFmtId="164" fontId="30" fillId="7" borderId="12" applyNumberFormat="0" applyAlignment="0" applyProtection="0"/>
    <xf numFmtId="164" fontId="31" fillId="0" borderId="0" applyNumberFormat="0" applyFill="0" applyBorder="0" applyAlignment="0" applyProtection="0"/>
    <xf numFmtId="164" fontId="32" fillId="0" borderId="0" applyNumberFormat="0" applyFill="0" applyBorder="0" applyAlignment="0" applyProtection="0"/>
    <xf numFmtId="164" fontId="33" fillId="0" borderId="14" applyNumberFormat="0" applyFill="0" applyAlignment="0" applyProtection="0"/>
    <xf numFmtId="164" fontId="34" fillId="9" borderId="0" applyNumberFormat="0" applyBorder="0" applyAlignment="0" applyProtection="0"/>
    <xf numFmtId="164" fontId="5" fillId="10" borderId="0" applyNumberFormat="0" applyBorder="0" applyAlignment="0" applyProtection="0"/>
    <xf numFmtId="164" fontId="5" fillId="11" borderId="0" applyNumberFormat="0" applyBorder="0" applyAlignment="0" applyProtection="0"/>
    <xf numFmtId="164" fontId="34" fillId="12" borderId="0" applyNumberFormat="0" applyBorder="0" applyAlignment="0" applyProtection="0"/>
    <xf numFmtId="164" fontId="34" fillId="13" borderId="0" applyNumberFormat="0" applyBorder="0" applyAlignment="0" applyProtection="0"/>
    <xf numFmtId="164" fontId="5" fillId="14" borderId="0" applyNumberFormat="0" applyBorder="0" applyAlignment="0" applyProtection="0"/>
    <xf numFmtId="164" fontId="5" fillId="15" borderId="0" applyNumberFormat="0" applyBorder="0" applyAlignment="0" applyProtection="0"/>
    <xf numFmtId="164" fontId="34" fillId="16" borderId="0" applyNumberFormat="0" applyBorder="0" applyAlignment="0" applyProtection="0"/>
    <xf numFmtId="164" fontId="34" fillId="17" borderId="0" applyNumberFormat="0" applyBorder="0" applyAlignment="0" applyProtection="0"/>
    <xf numFmtId="164" fontId="5" fillId="18" borderId="0" applyNumberFormat="0" applyBorder="0" applyAlignment="0" applyProtection="0"/>
    <xf numFmtId="164" fontId="5" fillId="19" borderId="0" applyNumberFormat="0" applyBorder="0" applyAlignment="0" applyProtection="0"/>
    <xf numFmtId="164" fontId="34" fillId="20" borderId="0" applyNumberFormat="0" applyBorder="0" applyAlignment="0" applyProtection="0"/>
    <xf numFmtId="164" fontId="34" fillId="21" borderId="0" applyNumberFormat="0" applyBorder="0" applyAlignment="0" applyProtection="0"/>
    <xf numFmtId="164" fontId="5" fillId="22" borderId="0" applyNumberFormat="0" applyBorder="0" applyAlignment="0" applyProtection="0"/>
    <xf numFmtId="164" fontId="5" fillId="23" borderId="0" applyNumberFormat="0" applyBorder="0" applyAlignment="0" applyProtection="0"/>
    <xf numFmtId="164" fontId="34" fillId="24" borderId="0" applyNumberFormat="0" applyBorder="0" applyAlignment="0" applyProtection="0"/>
    <xf numFmtId="164" fontId="34" fillId="25" borderId="0" applyNumberFormat="0" applyBorder="0" applyAlignment="0" applyProtection="0"/>
    <xf numFmtId="164" fontId="5" fillId="26" borderId="0" applyNumberFormat="0" applyBorder="0" applyAlignment="0" applyProtection="0"/>
    <xf numFmtId="164" fontId="5" fillId="27" borderId="0" applyNumberFormat="0" applyBorder="0" applyAlignment="0" applyProtection="0"/>
    <xf numFmtId="164" fontId="34" fillId="28" borderId="0" applyNumberFormat="0" applyBorder="0" applyAlignment="0" applyProtection="0"/>
    <xf numFmtId="164" fontId="34" fillId="29" borderId="0" applyNumberFormat="0" applyBorder="0" applyAlignment="0" applyProtection="0"/>
    <xf numFmtId="164" fontId="5" fillId="30" borderId="0" applyNumberFormat="0" applyBorder="0" applyAlignment="0" applyProtection="0"/>
    <xf numFmtId="164" fontId="5" fillId="31" borderId="0" applyNumberFormat="0" applyBorder="0" applyAlignment="0" applyProtection="0"/>
    <xf numFmtId="164" fontId="34" fillId="32" borderId="0" applyNumberFormat="0" applyBorder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0" borderId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0" borderId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5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0" borderId="0"/>
    <xf numFmtId="164" fontId="4" fillId="0" borderId="0"/>
    <xf numFmtId="164" fontId="4" fillId="8" borderId="13" applyNumberFormat="0" applyFont="0" applyAlignment="0" applyProtection="0"/>
    <xf numFmtId="164" fontId="4" fillId="0" borderId="0"/>
    <xf numFmtId="164" fontId="4" fillId="8" borderId="13" applyNumberFormat="0" applyFont="0" applyAlignment="0" applyProtection="0"/>
    <xf numFmtId="164" fontId="4" fillId="8" borderId="13" applyNumberFormat="0" applyFont="0" applyAlignment="0" applyProtection="0"/>
    <xf numFmtId="164" fontId="4" fillId="0" borderId="0"/>
    <xf numFmtId="164" fontId="4" fillId="18" borderId="0" applyNumberFormat="0" applyBorder="0" applyAlignment="0" applyProtection="0"/>
    <xf numFmtId="164" fontId="4" fillId="10" borderId="0" applyNumberFormat="0" applyBorder="0" applyAlignment="0" applyProtection="0"/>
    <xf numFmtId="164" fontId="4" fillId="11" borderId="0" applyNumberFormat="0" applyBorder="0" applyAlignment="0" applyProtection="0"/>
    <xf numFmtId="164" fontId="4" fillId="18" borderId="0" applyNumberFormat="0" applyBorder="0" applyAlignment="0" applyProtection="0"/>
    <xf numFmtId="164" fontId="4" fillId="1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0" borderId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8" borderId="13" applyNumberFormat="0" applyFont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0" borderId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18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8" borderId="13" applyNumberFormat="0" applyFont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8" borderId="13" applyNumberFormat="0" applyFont="0" applyAlignment="0" applyProtection="0"/>
    <xf numFmtId="164" fontId="4" fillId="19" borderId="0" applyNumberFormat="0" applyBorder="0" applyAlignment="0" applyProtection="0"/>
    <xf numFmtId="164" fontId="4" fillId="11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0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8" borderId="0" applyNumberFormat="0" applyBorder="0" applyAlignment="0" applyProtection="0"/>
    <xf numFmtId="164" fontId="4" fillId="0" borderId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4" borderId="0" applyNumberFormat="0" applyBorder="0" applyAlignment="0" applyProtection="0"/>
    <xf numFmtId="164" fontId="4" fillId="15" borderId="0" applyNumberFormat="0" applyBorder="0" applyAlignment="0" applyProtection="0"/>
    <xf numFmtId="164" fontId="4" fillId="10" borderId="0" applyNumberFormat="0" applyBorder="0" applyAlignment="0" applyProtection="0"/>
    <xf numFmtId="164" fontId="4" fillId="10" borderId="0" applyNumberFormat="0" applyBorder="0" applyAlignment="0" applyProtection="0"/>
    <xf numFmtId="164" fontId="4" fillId="18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15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14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4" fillId="19" borderId="0" applyNumberFormat="0" applyBorder="0" applyAlignment="0" applyProtection="0"/>
    <xf numFmtId="164" fontId="4" fillId="22" borderId="0" applyNumberFormat="0" applyBorder="0" applyAlignment="0" applyProtection="0"/>
    <xf numFmtId="164" fontId="4" fillId="23" borderId="0" applyNumberFormat="0" applyBorder="0" applyAlignment="0" applyProtection="0"/>
    <xf numFmtId="164" fontId="4" fillId="26" borderId="0" applyNumberFormat="0" applyBorder="0" applyAlignment="0" applyProtection="0"/>
    <xf numFmtId="164" fontId="4" fillId="27" borderId="0" applyNumberFormat="0" applyBorder="0" applyAlignment="0" applyProtection="0"/>
    <xf numFmtId="164" fontId="4" fillId="30" borderId="0" applyNumberFormat="0" applyBorder="0" applyAlignment="0" applyProtection="0"/>
    <xf numFmtId="164" fontId="4" fillId="31" borderId="0" applyNumberFormat="0" applyBorder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8" borderId="13" applyNumberFormat="0" applyFont="0" applyAlignment="0" applyProtection="0"/>
    <xf numFmtId="164" fontId="3" fillId="0" borderId="0"/>
    <xf numFmtId="164" fontId="3" fillId="8" borderId="13" applyNumberFormat="0" applyFont="0" applyAlignment="0" applyProtection="0"/>
    <xf numFmtId="164" fontId="3" fillId="18" borderId="0" applyNumberFormat="0" applyBorder="0" applyAlignment="0" applyProtection="0"/>
    <xf numFmtId="164" fontId="3" fillId="10" borderId="0" applyNumberFormat="0" applyBorder="0" applyAlignment="0" applyProtection="0"/>
    <xf numFmtId="164" fontId="3" fillId="11" borderId="0" applyNumberFormat="0" applyBorder="0" applyAlignment="0" applyProtection="0"/>
    <xf numFmtId="164" fontId="3" fillId="18" borderId="0" applyNumberFormat="0" applyBorder="0" applyAlignment="0" applyProtection="0"/>
    <xf numFmtId="164" fontId="3" fillId="11" borderId="0" applyNumberFormat="0" applyBorder="0" applyAlignment="0" applyProtection="0"/>
    <xf numFmtId="164" fontId="3" fillId="14" borderId="0" applyNumberFormat="0" applyBorder="0" applyAlignment="0" applyProtection="0"/>
    <xf numFmtId="164" fontId="3" fillId="15" borderId="0" applyNumberFormat="0" applyBorder="0" applyAlignment="0" applyProtection="0"/>
    <xf numFmtId="164" fontId="3" fillId="10" borderId="0" applyNumberFormat="0" applyBorder="0" applyAlignment="0" applyProtection="0"/>
    <xf numFmtId="164" fontId="3" fillId="10" borderId="0" applyNumberFormat="0" applyBorder="0" applyAlignment="0" applyProtection="0"/>
    <xf numFmtId="164" fontId="3" fillId="18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15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14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3" fillId="19" borderId="0" applyNumberFormat="0" applyBorder="0" applyAlignment="0" applyProtection="0"/>
    <xf numFmtId="164" fontId="3" fillId="22" borderId="0" applyNumberFormat="0" applyBorder="0" applyAlignment="0" applyProtection="0"/>
    <xf numFmtId="164" fontId="3" fillId="23" borderId="0" applyNumberFormat="0" applyBorder="0" applyAlignment="0" applyProtection="0"/>
    <xf numFmtId="164" fontId="3" fillId="26" borderId="0" applyNumberFormat="0" applyBorder="0" applyAlignment="0" applyProtection="0"/>
    <xf numFmtId="164" fontId="3" fillId="27" borderId="0" applyNumberFormat="0" applyBorder="0" applyAlignment="0" applyProtection="0"/>
    <xf numFmtId="164" fontId="3" fillId="30" borderId="0" applyNumberFormat="0" applyBorder="0" applyAlignment="0" applyProtection="0"/>
    <xf numFmtId="164" fontId="3" fillId="31" borderId="0" applyNumberFormat="0" applyBorder="0" applyAlignment="0" applyProtection="0"/>
    <xf numFmtId="164" fontId="2" fillId="0" borderId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0" borderId="0"/>
    <xf numFmtId="164" fontId="2" fillId="0" borderId="0"/>
    <xf numFmtId="164" fontId="2" fillId="8" borderId="13" applyNumberFormat="0" applyFont="0" applyAlignment="0" applyProtection="0"/>
    <xf numFmtId="164" fontId="2" fillId="0" borderId="0"/>
    <xf numFmtId="164" fontId="2" fillId="8" borderId="13" applyNumberFormat="0" applyFont="0" applyAlignment="0" applyProtection="0"/>
    <xf numFmtId="164" fontId="2" fillId="8" borderId="13" applyNumberFormat="0" applyFont="0" applyAlignment="0" applyProtection="0"/>
    <xf numFmtId="164" fontId="2" fillId="0" borderId="0"/>
    <xf numFmtId="164" fontId="2" fillId="18" borderId="0" applyNumberFormat="0" applyBorder="0" applyAlignment="0" applyProtection="0"/>
    <xf numFmtId="164" fontId="2" fillId="10" borderId="0" applyNumberFormat="0" applyBorder="0" applyAlignment="0" applyProtection="0"/>
    <xf numFmtId="164" fontId="2" fillId="11" borderId="0" applyNumberFormat="0" applyBorder="0" applyAlignment="0" applyProtection="0"/>
    <xf numFmtId="164" fontId="2" fillId="18" borderId="0" applyNumberFormat="0" applyBorder="0" applyAlignment="0" applyProtection="0"/>
    <xf numFmtId="164" fontId="2" fillId="11" borderId="0" applyNumberFormat="0" applyBorder="0" applyAlignment="0" applyProtection="0"/>
    <xf numFmtId="164" fontId="2" fillId="14" borderId="0" applyNumberFormat="0" applyBorder="0" applyAlignment="0" applyProtection="0"/>
    <xf numFmtId="164" fontId="2" fillId="15" borderId="0" applyNumberFormat="0" applyBorder="0" applyAlignment="0" applyProtection="0"/>
    <xf numFmtId="164" fontId="2" fillId="10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0" borderId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8" borderId="13" applyNumberFormat="0" applyFont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10" borderId="0" applyNumberFormat="0" applyBorder="0" applyAlignment="0" applyProtection="0"/>
    <xf numFmtId="164" fontId="2" fillId="18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15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14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2" fillId="19" borderId="0" applyNumberFormat="0" applyBorder="0" applyAlignment="0" applyProtection="0"/>
    <xf numFmtId="164" fontId="2" fillId="22" borderId="0" applyNumberFormat="0" applyBorder="0" applyAlignment="0" applyProtection="0"/>
    <xf numFmtId="164" fontId="2" fillId="23" borderId="0" applyNumberFormat="0" applyBorder="0" applyAlignment="0" applyProtection="0"/>
    <xf numFmtId="164" fontId="2" fillId="26" borderId="0" applyNumberFormat="0" applyBorder="0" applyAlignment="0" applyProtection="0"/>
    <xf numFmtId="164" fontId="2" fillId="27" borderId="0" applyNumberFormat="0" applyBorder="0" applyAlignment="0" applyProtection="0"/>
    <xf numFmtId="164" fontId="2" fillId="30" borderId="0" applyNumberFormat="0" applyBorder="0" applyAlignment="0" applyProtection="0"/>
    <xf numFmtId="164" fontId="2" fillId="31" borderId="0" applyNumberFormat="0" applyBorder="0" applyAlignment="0" applyProtection="0"/>
    <xf numFmtId="164" fontId="1" fillId="0" borderId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0" borderId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8" borderId="13" applyNumberFormat="0" applyFont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8" borderId="13" applyNumberFormat="0" applyFont="0" applyAlignment="0" applyProtection="0"/>
    <xf numFmtId="164" fontId="1" fillId="8" borderId="13" applyNumberFormat="0" applyFont="0" applyAlignment="0" applyProtection="0"/>
    <xf numFmtId="164" fontId="1" fillId="0" borderId="0"/>
    <xf numFmtId="164" fontId="1" fillId="0" borderId="0"/>
    <xf numFmtId="164" fontId="1" fillId="8" borderId="13" applyNumberFormat="0" applyFont="0" applyAlignment="0" applyProtection="0"/>
    <xf numFmtId="164" fontId="1" fillId="18" borderId="0" applyNumberFormat="0" applyBorder="0" applyAlignment="0" applyProtection="0"/>
    <xf numFmtId="164" fontId="1" fillId="10" borderId="0" applyNumberFormat="0" applyBorder="0" applyAlignment="0" applyProtection="0"/>
    <xf numFmtId="164" fontId="1" fillId="11" borderId="0" applyNumberFormat="0" applyBorder="0" applyAlignment="0" applyProtection="0"/>
    <xf numFmtId="164" fontId="1" fillId="18" borderId="0" applyNumberFormat="0" applyBorder="0" applyAlignment="0" applyProtection="0"/>
    <xf numFmtId="164" fontId="1" fillId="11" borderId="0" applyNumberFormat="0" applyBorder="0" applyAlignment="0" applyProtection="0"/>
    <xf numFmtId="164" fontId="1" fillId="14" borderId="0" applyNumberFormat="0" applyBorder="0" applyAlignment="0" applyProtection="0"/>
    <xf numFmtId="164" fontId="1" fillId="15" borderId="0" applyNumberFormat="0" applyBorder="0" applyAlignment="0" applyProtection="0"/>
    <xf numFmtId="164" fontId="1" fillId="10" borderId="0" applyNumberFormat="0" applyBorder="0" applyAlignment="0" applyProtection="0"/>
    <xf numFmtId="164" fontId="1" fillId="10" borderId="0" applyNumberFormat="0" applyBorder="0" applyAlignment="0" applyProtection="0"/>
    <xf numFmtId="164" fontId="1" fillId="18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15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14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  <xf numFmtId="164" fontId="1" fillId="19" borderId="0" applyNumberFormat="0" applyBorder="0" applyAlignment="0" applyProtection="0"/>
    <xf numFmtId="164" fontId="1" fillId="22" borderId="0" applyNumberFormat="0" applyBorder="0" applyAlignment="0" applyProtection="0"/>
    <xf numFmtId="164" fontId="1" fillId="23" borderId="0" applyNumberFormat="0" applyBorder="0" applyAlignment="0" applyProtection="0"/>
    <xf numFmtId="164" fontId="1" fillId="26" borderId="0" applyNumberFormat="0" applyBorder="0" applyAlignment="0" applyProtection="0"/>
    <xf numFmtId="164" fontId="1" fillId="27" borderId="0" applyNumberFormat="0" applyBorder="0" applyAlignment="0" applyProtection="0"/>
    <xf numFmtId="164" fontId="1" fillId="30" borderId="0" applyNumberFormat="0" applyBorder="0" applyAlignment="0" applyProtection="0"/>
    <xf numFmtId="164" fontId="1" fillId="31" borderId="0" applyNumberFormat="0" applyBorder="0" applyAlignment="0" applyProtection="0"/>
  </cellStyleXfs>
  <cellXfs count="109">
    <xf numFmtId="164" fontId="0" fillId="0" borderId="0" xfId="0"/>
    <xf numFmtId="164" fontId="8" fillId="0" borderId="0" xfId="0" applyFont="1" applyAlignment="1">
      <alignment horizontal="center" vertical="center" wrapText="1"/>
    </xf>
    <xf numFmtId="164" fontId="0" fillId="0" borderId="0" xfId="0" applyAlignment="1">
      <alignment horizontal="center"/>
    </xf>
    <xf numFmtId="164" fontId="0" fillId="0" borderId="0" xfId="0" applyAlignment="1">
      <alignment horizontal="left"/>
    </xf>
    <xf numFmtId="164" fontId="10" fillId="0" borderId="0" xfId="0" applyFont="1" applyAlignment="1">
      <alignment vertical="center"/>
    </xf>
    <xf numFmtId="164" fontId="8" fillId="0" borderId="0" xfId="0" applyFont="1" applyAlignment="1">
      <alignment vertical="center"/>
    </xf>
    <xf numFmtId="164" fontId="11" fillId="0" borderId="0" xfId="0" applyFont="1" applyAlignment="1">
      <alignment vertical="center"/>
    </xf>
    <xf numFmtId="164" fontId="11" fillId="0" borderId="0" xfId="0" applyFont="1" applyBorder="1" applyAlignment="1">
      <alignment vertical="center"/>
    </xf>
    <xf numFmtId="164" fontId="8" fillId="0" borderId="0" xfId="0" applyFont="1" applyAlignment="1">
      <alignment horizontal="right" vertical="center"/>
    </xf>
    <xf numFmtId="164" fontId="13" fillId="0" borderId="0" xfId="0" applyFont="1" applyAlignment="1">
      <alignment horizontal="left"/>
    </xf>
    <xf numFmtId="164" fontId="12" fillId="0" borderId="1" xfId="0" applyFont="1" applyBorder="1" applyAlignment="1">
      <alignment horizontal="center" vertical="center"/>
    </xf>
    <xf numFmtId="164" fontId="13" fillId="0" borderId="0" xfId="0" applyFont="1" applyAlignment="1"/>
    <xf numFmtId="164" fontId="6" fillId="0" borderId="0" xfId="0" applyFont="1"/>
    <xf numFmtId="164" fontId="6" fillId="0" borderId="0" xfId="0" applyFont="1" applyBorder="1" applyAlignment="1">
      <alignment horizontal="center"/>
    </xf>
    <xf numFmtId="164" fontId="6" fillId="0" borderId="0" xfId="0" applyFont="1" applyAlignment="1">
      <alignment horizontal="center"/>
    </xf>
    <xf numFmtId="164" fontId="6" fillId="0" borderId="0" xfId="0" applyFont="1" applyAlignment="1"/>
    <xf numFmtId="164" fontId="15" fillId="0" borderId="0" xfId="0" applyFont="1"/>
    <xf numFmtId="9" fontId="13" fillId="0" borderId="3" xfId="0" applyNumberFormat="1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9" fontId="6" fillId="0" borderId="0" xfId="1" applyFont="1" applyAlignment="1"/>
    <xf numFmtId="164" fontId="8" fillId="0" borderId="1" xfId="0" applyFont="1" applyBorder="1" applyAlignment="1">
      <alignment horizontal="center"/>
    </xf>
    <xf numFmtId="164" fontId="8" fillId="0" borderId="0" xfId="0" applyFont="1" applyBorder="1" applyAlignment="1">
      <alignment horizontal="left"/>
    </xf>
    <xf numFmtId="164" fontId="8" fillId="0" borderId="0" xfId="0" applyFont="1" applyBorder="1"/>
    <xf numFmtId="164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164" fontId="9" fillId="0" borderId="0" xfId="0" applyFont="1" applyAlignment="1"/>
    <xf numFmtId="21" fontId="6" fillId="0" borderId="0" xfId="0" applyNumberFormat="1" applyFont="1"/>
    <xf numFmtId="164" fontId="35" fillId="0" borderId="1" xfId="0" applyFont="1" applyBorder="1"/>
    <xf numFmtId="10" fontId="6" fillId="0" borderId="1" xfId="0" applyNumberFormat="1" applyFont="1" applyBorder="1" applyAlignment="1">
      <alignment horizontal="center"/>
    </xf>
    <xf numFmtId="164" fontId="0" fillId="0" borderId="15" xfId="0" applyBorder="1"/>
    <xf numFmtId="164" fontId="0" fillId="0" borderId="3" xfId="0" applyBorder="1"/>
    <xf numFmtId="164" fontId="18" fillId="0" borderId="1" xfId="0" applyFon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49" fontId="6" fillId="0" borderId="3" xfId="0" applyNumberFormat="1" applyFont="1" applyBorder="1" applyAlignment="1">
      <alignment horizontal="center"/>
    </xf>
    <xf numFmtId="49" fontId="8" fillId="0" borderId="0" xfId="0" applyNumberFormat="1" applyFont="1" applyBorder="1" applyAlignment="1">
      <alignment horizontal="left" vertical="center"/>
    </xf>
    <xf numFmtId="164" fontId="36" fillId="0" borderId="0" xfId="0" applyFont="1" applyBorder="1" applyAlignment="1">
      <alignment horizontal="left" vertical="center"/>
    </xf>
    <xf numFmtId="164" fontId="6" fillId="0" borderId="0" xfId="0" applyFont="1" applyBorder="1"/>
    <xf numFmtId="0" fontId="6" fillId="0" borderId="0" xfId="0" applyNumberFormat="1" applyFont="1" applyBorder="1" applyAlignment="1">
      <alignment horizontal="left" vertical="top" wrapText="1"/>
    </xf>
    <xf numFmtId="16" fontId="8" fillId="0" borderId="18" xfId="0" applyNumberFormat="1" applyFont="1" applyBorder="1" applyAlignment="1">
      <alignment horizontal="center"/>
    </xf>
    <xf numFmtId="164" fontId="0" fillId="0" borderId="20" xfId="0" applyBorder="1" applyAlignment="1">
      <alignment horizontal="center"/>
    </xf>
    <xf numFmtId="49" fontId="6" fillId="0" borderId="21" xfId="0" applyNumberFormat="1" applyFont="1" applyBorder="1" applyAlignment="1">
      <alignment horizontal="center"/>
    </xf>
    <xf numFmtId="164" fontId="35" fillId="0" borderId="3" xfId="0" applyFont="1" applyBorder="1"/>
    <xf numFmtId="164" fontId="18" fillId="0" borderId="3" xfId="0" applyFont="1" applyBorder="1"/>
    <xf numFmtId="0" fontId="6" fillId="0" borderId="0" xfId="0" applyNumberFormat="1" applyFont="1" applyBorder="1" applyAlignment="1">
      <alignment horizontal="center"/>
    </xf>
    <xf numFmtId="164" fontId="35" fillId="0" borderId="0" xfId="0" applyFont="1" applyBorder="1"/>
    <xf numFmtId="10" fontId="6" fillId="0" borderId="0" xfId="0" applyNumberFormat="1" applyFont="1" applyBorder="1" applyAlignment="1">
      <alignment horizontal="center"/>
    </xf>
    <xf numFmtId="46" fontId="0" fillId="0" borderId="0" xfId="0" applyNumberFormat="1" applyBorder="1" applyAlignment="1">
      <alignment horizontal="center"/>
    </xf>
    <xf numFmtId="164" fontId="18" fillId="0" borderId="5" xfId="0" applyFont="1" applyBorder="1"/>
    <xf numFmtId="1" fontId="6" fillId="0" borderId="1" xfId="0" applyNumberFormat="1" applyFont="1" applyBorder="1" applyAlignment="1">
      <alignment horizontal="center" vertical="center"/>
    </xf>
    <xf numFmtId="164" fontId="37" fillId="0" borderId="1" xfId="0" applyFont="1" applyBorder="1" applyAlignment="1">
      <alignment vertical="center"/>
    </xf>
    <xf numFmtId="46" fontId="0" fillId="33" borderId="0" xfId="0" applyNumberFormat="1" applyFill="1" applyBorder="1"/>
    <xf numFmtId="164" fontId="6" fillId="0" borderId="0" xfId="0" applyFont="1" applyBorder="1" applyAlignment="1"/>
    <xf numFmtId="49" fontId="6" fillId="0" borderId="1" xfId="0" applyNumberFormat="1" applyFont="1" applyBorder="1" applyAlignment="1">
      <alignment horizontal="center"/>
    </xf>
    <xf numFmtId="1" fontId="6" fillId="0" borderId="0" xfId="0" applyNumberFormat="1" applyFont="1" applyAlignment="1"/>
    <xf numFmtId="1" fontId="11" fillId="0" borderId="0" xfId="0" applyNumberFormat="1" applyFont="1" applyBorder="1" applyAlignment="1">
      <alignment horizontal="center"/>
    </xf>
    <xf numFmtId="1" fontId="13" fillId="0" borderId="0" xfId="0" applyNumberFormat="1" applyFont="1" applyAlignment="1"/>
    <xf numFmtId="164" fontId="0" fillId="0" borderId="2" xfId="0" applyBorder="1"/>
    <xf numFmtId="164" fontId="0" fillId="0" borderId="1" xfId="0" applyBorder="1"/>
    <xf numFmtId="164" fontId="6" fillId="0" borderId="2" xfId="0" applyFont="1" applyBorder="1"/>
    <xf numFmtId="164" fontId="36" fillId="0" borderId="4" xfId="0" applyFont="1" applyBorder="1" applyAlignment="1">
      <alignment vertical="center"/>
    </xf>
    <xf numFmtId="164" fontId="38" fillId="0" borderId="0" xfId="0" applyFont="1" applyAlignment="1"/>
    <xf numFmtId="164" fontId="8" fillId="0" borderId="0" xfId="0" applyFont="1" applyAlignment="1"/>
    <xf numFmtId="165" fontId="39" fillId="0" borderId="5" xfId="0" applyNumberFormat="1" applyFont="1" applyBorder="1" applyAlignment="1">
      <alignment horizontal="center" vertical="center"/>
    </xf>
    <xf numFmtId="46" fontId="0" fillId="0" borderId="0" xfId="0" applyNumberFormat="1" applyBorder="1"/>
    <xf numFmtId="164" fontId="0" fillId="0" borderId="0" xfId="0" applyFill="1"/>
    <xf numFmtId="164" fontId="40" fillId="0" borderId="0" xfId="0" applyFont="1" applyAlignment="1"/>
    <xf numFmtId="164" fontId="13" fillId="0" borderId="0" xfId="0" applyFont="1" applyFill="1" applyAlignment="1"/>
    <xf numFmtId="165" fontId="39" fillId="0" borderId="1" xfId="0" applyNumberFormat="1" applyFont="1" applyBorder="1" applyAlignment="1">
      <alignment horizontal="center" vertical="center"/>
    </xf>
    <xf numFmtId="164" fontId="6" fillId="0" borderId="0" xfId="0" applyFont="1" applyAlignment="1">
      <alignment horizontal="left"/>
    </xf>
    <xf numFmtId="164" fontId="8" fillId="0" borderId="0" xfId="0" applyFont="1"/>
    <xf numFmtId="164" fontId="36" fillId="0" borderId="0" xfId="0" applyFont="1" applyBorder="1" applyAlignment="1">
      <alignment horizontal="center" vertical="center" wrapText="1"/>
    </xf>
    <xf numFmtId="165" fontId="39" fillId="0" borderId="0" xfId="0" applyNumberFormat="1" applyFont="1" applyBorder="1" applyAlignment="1">
      <alignment horizontal="center" vertical="center"/>
    </xf>
    <xf numFmtId="164" fontId="39" fillId="0" borderId="0" xfId="0" applyFont="1" applyBorder="1" applyAlignment="1">
      <alignment horizontal="left" vertical="center"/>
    </xf>
    <xf numFmtId="46" fontId="0" fillId="0" borderId="1" xfId="0" applyNumberFormat="1" applyBorder="1" applyAlignment="1">
      <alignment horizontal="center" vertical="center"/>
    </xf>
    <xf numFmtId="46" fontId="0" fillId="0" borderId="3" xfId="0" applyNumberFormat="1" applyBorder="1" applyAlignment="1">
      <alignment horizontal="center" vertical="center"/>
    </xf>
    <xf numFmtId="164" fontId="6" fillId="0" borderId="0" xfId="0" applyFont="1" applyFill="1"/>
    <xf numFmtId="164" fontId="41" fillId="0" borderId="0" xfId="0" applyFont="1"/>
    <xf numFmtId="164" fontId="41" fillId="0" borderId="0" xfId="0" applyFont="1" applyFill="1" applyBorder="1"/>
    <xf numFmtId="164" fontId="36" fillId="0" borderId="15" xfId="0" applyFont="1" applyBorder="1" applyAlignment="1">
      <alignment horizontal="center" wrapText="1"/>
    </xf>
    <xf numFmtId="164" fontId="12" fillId="0" borderId="1" xfId="0" applyFont="1" applyBorder="1" applyAlignment="1">
      <alignment horizontal="left" vertical="center"/>
    </xf>
    <xf numFmtId="164" fontId="36" fillId="0" borderId="0" xfId="0" applyFont="1" applyBorder="1" applyAlignment="1">
      <alignment horizontal="center" wrapText="1"/>
    </xf>
    <xf numFmtId="16" fontId="8" fillId="0" borderId="24" xfId="0" applyNumberFormat="1" applyFont="1" applyBorder="1" applyAlignment="1">
      <alignment horizontal="center"/>
    </xf>
    <xf numFmtId="164" fontId="8" fillId="0" borderId="16" xfId="0" applyFont="1" applyBorder="1" applyAlignment="1">
      <alignment horizontal="center" vertical="center" wrapText="1"/>
    </xf>
    <xf numFmtId="164" fontId="8" fillId="0" borderId="19" xfId="0" applyFont="1" applyBorder="1" applyAlignment="1">
      <alignment horizontal="center" vertical="center" wrapText="1"/>
    </xf>
    <xf numFmtId="164" fontId="8" fillId="0" borderId="17" xfId="0" applyFont="1" applyBorder="1" applyAlignment="1">
      <alignment horizontal="center" vertical="center" wrapText="1"/>
    </xf>
    <xf numFmtId="164" fontId="8" fillId="0" borderId="5" xfId="0" applyFont="1" applyBorder="1" applyAlignment="1">
      <alignment horizontal="center" vertical="center" wrapText="1"/>
    </xf>
    <xf numFmtId="164" fontId="8" fillId="0" borderId="3" xfId="0" applyFont="1" applyBorder="1" applyAlignment="1">
      <alignment horizontal="center" vertical="center"/>
    </xf>
    <xf numFmtId="164" fontId="8" fillId="0" borderId="5" xfId="0" applyFont="1" applyBorder="1" applyAlignment="1">
      <alignment horizontal="center" vertical="center"/>
    </xf>
    <xf numFmtId="49" fontId="37" fillId="0" borderId="3" xfId="0" applyNumberFormat="1" applyFont="1" applyBorder="1" applyAlignment="1">
      <alignment horizontal="center" vertical="center"/>
    </xf>
    <xf numFmtId="49" fontId="37" fillId="0" borderId="23" xfId="0" applyNumberFormat="1" applyFont="1" applyBorder="1" applyAlignment="1">
      <alignment horizontal="center" vertical="center"/>
    </xf>
    <xf numFmtId="49" fontId="37" fillId="0" borderId="5" xfId="0" applyNumberFormat="1" applyFont="1" applyBorder="1" applyAlignment="1">
      <alignment horizontal="center" vertical="center"/>
    </xf>
    <xf numFmtId="164" fontId="42" fillId="0" borderId="3" xfId="0" applyFont="1" applyBorder="1" applyAlignment="1">
      <alignment horizontal="center" vertical="center"/>
    </xf>
    <xf numFmtId="164" fontId="42" fillId="0" borderId="23" xfId="0" applyFont="1" applyBorder="1" applyAlignment="1">
      <alignment horizontal="center" vertical="center"/>
    </xf>
    <xf numFmtId="164" fontId="42" fillId="0" borderId="5" xfId="0" applyFont="1" applyBorder="1" applyAlignment="1">
      <alignment horizontal="center" vertical="center"/>
    </xf>
    <xf numFmtId="164" fontId="39" fillId="0" borderId="0" xfId="0" applyFont="1" applyBorder="1" applyAlignment="1">
      <alignment horizontal="left" vertical="top"/>
    </xf>
    <xf numFmtId="164" fontId="38" fillId="0" borderId="22" xfId="0" applyFont="1" applyBorder="1" applyAlignment="1">
      <alignment horizontal="center" vertical="center"/>
    </xf>
    <xf numFmtId="9" fontId="8" fillId="0" borderId="4" xfId="1" applyFont="1" applyBorder="1" applyAlignment="1">
      <alignment horizontal="center"/>
    </xf>
    <xf numFmtId="9" fontId="8" fillId="0" borderId="2" xfId="1" applyFont="1" applyBorder="1" applyAlignment="1">
      <alignment horizontal="center"/>
    </xf>
    <xf numFmtId="164" fontId="39" fillId="0" borderId="0" xfId="0" applyFont="1" applyBorder="1" applyAlignment="1">
      <alignment horizontal="left" vertical="center"/>
    </xf>
    <xf numFmtId="164" fontId="39" fillId="0" borderId="4" xfId="0" applyFont="1" applyBorder="1" applyAlignment="1">
      <alignment vertical="center"/>
    </xf>
    <xf numFmtId="164" fontId="39" fillId="0" borderId="22" xfId="0" applyFont="1" applyBorder="1" applyAlignment="1">
      <alignment vertical="center"/>
    </xf>
    <xf numFmtId="164" fontId="39" fillId="0" borderId="2" xfId="0" applyFont="1" applyBorder="1" applyAlignment="1">
      <alignment vertic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89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L82"/>
  <sheetViews>
    <sheetView tabSelected="1" zoomScale="90" zoomScaleNormal="90" workbookViewId="0">
      <pane xSplit="3" ySplit="11" topLeftCell="D12" activePane="bottomRight" state="frozen"/>
      <selection pane="topRight" activeCell="D1" sqref="D1"/>
      <selection pane="bottomLeft" activeCell="A12" sqref="A12"/>
      <selection pane="bottomRight" activeCell="B16" sqref="B16:AF16"/>
    </sheetView>
  </sheetViews>
  <sheetFormatPr defaultRowHeight="12.75" x14ac:dyDescent="0.2"/>
  <cols>
    <col min="1" max="1" width="5.7109375" style="2" customWidth="1"/>
    <col min="2" max="2" width="45.5703125" customWidth="1"/>
    <col min="3" max="3" width="26.7109375" bestFit="1" customWidth="1"/>
    <col min="4" max="15" width="10.5703125" style="11" customWidth="1"/>
    <col min="16" max="31" width="10.5703125" customWidth="1"/>
    <col min="32" max="33" width="11.28515625" customWidth="1"/>
    <col min="34" max="34" width="10.42578125" customWidth="1"/>
  </cols>
  <sheetData>
    <row r="1" spans="1:34" s="3" customFormat="1" ht="14.25" x14ac:dyDescent="0.2">
      <c r="A1" s="4" t="s">
        <v>14</v>
      </c>
      <c r="B1" s="5"/>
      <c r="C1" s="6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</row>
    <row r="2" spans="1:34" s="3" customFormat="1" ht="14.25" x14ac:dyDescent="0.2">
      <c r="A2" s="4" t="s">
        <v>15</v>
      </c>
      <c r="B2" s="5"/>
      <c r="C2" s="6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</row>
    <row r="3" spans="1:34" s="3" customFormat="1" x14ac:dyDescent="0.2">
      <c r="A3" s="6"/>
      <c r="B3" s="6"/>
      <c r="C3" s="7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</row>
    <row r="4" spans="1:34" s="3" customFormat="1" x14ac:dyDescent="0.2">
      <c r="A4" s="5" t="s">
        <v>4</v>
      </c>
      <c r="B4" s="5"/>
      <c r="C4" s="7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34" s="3" customFormat="1" x14ac:dyDescent="0.2">
      <c r="A5" s="5" t="s">
        <v>3</v>
      </c>
      <c r="B5" s="5"/>
      <c r="C5" s="7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</row>
    <row r="6" spans="1:34" s="3" customFormat="1" x14ac:dyDescent="0.2">
      <c r="A6" s="6"/>
      <c r="B6" s="6"/>
      <c r="C6" s="7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34" s="3" customFormat="1" x14ac:dyDescent="0.2">
      <c r="A7" s="5" t="s">
        <v>5</v>
      </c>
      <c r="B7" s="6"/>
      <c r="C7" s="39">
        <v>45261</v>
      </c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</row>
    <row r="8" spans="1:34" s="3" customFormat="1" x14ac:dyDescent="0.2">
      <c r="A8" s="5" t="s">
        <v>6</v>
      </c>
      <c r="B8" s="8"/>
      <c r="C8" s="41" t="s">
        <v>30</v>
      </c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</row>
    <row r="9" spans="1:34" s="3" customFormat="1" ht="13.5" thickBot="1" x14ac:dyDescent="0.25"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</row>
    <row r="10" spans="1:34" s="3" customFormat="1" x14ac:dyDescent="0.2">
      <c r="A10" s="89" t="s">
        <v>2</v>
      </c>
      <c r="B10" s="91" t="s">
        <v>0</v>
      </c>
      <c r="C10" s="91" t="s">
        <v>8</v>
      </c>
      <c r="D10" s="45">
        <v>44531</v>
      </c>
      <c r="E10" s="45">
        <v>44532</v>
      </c>
      <c r="F10" s="45">
        <v>44533</v>
      </c>
      <c r="G10" s="45">
        <v>44534</v>
      </c>
      <c r="H10" s="45">
        <v>44535</v>
      </c>
      <c r="I10" s="45">
        <v>44536</v>
      </c>
      <c r="J10" s="45">
        <v>44537</v>
      </c>
      <c r="K10" s="45">
        <v>44538</v>
      </c>
      <c r="L10" s="45">
        <v>44539</v>
      </c>
      <c r="M10" s="45">
        <v>44540</v>
      </c>
      <c r="N10" s="45">
        <v>44541</v>
      </c>
      <c r="O10" s="45">
        <v>44542</v>
      </c>
      <c r="P10" s="45">
        <v>44543</v>
      </c>
      <c r="Q10" s="45">
        <v>44544</v>
      </c>
      <c r="R10" s="45">
        <v>44545</v>
      </c>
      <c r="S10" s="45">
        <v>44546</v>
      </c>
      <c r="T10" s="45">
        <v>44547</v>
      </c>
      <c r="U10" s="45">
        <v>44548</v>
      </c>
      <c r="V10" s="45">
        <v>44549</v>
      </c>
      <c r="W10" s="45">
        <v>44550</v>
      </c>
      <c r="X10" s="45">
        <v>44551</v>
      </c>
      <c r="Y10" s="45">
        <v>44552</v>
      </c>
      <c r="Z10" s="45">
        <v>44553</v>
      </c>
      <c r="AA10" s="45">
        <v>44554</v>
      </c>
      <c r="AB10" s="45">
        <v>44555</v>
      </c>
      <c r="AC10" s="45">
        <v>44556</v>
      </c>
      <c r="AD10" s="45">
        <v>44557</v>
      </c>
      <c r="AE10" s="45">
        <v>44558</v>
      </c>
      <c r="AF10" s="45">
        <v>44559</v>
      </c>
      <c r="AG10" s="45">
        <v>44560</v>
      </c>
      <c r="AH10" s="88">
        <v>44561</v>
      </c>
    </row>
    <row r="11" spans="1:34" s="1" customFormat="1" x14ac:dyDescent="0.2">
      <c r="A11" s="90"/>
      <c r="B11" s="92"/>
      <c r="C11" s="92"/>
      <c r="D11" s="10" t="s">
        <v>7</v>
      </c>
      <c r="E11" s="10" t="s">
        <v>7</v>
      </c>
      <c r="F11" s="10" t="s">
        <v>7</v>
      </c>
      <c r="G11" s="10" t="s">
        <v>7</v>
      </c>
      <c r="H11" s="10" t="s">
        <v>7</v>
      </c>
      <c r="I11" s="10" t="s">
        <v>7</v>
      </c>
      <c r="J11" s="10" t="s">
        <v>7</v>
      </c>
      <c r="K11" s="10" t="s">
        <v>7</v>
      </c>
      <c r="L11" s="10" t="s">
        <v>7</v>
      </c>
      <c r="M11" s="10" t="s">
        <v>7</v>
      </c>
      <c r="N11" s="10" t="s">
        <v>7</v>
      </c>
      <c r="O11" s="10" t="s">
        <v>7</v>
      </c>
      <c r="P11" s="10" t="s">
        <v>7</v>
      </c>
      <c r="Q11" s="10" t="s">
        <v>7</v>
      </c>
      <c r="R11" s="10" t="s">
        <v>7</v>
      </c>
      <c r="S11" s="10" t="s">
        <v>7</v>
      </c>
      <c r="T11" s="10" t="s">
        <v>7</v>
      </c>
      <c r="U11" s="10" t="s">
        <v>7</v>
      </c>
      <c r="V11" s="10" t="s">
        <v>7</v>
      </c>
      <c r="W11" s="10" t="s">
        <v>7</v>
      </c>
      <c r="X11" s="10" t="s">
        <v>7</v>
      </c>
      <c r="Y11" s="10" t="s">
        <v>7</v>
      </c>
      <c r="Z11" s="10" t="s">
        <v>7</v>
      </c>
      <c r="AA11" s="10" t="s">
        <v>7</v>
      </c>
      <c r="AB11" s="10" t="s">
        <v>7</v>
      </c>
      <c r="AC11" s="10" t="s">
        <v>7</v>
      </c>
      <c r="AD11" s="10" t="s">
        <v>7</v>
      </c>
      <c r="AE11" s="10" t="s">
        <v>7</v>
      </c>
      <c r="AF11" s="10" t="s">
        <v>7</v>
      </c>
      <c r="AG11" s="10" t="s">
        <v>7</v>
      </c>
      <c r="AH11" s="86" t="s">
        <v>7</v>
      </c>
    </row>
    <row r="12" spans="1:34" x14ac:dyDescent="0.2">
      <c r="A12" s="46"/>
      <c r="B12" s="34"/>
      <c r="C12" s="35"/>
      <c r="D12" s="17"/>
      <c r="E12" s="17"/>
      <c r="F12" s="17"/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64"/>
      <c r="AG12" s="63"/>
      <c r="AH12" s="64"/>
    </row>
    <row r="13" spans="1:34" s="12" customFormat="1" ht="15.75" x14ac:dyDescent="0.25">
      <c r="A13" s="47" t="s">
        <v>26</v>
      </c>
      <c r="B13" s="32" t="s">
        <v>39</v>
      </c>
      <c r="C13" s="36"/>
      <c r="D13" s="80">
        <v>0</v>
      </c>
      <c r="E13" s="80">
        <v>0</v>
      </c>
      <c r="F13" s="80">
        <v>0</v>
      </c>
      <c r="G13" s="80">
        <v>0</v>
      </c>
      <c r="H13" s="80">
        <v>0</v>
      </c>
      <c r="I13" s="80">
        <v>0</v>
      </c>
      <c r="J13" s="80">
        <v>0</v>
      </c>
      <c r="K13" s="80">
        <v>0</v>
      </c>
      <c r="L13" s="80">
        <v>0</v>
      </c>
      <c r="M13" s="80">
        <v>0</v>
      </c>
      <c r="N13" s="80">
        <v>0</v>
      </c>
      <c r="O13" s="80">
        <v>0</v>
      </c>
      <c r="P13" s="80">
        <v>0</v>
      </c>
      <c r="Q13" s="80">
        <v>0</v>
      </c>
      <c r="R13" s="80">
        <v>0</v>
      </c>
      <c r="S13" s="80">
        <v>0</v>
      </c>
      <c r="T13" s="80">
        <v>0</v>
      </c>
      <c r="U13" s="80">
        <v>0</v>
      </c>
      <c r="V13" s="80">
        <v>0</v>
      </c>
      <c r="W13" s="80">
        <v>0</v>
      </c>
      <c r="X13" s="80">
        <v>0</v>
      </c>
      <c r="Y13" s="80">
        <v>0</v>
      </c>
      <c r="Z13" s="80">
        <v>0</v>
      </c>
      <c r="AA13" s="80">
        <v>0</v>
      </c>
      <c r="AB13" s="80">
        <v>0</v>
      </c>
      <c r="AC13" s="80">
        <v>0</v>
      </c>
      <c r="AD13" s="80">
        <v>0</v>
      </c>
      <c r="AE13" s="81">
        <v>0</v>
      </c>
      <c r="AF13" s="80">
        <v>0</v>
      </c>
      <c r="AG13" s="80">
        <v>0</v>
      </c>
      <c r="AH13" s="80">
        <v>0</v>
      </c>
    </row>
    <row r="14" spans="1:34" s="12" customFormat="1" ht="15.75" x14ac:dyDescent="0.25">
      <c r="A14" s="47" t="s">
        <v>17</v>
      </c>
      <c r="B14" s="32" t="s">
        <v>40</v>
      </c>
      <c r="C14" s="36"/>
      <c r="D14" s="80">
        <v>0</v>
      </c>
      <c r="E14" s="80">
        <v>0</v>
      </c>
      <c r="F14" s="80">
        <v>0</v>
      </c>
      <c r="G14" s="80">
        <v>0</v>
      </c>
      <c r="H14" s="80">
        <v>0</v>
      </c>
      <c r="I14" s="80">
        <v>0</v>
      </c>
      <c r="J14" s="80">
        <v>0</v>
      </c>
      <c r="K14" s="80">
        <v>0</v>
      </c>
      <c r="L14" s="80">
        <v>0</v>
      </c>
      <c r="M14" s="80">
        <v>0</v>
      </c>
      <c r="N14" s="80">
        <v>0</v>
      </c>
      <c r="O14" s="80">
        <v>0</v>
      </c>
      <c r="P14" s="80">
        <v>0</v>
      </c>
      <c r="Q14" s="80">
        <v>0</v>
      </c>
      <c r="R14" s="80">
        <v>0</v>
      </c>
      <c r="S14" s="80">
        <v>0</v>
      </c>
      <c r="T14" s="80">
        <v>0</v>
      </c>
      <c r="U14" s="80">
        <v>0</v>
      </c>
      <c r="V14" s="80">
        <v>0</v>
      </c>
      <c r="W14" s="80">
        <v>0</v>
      </c>
      <c r="X14" s="80">
        <v>0</v>
      </c>
      <c r="Y14" s="80">
        <v>0</v>
      </c>
      <c r="Z14" s="80">
        <v>0</v>
      </c>
      <c r="AA14" s="80">
        <v>0</v>
      </c>
      <c r="AB14" s="80">
        <v>0</v>
      </c>
      <c r="AC14" s="80">
        <v>0</v>
      </c>
      <c r="AD14" s="80">
        <v>0</v>
      </c>
      <c r="AE14" s="81">
        <v>0</v>
      </c>
      <c r="AF14" s="80">
        <v>0</v>
      </c>
      <c r="AG14" s="80">
        <v>0</v>
      </c>
      <c r="AH14" s="80">
        <v>0</v>
      </c>
    </row>
    <row r="15" spans="1:34" s="12" customFormat="1" ht="15.75" x14ac:dyDescent="0.25">
      <c r="A15" s="47" t="s">
        <v>18</v>
      </c>
      <c r="B15" s="32" t="s">
        <v>41</v>
      </c>
      <c r="C15" s="36"/>
      <c r="D15" s="80">
        <v>0</v>
      </c>
      <c r="E15" s="80">
        <v>0</v>
      </c>
      <c r="F15" s="80">
        <v>0</v>
      </c>
      <c r="G15" s="80">
        <v>0</v>
      </c>
      <c r="H15" s="80">
        <v>0</v>
      </c>
      <c r="I15" s="80">
        <v>0</v>
      </c>
      <c r="J15" s="80">
        <v>0</v>
      </c>
      <c r="K15" s="80">
        <v>0</v>
      </c>
      <c r="L15" s="80">
        <v>0</v>
      </c>
      <c r="M15" s="80">
        <v>0</v>
      </c>
      <c r="N15" s="80">
        <v>0</v>
      </c>
      <c r="O15" s="80">
        <v>0</v>
      </c>
      <c r="P15" s="80">
        <v>0</v>
      </c>
      <c r="Q15" s="80">
        <v>0</v>
      </c>
      <c r="R15" s="80">
        <v>0</v>
      </c>
      <c r="S15" s="80">
        <v>0</v>
      </c>
      <c r="T15" s="80">
        <v>0</v>
      </c>
      <c r="U15" s="80">
        <v>0</v>
      </c>
      <c r="V15" s="80">
        <v>0</v>
      </c>
      <c r="W15" s="80">
        <v>0</v>
      </c>
      <c r="X15" s="80">
        <v>0</v>
      </c>
      <c r="Y15" s="80">
        <v>0</v>
      </c>
      <c r="Z15" s="80">
        <v>0</v>
      </c>
      <c r="AA15" s="80">
        <v>0</v>
      </c>
      <c r="AB15" s="80">
        <v>0</v>
      </c>
      <c r="AC15" s="80">
        <v>0</v>
      </c>
      <c r="AD15" s="80">
        <v>0</v>
      </c>
      <c r="AE15" s="81">
        <v>0</v>
      </c>
      <c r="AF15" s="80">
        <v>0</v>
      </c>
      <c r="AG15" s="80">
        <v>0</v>
      </c>
      <c r="AH15" s="80">
        <v>0</v>
      </c>
    </row>
    <row r="16" spans="1:34" s="12" customFormat="1" ht="15.75" x14ac:dyDescent="0.25">
      <c r="A16" s="47" t="s">
        <v>19</v>
      </c>
      <c r="B16" s="32" t="s">
        <v>42</v>
      </c>
      <c r="C16" s="36"/>
      <c r="D16" s="80">
        <v>0</v>
      </c>
      <c r="E16" s="80">
        <v>0</v>
      </c>
      <c r="F16" s="80">
        <v>0</v>
      </c>
      <c r="G16" s="80">
        <v>1.9861111111111111E-2</v>
      </c>
      <c r="H16" s="80">
        <v>0</v>
      </c>
      <c r="I16" s="80">
        <v>0</v>
      </c>
      <c r="J16" s="80">
        <v>0</v>
      </c>
      <c r="K16" s="80">
        <v>1.4224537037037037E-2</v>
      </c>
      <c r="L16" s="80">
        <v>0</v>
      </c>
      <c r="M16" s="80">
        <v>0</v>
      </c>
      <c r="N16" s="80">
        <v>2.1307870370370369E-2</v>
      </c>
      <c r="O16" s="80">
        <v>0</v>
      </c>
      <c r="P16" s="80">
        <v>0</v>
      </c>
      <c r="Q16" s="80">
        <v>0</v>
      </c>
      <c r="R16" s="80">
        <v>0</v>
      </c>
      <c r="S16" s="80">
        <v>2.1331018518518517E-2</v>
      </c>
      <c r="T16" s="80">
        <v>0</v>
      </c>
      <c r="U16" s="80">
        <v>0</v>
      </c>
      <c r="V16" s="80">
        <v>0</v>
      </c>
      <c r="W16" s="80">
        <v>0</v>
      </c>
      <c r="X16" s="80">
        <v>0</v>
      </c>
      <c r="Y16" s="80">
        <v>0</v>
      </c>
      <c r="Z16" s="80">
        <v>1.4675925925925926E-2</v>
      </c>
      <c r="AA16" s="80">
        <v>0</v>
      </c>
      <c r="AB16" s="80">
        <v>0</v>
      </c>
      <c r="AC16" s="80">
        <v>3.5532407407407405E-3</v>
      </c>
      <c r="AD16" s="80">
        <v>0</v>
      </c>
      <c r="AE16" s="80">
        <v>0</v>
      </c>
      <c r="AF16" s="80">
        <v>0</v>
      </c>
      <c r="AG16" s="80">
        <v>0</v>
      </c>
      <c r="AH16" s="80">
        <v>0</v>
      </c>
    </row>
    <row r="17" spans="1:38" s="12" customFormat="1" ht="15.75" x14ac:dyDescent="0.25">
      <c r="A17" s="47" t="s">
        <v>20</v>
      </c>
      <c r="B17" s="32" t="s">
        <v>43</v>
      </c>
      <c r="C17" s="36"/>
      <c r="D17" s="80">
        <v>0</v>
      </c>
      <c r="E17" s="80">
        <v>0</v>
      </c>
      <c r="F17" s="80">
        <v>0</v>
      </c>
      <c r="G17" s="80">
        <v>0</v>
      </c>
      <c r="H17" s="80">
        <v>0</v>
      </c>
      <c r="I17" s="80">
        <v>0</v>
      </c>
      <c r="J17" s="80">
        <v>0</v>
      </c>
      <c r="K17" s="80">
        <v>0</v>
      </c>
      <c r="L17" s="80">
        <v>0</v>
      </c>
      <c r="M17" s="80">
        <v>0</v>
      </c>
      <c r="N17" s="80">
        <v>0</v>
      </c>
      <c r="O17" s="80">
        <v>0</v>
      </c>
      <c r="P17" s="80">
        <v>0</v>
      </c>
      <c r="Q17" s="80">
        <v>0</v>
      </c>
      <c r="R17" s="80">
        <v>0</v>
      </c>
      <c r="S17" s="80">
        <v>0</v>
      </c>
      <c r="T17" s="80">
        <v>0</v>
      </c>
      <c r="U17" s="80">
        <v>0</v>
      </c>
      <c r="V17" s="80">
        <v>0</v>
      </c>
      <c r="W17" s="80">
        <v>0</v>
      </c>
      <c r="X17" s="80">
        <v>0</v>
      </c>
      <c r="Y17" s="80">
        <v>0</v>
      </c>
      <c r="Z17" s="80">
        <v>0</v>
      </c>
      <c r="AA17" s="80">
        <v>0</v>
      </c>
      <c r="AB17" s="80">
        <v>0</v>
      </c>
      <c r="AC17" s="80">
        <v>0</v>
      </c>
      <c r="AD17" s="80">
        <v>0</v>
      </c>
      <c r="AE17" s="80">
        <v>0</v>
      </c>
      <c r="AF17" s="80">
        <v>0</v>
      </c>
      <c r="AG17" s="80">
        <v>0</v>
      </c>
      <c r="AH17" s="80">
        <v>0</v>
      </c>
    </row>
    <row r="18" spans="1:38" s="12" customFormat="1" ht="15.75" x14ac:dyDescent="0.25">
      <c r="A18" s="47" t="s">
        <v>21</v>
      </c>
      <c r="B18" s="32" t="s">
        <v>44</v>
      </c>
      <c r="C18" s="36"/>
      <c r="D18" s="80">
        <v>0</v>
      </c>
      <c r="E18" s="80">
        <v>0</v>
      </c>
      <c r="F18" s="80">
        <v>0</v>
      </c>
      <c r="G18" s="80">
        <v>0</v>
      </c>
      <c r="H18" s="80">
        <v>0</v>
      </c>
      <c r="I18" s="80">
        <v>0</v>
      </c>
      <c r="J18" s="80">
        <v>0</v>
      </c>
      <c r="K18" s="80">
        <v>0</v>
      </c>
      <c r="L18" s="80">
        <v>0</v>
      </c>
      <c r="M18" s="80">
        <v>0</v>
      </c>
      <c r="N18" s="80">
        <v>0</v>
      </c>
      <c r="O18" s="80">
        <v>0</v>
      </c>
      <c r="P18" s="80">
        <v>0</v>
      </c>
      <c r="Q18" s="80">
        <v>0</v>
      </c>
      <c r="R18" s="80">
        <v>0</v>
      </c>
      <c r="S18" s="80">
        <v>0</v>
      </c>
      <c r="T18" s="80">
        <v>0</v>
      </c>
      <c r="U18" s="80">
        <v>0</v>
      </c>
      <c r="V18" s="80">
        <v>0</v>
      </c>
      <c r="W18" s="80">
        <v>0</v>
      </c>
      <c r="X18" s="80">
        <v>0</v>
      </c>
      <c r="Y18" s="80">
        <v>0</v>
      </c>
      <c r="Z18" s="80">
        <v>0</v>
      </c>
      <c r="AA18" s="80">
        <v>0</v>
      </c>
      <c r="AB18" s="80">
        <v>0</v>
      </c>
      <c r="AC18" s="80">
        <v>0</v>
      </c>
      <c r="AD18" s="80">
        <v>0</v>
      </c>
      <c r="AE18" s="80">
        <v>0</v>
      </c>
      <c r="AF18" s="80">
        <v>0</v>
      </c>
      <c r="AG18" s="80">
        <v>0</v>
      </c>
      <c r="AH18" s="80">
        <v>0</v>
      </c>
      <c r="AL18" s="70"/>
    </row>
    <row r="19" spans="1:38" s="12" customFormat="1" ht="15.75" x14ac:dyDescent="0.25">
      <c r="A19" s="47" t="s">
        <v>22</v>
      </c>
      <c r="B19" s="32" t="s">
        <v>45</v>
      </c>
      <c r="C19" s="36"/>
      <c r="D19" s="80">
        <v>0</v>
      </c>
      <c r="E19" s="80">
        <v>0</v>
      </c>
      <c r="F19" s="80">
        <v>0</v>
      </c>
      <c r="G19" s="80">
        <v>0</v>
      </c>
      <c r="H19" s="80">
        <v>0</v>
      </c>
      <c r="I19" s="80">
        <v>0</v>
      </c>
      <c r="J19" s="80">
        <v>0</v>
      </c>
      <c r="K19" s="80">
        <v>0</v>
      </c>
      <c r="L19" s="80">
        <v>0</v>
      </c>
      <c r="M19" s="80">
        <v>0</v>
      </c>
      <c r="N19" s="80">
        <v>0</v>
      </c>
      <c r="O19" s="80">
        <v>0</v>
      </c>
      <c r="P19" s="80">
        <v>0</v>
      </c>
      <c r="Q19" s="80">
        <v>0</v>
      </c>
      <c r="R19" s="80">
        <v>0</v>
      </c>
      <c r="S19" s="80">
        <v>0</v>
      </c>
      <c r="T19" s="80">
        <v>0</v>
      </c>
      <c r="U19" s="80">
        <v>0</v>
      </c>
      <c r="V19" s="80">
        <v>0</v>
      </c>
      <c r="W19" s="80">
        <v>0</v>
      </c>
      <c r="X19" s="80">
        <v>0</v>
      </c>
      <c r="Y19" s="80">
        <v>0</v>
      </c>
      <c r="Z19" s="80">
        <v>0</v>
      </c>
      <c r="AA19" s="80">
        <v>0</v>
      </c>
      <c r="AB19" s="80">
        <v>0</v>
      </c>
      <c r="AC19" s="80">
        <v>0</v>
      </c>
      <c r="AD19" s="80">
        <v>0</v>
      </c>
      <c r="AE19" s="80">
        <v>0</v>
      </c>
      <c r="AF19" s="80">
        <v>0</v>
      </c>
      <c r="AG19" s="80">
        <v>0</v>
      </c>
      <c r="AH19" s="80">
        <v>0</v>
      </c>
    </row>
    <row r="20" spans="1:38" s="12" customFormat="1" ht="15.75" x14ac:dyDescent="0.25">
      <c r="A20" s="47" t="s">
        <v>23</v>
      </c>
      <c r="B20" s="32" t="s">
        <v>46</v>
      </c>
      <c r="C20" s="36"/>
      <c r="D20" s="81">
        <v>0</v>
      </c>
      <c r="E20" s="80">
        <v>0</v>
      </c>
      <c r="F20" s="80">
        <v>0</v>
      </c>
      <c r="G20" s="80">
        <v>0</v>
      </c>
      <c r="H20" s="80">
        <v>0</v>
      </c>
      <c r="I20" s="80">
        <v>0</v>
      </c>
      <c r="J20" s="80">
        <v>0</v>
      </c>
      <c r="K20" s="80">
        <v>0</v>
      </c>
      <c r="L20" s="80">
        <v>0</v>
      </c>
      <c r="M20" s="80">
        <v>0</v>
      </c>
      <c r="N20" s="80">
        <v>0</v>
      </c>
      <c r="O20" s="80">
        <v>0</v>
      </c>
      <c r="P20" s="80">
        <v>0</v>
      </c>
      <c r="Q20" s="80">
        <v>0</v>
      </c>
      <c r="R20" s="80">
        <v>0</v>
      </c>
      <c r="S20" s="80">
        <v>0</v>
      </c>
      <c r="T20" s="80">
        <v>0</v>
      </c>
      <c r="U20" s="80">
        <v>0</v>
      </c>
      <c r="V20" s="80">
        <v>0</v>
      </c>
      <c r="W20" s="80">
        <v>0</v>
      </c>
      <c r="X20" s="80">
        <v>0</v>
      </c>
      <c r="Y20" s="80">
        <v>0</v>
      </c>
      <c r="Z20" s="80">
        <v>0</v>
      </c>
      <c r="AA20" s="80">
        <v>0</v>
      </c>
      <c r="AB20" s="80">
        <v>0</v>
      </c>
      <c r="AC20" s="80">
        <v>0</v>
      </c>
      <c r="AD20" s="80">
        <v>0</v>
      </c>
      <c r="AE20" s="80">
        <v>0</v>
      </c>
      <c r="AF20" s="80">
        <v>0</v>
      </c>
      <c r="AG20" s="80">
        <v>0</v>
      </c>
      <c r="AH20" s="80">
        <v>0</v>
      </c>
    </row>
    <row r="21" spans="1:38" s="12" customFormat="1" ht="15.75" x14ac:dyDescent="0.25">
      <c r="A21" s="47" t="s">
        <v>24</v>
      </c>
      <c r="B21" s="32" t="s">
        <v>47</v>
      </c>
      <c r="C21" s="36"/>
      <c r="D21" s="80">
        <v>0</v>
      </c>
      <c r="E21" s="80">
        <v>0</v>
      </c>
      <c r="F21" s="80">
        <v>0</v>
      </c>
      <c r="G21" s="80">
        <v>0</v>
      </c>
      <c r="H21" s="80">
        <v>0</v>
      </c>
      <c r="I21" s="80">
        <v>0</v>
      </c>
      <c r="J21" s="80">
        <v>0</v>
      </c>
      <c r="K21" s="80">
        <v>0</v>
      </c>
      <c r="L21" s="80">
        <v>0</v>
      </c>
      <c r="M21" s="80">
        <v>0</v>
      </c>
      <c r="N21" s="80">
        <v>0</v>
      </c>
      <c r="O21" s="80">
        <v>0</v>
      </c>
      <c r="P21" s="80">
        <v>0</v>
      </c>
      <c r="Q21" s="80">
        <v>0</v>
      </c>
      <c r="R21" s="80">
        <v>0</v>
      </c>
      <c r="S21" s="80">
        <v>0</v>
      </c>
      <c r="T21" s="80">
        <v>0</v>
      </c>
      <c r="U21" s="80">
        <v>0</v>
      </c>
      <c r="V21" s="80">
        <v>0</v>
      </c>
      <c r="W21" s="80">
        <v>0</v>
      </c>
      <c r="X21" s="80">
        <v>0</v>
      </c>
      <c r="Y21" s="80">
        <v>0</v>
      </c>
      <c r="Z21" s="80">
        <v>0</v>
      </c>
      <c r="AA21" s="80">
        <v>0</v>
      </c>
      <c r="AB21" s="80">
        <v>0</v>
      </c>
      <c r="AC21" s="80">
        <v>0</v>
      </c>
      <c r="AD21" s="80">
        <v>0</v>
      </c>
      <c r="AE21" s="80">
        <v>0</v>
      </c>
      <c r="AF21" s="80">
        <v>0</v>
      </c>
      <c r="AG21" s="80">
        <v>0</v>
      </c>
      <c r="AH21" s="80">
        <v>0</v>
      </c>
    </row>
    <row r="22" spans="1:38" s="12" customFormat="1" ht="15.75" x14ac:dyDescent="0.25">
      <c r="A22" s="47" t="s">
        <v>25</v>
      </c>
      <c r="B22" s="48" t="s">
        <v>49</v>
      </c>
      <c r="C22" s="36"/>
      <c r="D22" s="81">
        <v>0</v>
      </c>
      <c r="E22" s="81">
        <v>0</v>
      </c>
      <c r="F22" s="81">
        <v>0</v>
      </c>
      <c r="G22" s="81">
        <v>0</v>
      </c>
      <c r="H22" s="80">
        <v>0</v>
      </c>
      <c r="I22" s="80">
        <v>0</v>
      </c>
      <c r="J22" s="80">
        <v>0</v>
      </c>
      <c r="K22" s="80">
        <v>0</v>
      </c>
      <c r="L22" s="80">
        <v>0</v>
      </c>
      <c r="M22" s="80">
        <v>0</v>
      </c>
      <c r="N22" s="80">
        <v>0</v>
      </c>
      <c r="O22" s="80">
        <v>0</v>
      </c>
      <c r="P22" s="80">
        <v>0</v>
      </c>
      <c r="Q22" s="80">
        <v>0</v>
      </c>
      <c r="R22" s="80">
        <v>0</v>
      </c>
      <c r="S22" s="81">
        <v>0</v>
      </c>
      <c r="T22" s="80">
        <v>0</v>
      </c>
      <c r="U22" s="81">
        <v>0</v>
      </c>
      <c r="V22" s="81">
        <v>0</v>
      </c>
      <c r="W22" s="81">
        <v>0</v>
      </c>
      <c r="X22" s="81">
        <v>0</v>
      </c>
      <c r="Y22" s="81">
        <v>0</v>
      </c>
      <c r="Z22" s="80">
        <v>0</v>
      </c>
      <c r="AA22" s="80">
        <v>0</v>
      </c>
      <c r="AB22" s="80">
        <v>0</v>
      </c>
      <c r="AC22" s="80">
        <v>0</v>
      </c>
      <c r="AD22" s="80">
        <v>0</v>
      </c>
      <c r="AE22" s="80">
        <v>0</v>
      </c>
      <c r="AF22" s="80">
        <v>0</v>
      </c>
      <c r="AG22" s="81">
        <v>0</v>
      </c>
      <c r="AH22" s="80">
        <v>0</v>
      </c>
    </row>
    <row r="23" spans="1:38" s="12" customFormat="1" ht="15.75" x14ac:dyDescent="0.25">
      <c r="A23" s="47" t="s">
        <v>27</v>
      </c>
      <c r="B23" s="48" t="s">
        <v>50</v>
      </c>
      <c r="C23" s="54"/>
      <c r="D23" s="81">
        <v>0</v>
      </c>
      <c r="E23" s="81">
        <v>0</v>
      </c>
      <c r="F23" s="81">
        <v>0</v>
      </c>
      <c r="G23" s="81">
        <v>0</v>
      </c>
      <c r="H23" s="80">
        <v>0</v>
      </c>
      <c r="I23" s="80">
        <v>0</v>
      </c>
      <c r="J23" s="80">
        <v>0</v>
      </c>
      <c r="K23" s="80">
        <v>0</v>
      </c>
      <c r="L23" s="80">
        <v>0</v>
      </c>
      <c r="M23" s="80">
        <v>0</v>
      </c>
      <c r="N23" s="80">
        <v>0</v>
      </c>
      <c r="O23" s="80">
        <v>0</v>
      </c>
      <c r="P23" s="80">
        <v>0</v>
      </c>
      <c r="Q23" s="80">
        <v>0</v>
      </c>
      <c r="R23" s="80">
        <v>0</v>
      </c>
      <c r="S23" s="81">
        <v>0</v>
      </c>
      <c r="T23" s="80">
        <v>0</v>
      </c>
      <c r="U23" s="81">
        <v>0</v>
      </c>
      <c r="V23" s="81">
        <v>0</v>
      </c>
      <c r="W23" s="81">
        <v>0</v>
      </c>
      <c r="X23" s="81">
        <v>0</v>
      </c>
      <c r="Y23" s="81">
        <v>0</v>
      </c>
      <c r="Z23" s="80">
        <v>0</v>
      </c>
      <c r="AA23" s="80">
        <v>0</v>
      </c>
      <c r="AB23" s="80">
        <v>0</v>
      </c>
      <c r="AC23" s="80">
        <v>0</v>
      </c>
      <c r="AD23" s="80">
        <v>0</v>
      </c>
      <c r="AE23" s="80">
        <v>0</v>
      </c>
      <c r="AF23" s="80">
        <v>0</v>
      </c>
      <c r="AG23" s="81">
        <v>0</v>
      </c>
      <c r="AH23" s="80">
        <v>0</v>
      </c>
    </row>
    <row r="24" spans="1:38" s="12" customFormat="1" ht="15.75" x14ac:dyDescent="0.25">
      <c r="A24" s="47" t="s">
        <v>28</v>
      </c>
      <c r="B24" s="48" t="s">
        <v>48</v>
      </c>
      <c r="C24" s="36"/>
      <c r="D24" s="81">
        <v>0</v>
      </c>
      <c r="E24" s="81">
        <v>0</v>
      </c>
      <c r="F24" s="81">
        <v>0</v>
      </c>
      <c r="G24" s="81">
        <v>0</v>
      </c>
      <c r="H24" s="80">
        <v>0</v>
      </c>
      <c r="I24" s="80">
        <v>0</v>
      </c>
      <c r="J24" s="80">
        <v>0</v>
      </c>
      <c r="K24" s="80">
        <v>0</v>
      </c>
      <c r="L24" s="80">
        <v>0</v>
      </c>
      <c r="M24" s="80">
        <v>0</v>
      </c>
      <c r="N24" s="80">
        <v>0</v>
      </c>
      <c r="O24" s="80">
        <v>0</v>
      </c>
      <c r="P24" s="80">
        <v>0</v>
      </c>
      <c r="Q24" s="80">
        <v>0</v>
      </c>
      <c r="R24" s="80">
        <v>0</v>
      </c>
      <c r="S24" s="81">
        <v>0</v>
      </c>
      <c r="T24" s="80">
        <v>0</v>
      </c>
      <c r="U24" s="81">
        <v>0</v>
      </c>
      <c r="V24" s="81">
        <v>0</v>
      </c>
      <c r="W24" s="81">
        <v>0</v>
      </c>
      <c r="X24" s="81">
        <v>0</v>
      </c>
      <c r="Y24" s="81">
        <v>0</v>
      </c>
      <c r="Z24" s="80">
        <v>0</v>
      </c>
      <c r="AA24" s="80">
        <v>0</v>
      </c>
      <c r="AB24" s="80">
        <v>0</v>
      </c>
      <c r="AC24" s="80">
        <v>0</v>
      </c>
      <c r="AD24" s="80">
        <v>0</v>
      </c>
      <c r="AE24" s="80">
        <v>0</v>
      </c>
      <c r="AF24" s="80">
        <v>0</v>
      </c>
      <c r="AG24" s="81">
        <v>0</v>
      </c>
      <c r="AH24" s="80">
        <v>0</v>
      </c>
    </row>
    <row r="25" spans="1:38" s="12" customFormat="1" ht="15.75" x14ac:dyDescent="0.25">
      <c r="A25" s="47" t="s">
        <v>29</v>
      </c>
      <c r="B25" s="48" t="s">
        <v>51</v>
      </c>
      <c r="C25" s="36"/>
      <c r="D25" s="81">
        <v>0</v>
      </c>
      <c r="E25" s="81">
        <v>0</v>
      </c>
      <c r="F25" s="81">
        <v>0</v>
      </c>
      <c r="G25" s="81">
        <v>0</v>
      </c>
      <c r="H25" s="80">
        <v>0</v>
      </c>
      <c r="I25" s="80">
        <v>0</v>
      </c>
      <c r="J25" s="80">
        <v>0</v>
      </c>
      <c r="K25" s="80">
        <v>0</v>
      </c>
      <c r="L25" s="80">
        <v>0</v>
      </c>
      <c r="M25" s="80">
        <v>0</v>
      </c>
      <c r="N25" s="80">
        <v>0</v>
      </c>
      <c r="O25" s="80">
        <v>0</v>
      </c>
      <c r="P25" s="80">
        <v>0</v>
      </c>
      <c r="Q25" s="80">
        <v>0</v>
      </c>
      <c r="R25" s="80">
        <v>0</v>
      </c>
      <c r="S25" s="81">
        <v>0</v>
      </c>
      <c r="T25" s="80">
        <v>0</v>
      </c>
      <c r="U25" s="81">
        <v>0</v>
      </c>
      <c r="V25" s="81">
        <v>0</v>
      </c>
      <c r="W25" s="81">
        <v>0</v>
      </c>
      <c r="X25" s="81">
        <v>0</v>
      </c>
      <c r="Y25" s="81">
        <v>0</v>
      </c>
      <c r="Z25" s="80">
        <v>0</v>
      </c>
      <c r="AA25" s="80">
        <v>0</v>
      </c>
      <c r="AB25" s="80">
        <v>0</v>
      </c>
      <c r="AC25" s="80">
        <v>0</v>
      </c>
      <c r="AD25" s="80">
        <v>0</v>
      </c>
      <c r="AE25" s="80">
        <v>0</v>
      </c>
      <c r="AF25" s="80">
        <v>0</v>
      </c>
      <c r="AG25" s="81">
        <v>0</v>
      </c>
      <c r="AH25" s="80">
        <v>0</v>
      </c>
    </row>
    <row r="26" spans="1:38" s="12" customFormat="1" ht="15.75" x14ac:dyDescent="0.25">
      <c r="A26" s="47" t="s">
        <v>52</v>
      </c>
      <c r="B26" s="48" t="s">
        <v>53</v>
      </c>
      <c r="C26" s="36"/>
      <c r="D26" s="81">
        <v>0</v>
      </c>
      <c r="E26" s="81">
        <v>0</v>
      </c>
      <c r="F26" s="81">
        <v>0</v>
      </c>
      <c r="G26" s="81">
        <v>0</v>
      </c>
      <c r="H26" s="80">
        <v>0</v>
      </c>
      <c r="I26" s="80">
        <v>0</v>
      </c>
      <c r="J26" s="80">
        <v>0</v>
      </c>
      <c r="K26" s="80">
        <v>0</v>
      </c>
      <c r="L26" s="80">
        <v>0</v>
      </c>
      <c r="M26" s="80">
        <v>0</v>
      </c>
      <c r="N26" s="80">
        <v>0</v>
      </c>
      <c r="O26" s="80">
        <v>0</v>
      </c>
      <c r="P26" s="80">
        <v>0</v>
      </c>
      <c r="Q26" s="80">
        <v>0</v>
      </c>
      <c r="R26" s="80">
        <v>0</v>
      </c>
      <c r="S26" s="81">
        <v>0</v>
      </c>
      <c r="T26" s="80">
        <v>0</v>
      </c>
      <c r="U26" s="81">
        <v>0</v>
      </c>
      <c r="V26" s="81">
        <v>0</v>
      </c>
      <c r="W26" s="81">
        <v>0</v>
      </c>
      <c r="X26" s="81">
        <v>0</v>
      </c>
      <c r="Y26" s="81">
        <v>0</v>
      </c>
      <c r="Z26" s="80">
        <v>0</v>
      </c>
      <c r="AA26" s="80">
        <v>0</v>
      </c>
      <c r="AB26" s="80">
        <v>0</v>
      </c>
      <c r="AC26" s="80">
        <v>0</v>
      </c>
      <c r="AD26" s="80">
        <v>0</v>
      </c>
      <c r="AE26" s="80">
        <v>0</v>
      </c>
      <c r="AF26" s="80">
        <v>0</v>
      </c>
      <c r="AG26" s="81">
        <v>0</v>
      </c>
      <c r="AH26" s="80">
        <v>0</v>
      </c>
    </row>
    <row r="27" spans="1:38" s="12" customFormat="1" ht="15.75" x14ac:dyDescent="0.25">
      <c r="A27" s="47" t="s">
        <v>54</v>
      </c>
      <c r="B27" s="48" t="s">
        <v>55</v>
      </c>
      <c r="C27" s="49"/>
      <c r="D27" s="81">
        <v>0</v>
      </c>
      <c r="E27" s="81">
        <v>0</v>
      </c>
      <c r="F27" s="81">
        <v>0</v>
      </c>
      <c r="G27" s="81">
        <v>0</v>
      </c>
      <c r="H27" s="80">
        <v>0</v>
      </c>
      <c r="I27" s="80">
        <v>0</v>
      </c>
      <c r="J27" s="80">
        <v>0</v>
      </c>
      <c r="K27" s="80">
        <v>0</v>
      </c>
      <c r="L27" s="80">
        <v>0</v>
      </c>
      <c r="M27" s="80">
        <v>0</v>
      </c>
      <c r="N27" s="80">
        <v>0</v>
      </c>
      <c r="O27" s="80">
        <v>0</v>
      </c>
      <c r="P27" s="80">
        <v>0</v>
      </c>
      <c r="Q27" s="80">
        <v>0</v>
      </c>
      <c r="R27" s="80">
        <v>0</v>
      </c>
      <c r="S27" s="81">
        <v>0</v>
      </c>
      <c r="T27" s="80">
        <v>0</v>
      </c>
      <c r="U27" s="81">
        <v>0</v>
      </c>
      <c r="V27" s="81">
        <v>0</v>
      </c>
      <c r="W27" s="81">
        <v>0</v>
      </c>
      <c r="X27" s="81">
        <v>0</v>
      </c>
      <c r="Y27" s="81">
        <v>0</v>
      </c>
      <c r="Z27" s="80">
        <v>0</v>
      </c>
      <c r="AA27" s="80">
        <v>0</v>
      </c>
      <c r="AB27" s="80">
        <v>0</v>
      </c>
      <c r="AC27" s="80">
        <v>0</v>
      </c>
      <c r="AD27" s="80">
        <v>0</v>
      </c>
      <c r="AE27" s="80">
        <v>0</v>
      </c>
      <c r="AF27" s="80">
        <v>0</v>
      </c>
      <c r="AG27" s="81">
        <v>0</v>
      </c>
      <c r="AH27" s="80">
        <v>0</v>
      </c>
    </row>
    <row r="28" spans="1:38" s="12" customFormat="1" ht="16.5" customHeight="1" x14ac:dyDescent="0.2">
      <c r="A28" s="55"/>
      <c r="B28" s="66"/>
      <c r="C28" s="56"/>
      <c r="D28" s="102"/>
      <c r="E28" s="102"/>
      <c r="F28" s="102"/>
      <c r="G28" s="102"/>
      <c r="H28" s="102"/>
      <c r="I28" s="102"/>
      <c r="J28" s="102"/>
      <c r="K28" s="102"/>
      <c r="L28" s="102"/>
      <c r="M28" s="102"/>
      <c r="N28" s="102"/>
      <c r="O28" s="102"/>
      <c r="P28" s="102"/>
      <c r="Q28" s="102"/>
      <c r="R28" s="102"/>
      <c r="S28" s="102"/>
      <c r="T28" s="102"/>
      <c r="U28" s="102"/>
      <c r="V28" s="102"/>
      <c r="W28" s="102"/>
      <c r="X28" s="102"/>
      <c r="Y28" s="102"/>
      <c r="Z28" s="102"/>
      <c r="AA28" s="102"/>
      <c r="AB28" s="102"/>
      <c r="AC28" s="102"/>
      <c r="AD28" s="102"/>
      <c r="AE28" s="102"/>
      <c r="AF28" s="102"/>
      <c r="AG28" s="102"/>
      <c r="AH28" s="65"/>
    </row>
    <row r="29" spans="1:38" s="12" customFormat="1" ht="16.5" customHeight="1" x14ac:dyDescent="0.2">
      <c r="A29" s="85"/>
      <c r="B29" s="87"/>
      <c r="C29" s="78"/>
      <c r="D29" s="105"/>
      <c r="E29" s="105"/>
      <c r="F29" s="105"/>
      <c r="G29" s="105"/>
      <c r="H29" s="105"/>
      <c r="I29" s="105"/>
      <c r="J29" s="105"/>
      <c r="K29" s="105"/>
      <c r="L29" s="105"/>
      <c r="M29" s="105"/>
      <c r="N29" s="105"/>
      <c r="O29" s="105"/>
      <c r="P29" s="105"/>
      <c r="Q29" s="105"/>
      <c r="R29" s="105"/>
      <c r="S29" s="105"/>
      <c r="T29" s="105"/>
      <c r="U29" s="105"/>
      <c r="V29" s="105"/>
      <c r="W29" s="105"/>
      <c r="X29" s="105"/>
      <c r="Y29" s="105"/>
      <c r="Z29" s="105"/>
      <c r="AA29" s="105"/>
      <c r="AB29" s="105"/>
      <c r="AC29" s="105"/>
      <c r="AD29" s="105"/>
      <c r="AE29" s="105"/>
      <c r="AF29" s="105"/>
      <c r="AG29" s="105"/>
      <c r="AH29" s="43"/>
    </row>
    <row r="30" spans="1:38" s="12" customFormat="1" ht="16.5" customHeight="1" x14ac:dyDescent="0.2">
      <c r="A30" s="95" t="s">
        <v>29</v>
      </c>
      <c r="B30" s="98" t="s">
        <v>31</v>
      </c>
      <c r="C30" s="74" t="s">
        <v>32</v>
      </c>
      <c r="D30" s="106" t="s">
        <v>38</v>
      </c>
      <c r="E30" s="107"/>
      <c r="F30" s="107"/>
      <c r="G30" s="107"/>
      <c r="H30" s="107"/>
      <c r="I30" s="107"/>
      <c r="J30" s="107"/>
      <c r="K30" s="107"/>
      <c r="L30" s="107"/>
      <c r="M30" s="107"/>
      <c r="N30" s="107"/>
      <c r="O30" s="107"/>
      <c r="P30" s="107"/>
      <c r="Q30" s="107"/>
      <c r="R30" s="107"/>
      <c r="S30" s="107"/>
      <c r="T30" s="107"/>
      <c r="U30" s="107"/>
      <c r="V30" s="107"/>
      <c r="W30" s="107"/>
      <c r="X30" s="107"/>
      <c r="Y30" s="107"/>
      <c r="Z30" s="107"/>
      <c r="AA30" s="107"/>
      <c r="AB30" s="107"/>
      <c r="AC30" s="107"/>
      <c r="AD30" s="107"/>
      <c r="AE30" s="107"/>
      <c r="AF30" s="107"/>
      <c r="AG30" s="108"/>
      <c r="AH30" s="43"/>
    </row>
    <row r="31" spans="1:38" s="12" customFormat="1" ht="16.5" customHeight="1" x14ac:dyDescent="0.2">
      <c r="A31" s="96"/>
      <c r="B31" s="99"/>
      <c r="C31" s="69" t="s">
        <v>33</v>
      </c>
      <c r="D31" s="106" t="s">
        <v>38</v>
      </c>
      <c r="E31" s="107"/>
      <c r="F31" s="107"/>
      <c r="G31" s="107"/>
      <c r="H31" s="107"/>
      <c r="I31" s="107"/>
      <c r="J31" s="107"/>
      <c r="K31" s="107"/>
      <c r="L31" s="107"/>
      <c r="M31" s="107"/>
      <c r="N31" s="107"/>
      <c r="O31" s="107"/>
      <c r="P31" s="107"/>
      <c r="Q31" s="107"/>
      <c r="R31" s="107"/>
      <c r="S31" s="107"/>
      <c r="T31" s="107"/>
      <c r="U31" s="107"/>
      <c r="V31" s="107"/>
      <c r="W31" s="107"/>
      <c r="X31" s="107"/>
      <c r="Y31" s="107"/>
      <c r="Z31" s="107"/>
      <c r="AA31" s="107"/>
      <c r="AB31" s="107"/>
      <c r="AC31" s="107"/>
      <c r="AD31" s="107"/>
      <c r="AE31" s="107"/>
      <c r="AF31" s="107"/>
      <c r="AG31" s="108"/>
      <c r="AH31" s="43"/>
    </row>
    <row r="32" spans="1:38" s="12" customFormat="1" ht="16.5" customHeight="1" x14ac:dyDescent="0.2">
      <c r="A32" s="96"/>
      <c r="B32" s="99"/>
      <c r="C32" s="74" t="s">
        <v>34</v>
      </c>
      <c r="D32" s="106" t="s">
        <v>38</v>
      </c>
      <c r="E32" s="107"/>
      <c r="F32" s="107"/>
      <c r="G32" s="107"/>
      <c r="H32" s="107"/>
      <c r="I32" s="107"/>
      <c r="J32" s="107"/>
      <c r="K32" s="107"/>
      <c r="L32" s="107"/>
      <c r="M32" s="107"/>
      <c r="N32" s="107"/>
      <c r="O32" s="107"/>
      <c r="P32" s="107"/>
      <c r="Q32" s="107"/>
      <c r="R32" s="107"/>
      <c r="S32" s="107"/>
      <c r="T32" s="107"/>
      <c r="U32" s="107"/>
      <c r="V32" s="107"/>
      <c r="W32" s="107"/>
      <c r="X32" s="107"/>
      <c r="Y32" s="107"/>
      <c r="Z32" s="107"/>
      <c r="AA32" s="107"/>
      <c r="AB32" s="107"/>
      <c r="AC32" s="107"/>
      <c r="AD32" s="107"/>
      <c r="AE32" s="107"/>
      <c r="AF32" s="107"/>
      <c r="AG32" s="108"/>
      <c r="AH32" s="43"/>
    </row>
    <row r="33" spans="1:34" s="12" customFormat="1" ht="15" customHeight="1" x14ac:dyDescent="0.2">
      <c r="A33" s="96"/>
      <c r="B33" s="99"/>
      <c r="C33" s="69" t="s">
        <v>35</v>
      </c>
      <c r="D33" s="106" t="s">
        <v>38</v>
      </c>
      <c r="E33" s="107"/>
      <c r="F33" s="107"/>
      <c r="G33" s="107"/>
      <c r="H33" s="107"/>
      <c r="I33" s="107"/>
      <c r="J33" s="107"/>
      <c r="K33" s="107"/>
      <c r="L33" s="107"/>
      <c r="M33" s="107"/>
      <c r="N33" s="107"/>
      <c r="O33" s="107"/>
      <c r="P33" s="107"/>
      <c r="Q33" s="107"/>
      <c r="R33" s="107"/>
      <c r="S33" s="107"/>
      <c r="T33" s="107"/>
      <c r="U33" s="107"/>
      <c r="V33" s="107"/>
      <c r="W33" s="107"/>
      <c r="X33" s="107"/>
      <c r="Y33" s="107"/>
      <c r="Z33" s="107"/>
      <c r="AA33" s="107"/>
      <c r="AB33" s="107"/>
      <c r="AC33" s="107"/>
      <c r="AD33" s="107"/>
      <c r="AE33" s="107"/>
      <c r="AF33" s="107"/>
      <c r="AG33" s="108"/>
      <c r="AH33" s="43"/>
    </row>
    <row r="34" spans="1:34" s="12" customFormat="1" ht="15" customHeight="1" x14ac:dyDescent="0.2">
      <c r="A34" s="96"/>
      <c r="B34" s="99"/>
      <c r="C34" s="74" t="s">
        <v>36</v>
      </c>
      <c r="D34" s="106" t="s">
        <v>38</v>
      </c>
      <c r="E34" s="107"/>
      <c r="F34" s="107"/>
      <c r="G34" s="107"/>
      <c r="H34" s="107"/>
      <c r="I34" s="107"/>
      <c r="J34" s="107"/>
      <c r="K34" s="107"/>
      <c r="L34" s="107"/>
      <c r="M34" s="107"/>
      <c r="N34" s="107"/>
      <c r="O34" s="107"/>
      <c r="P34" s="107"/>
      <c r="Q34" s="107"/>
      <c r="R34" s="107"/>
      <c r="S34" s="107"/>
      <c r="T34" s="107"/>
      <c r="U34" s="107"/>
      <c r="V34" s="107"/>
      <c r="W34" s="107"/>
      <c r="X34" s="107"/>
      <c r="Y34" s="107"/>
      <c r="Z34" s="107"/>
      <c r="AA34" s="107"/>
      <c r="AB34" s="107"/>
      <c r="AC34" s="107"/>
      <c r="AD34" s="107"/>
      <c r="AE34" s="107"/>
      <c r="AF34" s="107"/>
      <c r="AG34" s="108"/>
      <c r="AH34" s="43"/>
    </row>
    <row r="35" spans="1:34" s="12" customFormat="1" ht="15" customHeight="1" x14ac:dyDescent="0.2">
      <c r="A35" s="96"/>
      <c r="B35" s="99"/>
      <c r="C35" s="74" t="s">
        <v>37</v>
      </c>
      <c r="D35" s="106" t="s">
        <v>38</v>
      </c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7"/>
      <c r="S35" s="107"/>
      <c r="T35" s="107"/>
      <c r="U35" s="107"/>
      <c r="V35" s="107"/>
      <c r="W35" s="107"/>
      <c r="X35" s="107"/>
      <c r="Y35" s="107"/>
      <c r="Z35" s="107"/>
      <c r="AA35" s="107"/>
      <c r="AB35" s="107"/>
      <c r="AC35" s="107"/>
      <c r="AD35" s="107"/>
      <c r="AE35" s="107"/>
      <c r="AF35" s="107"/>
      <c r="AG35" s="108"/>
      <c r="AH35" s="43"/>
    </row>
    <row r="36" spans="1:34" s="12" customFormat="1" ht="15" customHeight="1" x14ac:dyDescent="0.2">
      <c r="A36" s="97"/>
      <c r="B36" s="100"/>
      <c r="C36" s="74"/>
      <c r="D36" s="106"/>
      <c r="E36" s="107"/>
      <c r="F36" s="107"/>
      <c r="G36" s="107"/>
      <c r="H36" s="107"/>
      <c r="I36" s="107"/>
      <c r="J36" s="107"/>
      <c r="K36" s="107"/>
      <c r="L36" s="107"/>
      <c r="M36" s="107"/>
      <c r="N36" s="107"/>
      <c r="O36" s="107"/>
      <c r="P36" s="107"/>
      <c r="Q36" s="107"/>
      <c r="R36" s="107"/>
      <c r="S36" s="107"/>
      <c r="T36" s="107"/>
      <c r="U36" s="107"/>
      <c r="V36" s="107"/>
      <c r="W36" s="107"/>
      <c r="X36" s="107"/>
      <c r="Y36" s="107"/>
      <c r="Z36" s="107"/>
      <c r="AA36" s="107"/>
      <c r="AB36" s="107"/>
      <c r="AC36" s="107"/>
      <c r="AD36" s="107"/>
      <c r="AE36" s="107"/>
      <c r="AF36" s="107"/>
      <c r="AG36" s="108"/>
      <c r="AH36" s="43"/>
    </row>
    <row r="37" spans="1:34" s="12" customFormat="1" ht="15" x14ac:dyDescent="0.2">
      <c r="A37" s="77"/>
      <c r="B37" s="77"/>
      <c r="C37" s="78"/>
      <c r="D37" s="79"/>
      <c r="E37" s="79"/>
      <c r="F37" s="79"/>
      <c r="G37" s="79"/>
      <c r="H37" s="79"/>
      <c r="I37" s="79"/>
      <c r="J37" s="79"/>
      <c r="K37" s="79"/>
      <c r="L37" s="79"/>
      <c r="M37" s="79"/>
      <c r="N37" s="79"/>
      <c r="O37" s="15"/>
      <c r="AB37" s="31"/>
    </row>
    <row r="38" spans="1:34" s="12" customFormat="1" ht="15" x14ac:dyDescent="0.2">
      <c r="A38" s="13"/>
      <c r="B38" s="42"/>
      <c r="C38" s="43"/>
      <c r="D38" s="44"/>
      <c r="E38" s="44"/>
      <c r="F38" s="44"/>
      <c r="G38" s="44"/>
      <c r="H38" s="44"/>
      <c r="I38" s="44"/>
      <c r="J38" s="44"/>
      <c r="K38" s="44"/>
      <c r="L38" s="44"/>
      <c r="M38" s="44"/>
      <c r="N38" s="44"/>
      <c r="O38" s="15"/>
      <c r="AB38" s="31"/>
    </row>
    <row r="39" spans="1:34" s="12" customFormat="1" x14ac:dyDescent="0.2">
      <c r="A39" s="13"/>
      <c r="D39" s="75"/>
      <c r="E39" s="15"/>
      <c r="F39" s="15"/>
      <c r="G39" s="15"/>
      <c r="H39" s="15"/>
      <c r="I39" s="15"/>
      <c r="J39" s="15"/>
      <c r="K39" s="15"/>
      <c r="L39" s="15"/>
      <c r="M39" s="15"/>
      <c r="N39" s="15"/>
      <c r="O39" s="15"/>
      <c r="AB39" s="31"/>
    </row>
    <row r="40" spans="1:34" s="12" customFormat="1" x14ac:dyDescent="0.2">
      <c r="A40" s="23" t="s">
        <v>12</v>
      </c>
      <c r="D40" s="14"/>
      <c r="E40" s="15"/>
      <c r="F40" s="15"/>
      <c r="G40" s="15"/>
      <c r="H40" s="15"/>
      <c r="I40" s="15"/>
      <c r="J40" s="15"/>
      <c r="K40" s="57"/>
      <c r="L40" s="57"/>
      <c r="M40" s="15"/>
      <c r="O40" s="15"/>
      <c r="AB40" s="31"/>
    </row>
    <row r="41" spans="1:34" s="12" customFormat="1" x14ac:dyDescent="0.2">
      <c r="A41" s="93" t="s">
        <v>2</v>
      </c>
      <c r="B41" s="93" t="s">
        <v>9</v>
      </c>
      <c r="C41" s="93" t="s">
        <v>1</v>
      </c>
      <c r="D41" s="103" t="s">
        <v>7</v>
      </c>
      <c r="E41" s="104"/>
      <c r="F41" s="15"/>
      <c r="G41" s="15"/>
      <c r="H41" s="15"/>
      <c r="I41" s="15"/>
      <c r="J41" s="15"/>
      <c r="K41" s="58"/>
      <c r="L41" s="58"/>
      <c r="M41" s="15"/>
      <c r="O41" s="15"/>
      <c r="AB41" s="31"/>
    </row>
    <row r="42" spans="1:34" s="12" customFormat="1" x14ac:dyDescent="0.2">
      <c r="A42" s="94"/>
      <c r="B42" s="94"/>
      <c r="C42" s="94"/>
      <c r="D42" s="27" t="s">
        <v>10</v>
      </c>
      <c r="E42" s="22" t="s">
        <v>11</v>
      </c>
      <c r="F42" s="15"/>
      <c r="G42" s="15"/>
      <c r="H42" s="15"/>
      <c r="I42" s="15"/>
      <c r="J42" s="15"/>
      <c r="K42" s="15"/>
      <c r="L42" s="15"/>
      <c r="M42" s="15"/>
      <c r="O42" s="15"/>
      <c r="AB42" s="31"/>
    </row>
    <row r="43" spans="1:34" s="12" customFormat="1" ht="15.75" x14ac:dyDescent="0.25">
      <c r="A43" s="40" t="s">
        <v>26</v>
      </c>
      <c r="B43" s="32" t="s">
        <v>56</v>
      </c>
      <c r="C43" s="37">
        <f t="shared" ref="C43:C51" si="0">1-(((D43*3600)+(LEFT(E43,2)*60)+RIGHT(E43,2))/((60*60*24)*$C$8))</f>
        <v>1</v>
      </c>
      <c r="D43" s="20" t="str">
        <f>TEXT(SUM(D13:AH13),"[h]")</f>
        <v>0</v>
      </c>
      <c r="E43" s="20" t="str">
        <f>TEXT(SUM(D13:AH13),"mm ss")</f>
        <v>00 00</v>
      </c>
      <c r="F43" s="15"/>
      <c r="G43" s="21"/>
      <c r="H43" s="15"/>
      <c r="I43" s="15"/>
      <c r="J43" s="15"/>
      <c r="K43" s="15"/>
      <c r="L43" s="15"/>
      <c r="M43" s="15"/>
      <c r="O43" s="15"/>
      <c r="AB43" s="31"/>
    </row>
    <row r="44" spans="1:34" s="12" customFormat="1" ht="15.75" x14ac:dyDescent="0.25">
      <c r="A44" s="40" t="s">
        <v>17</v>
      </c>
      <c r="B44" s="32" t="s">
        <v>40</v>
      </c>
      <c r="C44" s="37">
        <f t="shared" si="0"/>
        <v>1</v>
      </c>
      <c r="D44" s="20" t="str">
        <f>TEXT(SUM(D14:AG14),"[h]")</f>
        <v>0</v>
      </c>
      <c r="E44" s="20" t="str">
        <f>TEXT(SUM(D14:AG14),"mm ss")</f>
        <v>00 00</v>
      </c>
      <c r="F44" s="101"/>
      <c r="G44" s="101"/>
      <c r="H44" s="101"/>
      <c r="I44" s="101"/>
      <c r="J44" s="101"/>
      <c r="K44" s="101"/>
      <c r="L44" s="101"/>
      <c r="M44" s="101"/>
      <c r="N44" s="101"/>
      <c r="O44" s="15"/>
    </row>
    <row r="45" spans="1:34" s="12" customFormat="1" ht="15.75" x14ac:dyDescent="0.25">
      <c r="A45" s="40" t="s">
        <v>18</v>
      </c>
      <c r="B45" s="32" t="s">
        <v>41</v>
      </c>
      <c r="C45" s="37">
        <f t="shared" si="0"/>
        <v>1</v>
      </c>
      <c r="D45" s="20" t="str">
        <f>TEXT(SUM(D15:AG15),"[h]")</f>
        <v>0</v>
      </c>
      <c r="E45" s="20" t="str">
        <f t="shared" ref="E45" si="1">TEXT(SUM(D15:AG15),"mm ss")</f>
        <v>00 00</v>
      </c>
      <c r="F45" s="15"/>
      <c r="G45" s="21"/>
      <c r="H45" s="67"/>
      <c r="I45" s="15"/>
      <c r="J45" s="15"/>
      <c r="K45" s="15"/>
      <c r="L45" s="15"/>
      <c r="M45" s="15"/>
      <c r="O45" s="15"/>
    </row>
    <row r="46" spans="1:34" s="12" customFormat="1" ht="15.75" x14ac:dyDescent="0.25">
      <c r="A46" s="40" t="s">
        <v>19</v>
      </c>
      <c r="B46" s="32" t="s">
        <v>42</v>
      </c>
      <c r="C46" s="37">
        <f t="shared" si="0"/>
        <v>0.99693697729988051</v>
      </c>
      <c r="D46" s="20" t="str">
        <f t="shared" ref="D46" si="2">TEXT(SUM(D16:AG16),"[h]")</f>
        <v>2</v>
      </c>
      <c r="E46" s="20" t="str">
        <f t="shared" ref="E46:E53" si="3">TEXT(SUM(D16:AG16),"mm ss")</f>
        <v>16 44</v>
      </c>
      <c r="F46" s="15"/>
      <c r="G46" s="21"/>
      <c r="H46" s="15"/>
      <c r="I46" s="15"/>
      <c r="J46" s="15"/>
      <c r="K46" s="15"/>
      <c r="L46" s="15"/>
      <c r="M46" s="15"/>
      <c r="O46" s="15"/>
    </row>
    <row r="47" spans="1:34" s="12" customFormat="1" ht="15.75" x14ac:dyDescent="0.25">
      <c r="A47" s="40" t="s">
        <v>20</v>
      </c>
      <c r="B47" s="32" t="s">
        <v>43</v>
      </c>
      <c r="C47" s="37">
        <f t="shared" si="0"/>
        <v>1</v>
      </c>
      <c r="D47" s="20" t="str">
        <f t="shared" ref="D47:D53" si="4">TEXT(SUM(D17:AG17),"[h]")</f>
        <v>0</v>
      </c>
      <c r="E47" s="20" t="str">
        <f t="shared" si="3"/>
        <v>00 00</v>
      </c>
      <c r="F47" s="15"/>
      <c r="G47" s="21"/>
      <c r="H47" s="15"/>
      <c r="I47" s="15"/>
      <c r="J47" s="15"/>
      <c r="K47" s="15"/>
      <c r="L47" s="15"/>
      <c r="M47" s="15"/>
      <c r="O47" s="15"/>
    </row>
    <row r="48" spans="1:34" s="12" customFormat="1" ht="15.75" x14ac:dyDescent="0.25">
      <c r="A48" s="40" t="s">
        <v>21</v>
      </c>
      <c r="B48" s="32" t="s">
        <v>44</v>
      </c>
      <c r="C48" s="37">
        <f t="shared" si="0"/>
        <v>1</v>
      </c>
      <c r="D48" s="20" t="str">
        <f t="shared" si="4"/>
        <v>0</v>
      </c>
      <c r="E48" s="20" t="str">
        <f t="shared" si="3"/>
        <v>00 00</v>
      </c>
      <c r="F48" s="15"/>
      <c r="G48" s="21"/>
      <c r="H48" s="15"/>
      <c r="I48" s="15"/>
      <c r="J48" s="68"/>
      <c r="K48" s="15"/>
      <c r="L48" s="15"/>
      <c r="M48" s="15"/>
      <c r="O48" s="15"/>
    </row>
    <row r="49" spans="1:34" s="12" customFormat="1" ht="15.75" x14ac:dyDescent="0.25">
      <c r="A49" s="40" t="s">
        <v>22</v>
      </c>
      <c r="B49" s="32" t="s">
        <v>45</v>
      </c>
      <c r="C49" s="37">
        <f t="shared" si="0"/>
        <v>1</v>
      </c>
      <c r="D49" s="20" t="str">
        <f t="shared" si="4"/>
        <v>0</v>
      </c>
      <c r="E49" s="20" t="str">
        <f t="shared" si="3"/>
        <v>00 00</v>
      </c>
      <c r="F49" s="15"/>
      <c r="G49" s="21"/>
      <c r="H49" s="15"/>
      <c r="I49" s="15"/>
      <c r="J49" s="15"/>
      <c r="K49" s="15"/>
      <c r="L49" s="15"/>
      <c r="M49" s="15"/>
      <c r="N49" s="15"/>
      <c r="O49" s="15"/>
    </row>
    <row r="50" spans="1:34" s="16" customFormat="1" ht="15.75" x14ac:dyDescent="0.25">
      <c r="A50" s="40" t="s">
        <v>23</v>
      </c>
      <c r="B50" s="32" t="s">
        <v>46</v>
      </c>
      <c r="C50" s="37">
        <f t="shared" si="0"/>
        <v>1</v>
      </c>
      <c r="D50" s="20" t="str">
        <f t="shared" si="4"/>
        <v>0</v>
      </c>
      <c r="E50" s="20" t="str">
        <f t="shared" si="3"/>
        <v>00 00</v>
      </c>
      <c r="F50" s="15"/>
      <c r="G50" s="21"/>
      <c r="H50" s="15"/>
      <c r="I50" s="15"/>
      <c r="J50" s="15"/>
      <c r="K50" s="15"/>
      <c r="L50" s="15"/>
      <c r="M50" s="15"/>
      <c r="N50" s="15"/>
      <c r="O50" s="60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</row>
    <row r="51" spans="1:34" ht="15.75" x14ac:dyDescent="0.25">
      <c r="A51" s="40" t="s">
        <v>24</v>
      </c>
      <c r="B51" s="32" t="s">
        <v>47</v>
      </c>
      <c r="C51" s="37">
        <f t="shared" si="0"/>
        <v>1</v>
      </c>
      <c r="D51" s="20" t="str">
        <f t="shared" si="4"/>
        <v>0</v>
      </c>
      <c r="E51" s="20" t="str">
        <f t="shared" si="3"/>
        <v>00 00</v>
      </c>
      <c r="F51" s="15"/>
      <c r="G51" s="21"/>
      <c r="H51" s="15"/>
      <c r="I51" s="15"/>
      <c r="J51" s="15"/>
      <c r="K51" s="15"/>
      <c r="L51" s="15"/>
      <c r="M51" s="15"/>
      <c r="N51" s="15"/>
      <c r="O51" s="60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</row>
    <row r="52" spans="1:34" ht="15.75" x14ac:dyDescent="0.25">
      <c r="A52" s="40" t="s">
        <v>25</v>
      </c>
      <c r="B52" s="48" t="s">
        <v>57</v>
      </c>
      <c r="C52" s="33">
        <f>1-(((D52*3600)+(LEFT(E52,2)*60)+RIGHT(E52,2))/((60*60*24)*$C$8))</f>
        <v>1</v>
      </c>
      <c r="D52" s="20" t="str">
        <f t="shared" si="4"/>
        <v>0</v>
      </c>
      <c r="E52" s="20" t="str">
        <f t="shared" si="3"/>
        <v>00 00</v>
      </c>
      <c r="F52" s="15"/>
      <c r="G52" s="21"/>
      <c r="H52" s="15"/>
      <c r="I52" s="15"/>
      <c r="J52" s="15"/>
      <c r="K52" s="15"/>
      <c r="L52" s="15"/>
      <c r="M52" s="15"/>
      <c r="N52" s="15"/>
      <c r="O52" s="60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</row>
    <row r="53" spans="1:34" ht="15.75" x14ac:dyDescent="0.25">
      <c r="A53" s="40" t="s">
        <v>27</v>
      </c>
      <c r="B53" s="48" t="s">
        <v>50</v>
      </c>
      <c r="C53" s="33">
        <f t="shared" ref="C53:C54" si="5">1-(((D53*3600)+(LEFT(E53,2)*60)+RIGHT(E53,2))/((60*60*24)*$C$8))</f>
        <v>1</v>
      </c>
      <c r="D53" s="20" t="str">
        <f t="shared" si="4"/>
        <v>0</v>
      </c>
      <c r="E53" s="20" t="str">
        <f t="shared" si="3"/>
        <v>00 00</v>
      </c>
      <c r="F53" s="15"/>
      <c r="G53" s="21"/>
      <c r="H53" s="15"/>
      <c r="I53" s="15"/>
      <c r="J53" s="15"/>
      <c r="K53" s="15"/>
      <c r="L53" s="15"/>
      <c r="M53" s="15"/>
      <c r="N53" s="15"/>
      <c r="O53" s="60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</row>
    <row r="54" spans="1:34" ht="15.75" x14ac:dyDescent="0.25">
      <c r="A54" s="40" t="s">
        <v>28</v>
      </c>
      <c r="B54" s="48" t="s">
        <v>48</v>
      </c>
      <c r="C54" s="33">
        <f t="shared" si="5"/>
        <v>1</v>
      </c>
      <c r="D54" s="20" t="str">
        <f>TEXT(SUM(D24:AH24),"[h]")</f>
        <v>0</v>
      </c>
      <c r="E54" s="20" t="str">
        <f>TEXT(SUM(D24:AH24),"mm ss")</f>
        <v>00 00</v>
      </c>
      <c r="F54" s="15"/>
      <c r="G54" s="21"/>
      <c r="H54" s="15"/>
      <c r="I54" s="15"/>
      <c r="J54" s="15"/>
      <c r="K54" s="15"/>
      <c r="L54" s="15"/>
      <c r="M54" s="15"/>
      <c r="N54" s="15"/>
      <c r="O54" s="61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  <c r="AA54" s="18"/>
      <c r="AB54" s="18"/>
      <c r="AC54" s="18"/>
      <c r="AD54" s="18"/>
      <c r="AE54" s="18"/>
      <c r="AF54" s="18"/>
      <c r="AG54" s="16"/>
      <c r="AH54" s="16"/>
    </row>
    <row r="55" spans="1:34" ht="15.75" x14ac:dyDescent="0.25">
      <c r="A55" s="40" t="s">
        <v>29</v>
      </c>
      <c r="B55" s="48" t="s">
        <v>58</v>
      </c>
      <c r="C55" s="33">
        <v>1</v>
      </c>
      <c r="D55" s="20" t="str">
        <f>TEXT(SUM(D25:AH25),"[h]")</f>
        <v>0</v>
      </c>
      <c r="E55" s="20" t="str">
        <f>TEXT(SUM(D25:AH25),"mm ss")</f>
        <v>00 00</v>
      </c>
      <c r="F55" s="15"/>
      <c r="G55" s="21"/>
      <c r="H55" s="15"/>
      <c r="I55" s="15"/>
      <c r="J55" s="15"/>
      <c r="K55" s="15"/>
      <c r="L55" s="15"/>
      <c r="M55" s="15"/>
      <c r="N55" s="15"/>
      <c r="O55" s="61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  <c r="AA55" s="18"/>
      <c r="AB55" s="18"/>
      <c r="AC55" s="18"/>
      <c r="AD55" s="18"/>
      <c r="AE55" s="18"/>
      <c r="AF55" s="18"/>
      <c r="AG55" s="16"/>
      <c r="AH55" s="16"/>
    </row>
    <row r="56" spans="1:34" ht="15.75" x14ac:dyDescent="0.25">
      <c r="A56" s="40" t="s">
        <v>52</v>
      </c>
      <c r="B56" s="48" t="s">
        <v>53</v>
      </c>
      <c r="C56" s="33">
        <v>1</v>
      </c>
      <c r="D56" s="20" t="str">
        <f>TEXT(SUM(D26:AH26),"[h]")</f>
        <v>0</v>
      </c>
      <c r="E56" s="20" t="str">
        <f>TEXT(SUM(D26:AH26),"mm ss")</f>
        <v>00 00</v>
      </c>
      <c r="F56" s="15"/>
      <c r="G56" s="21"/>
      <c r="H56" s="15"/>
      <c r="I56" s="15"/>
      <c r="J56" s="15"/>
      <c r="K56" s="15"/>
      <c r="L56" s="15"/>
      <c r="M56" s="15"/>
      <c r="N56" s="15"/>
      <c r="O56" s="61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  <c r="AA56" s="18"/>
      <c r="AB56" s="18"/>
      <c r="AC56" s="18"/>
      <c r="AD56" s="18"/>
      <c r="AE56" s="18"/>
      <c r="AF56" s="18"/>
      <c r="AG56" s="16"/>
      <c r="AH56" s="16"/>
    </row>
    <row r="57" spans="1:34" ht="15.75" x14ac:dyDescent="0.25">
      <c r="A57" s="40" t="s">
        <v>54</v>
      </c>
      <c r="B57" s="48" t="s">
        <v>55</v>
      </c>
      <c r="C57" s="33">
        <v>1</v>
      </c>
      <c r="D57" s="20" t="str">
        <f>TEXT(SUM(D27:AH27),"[h]")</f>
        <v>0</v>
      </c>
      <c r="E57" s="20" t="str">
        <f>TEXT(SUM(D27:AH27),"mm ss")</f>
        <v>00 00</v>
      </c>
      <c r="F57" s="15"/>
      <c r="G57" s="21"/>
      <c r="H57" s="15"/>
      <c r="I57" s="15"/>
      <c r="J57" s="15"/>
      <c r="K57" s="15"/>
      <c r="L57" s="15"/>
      <c r="M57" s="15"/>
      <c r="N57" s="15"/>
      <c r="O57" s="61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  <c r="AA57" s="18"/>
      <c r="AB57" s="18"/>
      <c r="AC57" s="18"/>
      <c r="AD57" s="18"/>
      <c r="AE57" s="18"/>
      <c r="AF57" s="18"/>
      <c r="AG57" s="16"/>
      <c r="AH57" s="16"/>
    </row>
    <row r="58" spans="1:34" ht="15.75" x14ac:dyDescent="0.25">
      <c r="A58" s="59"/>
      <c r="B58" s="32"/>
      <c r="C58" s="33"/>
      <c r="D58" s="20"/>
      <c r="E58" s="20"/>
      <c r="F58" s="15"/>
      <c r="G58" s="21"/>
      <c r="H58" s="15"/>
      <c r="I58" s="15"/>
      <c r="J58" s="15"/>
      <c r="K58" s="15"/>
      <c r="L58" s="60"/>
      <c r="M58" s="60"/>
      <c r="N58" s="60"/>
      <c r="O58" s="62"/>
    </row>
    <row r="59" spans="1:34" ht="15.75" x14ac:dyDescent="0.25">
      <c r="A59" s="50"/>
      <c r="B59" s="51"/>
      <c r="C59" s="52"/>
      <c r="D59" s="53"/>
      <c r="E59" s="53"/>
      <c r="F59" s="15"/>
      <c r="G59" s="21"/>
      <c r="H59" s="15"/>
      <c r="I59" s="15"/>
      <c r="J59" s="15"/>
      <c r="K59" s="15"/>
      <c r="L59" s="60"/>
      <c r="M59" s="60"/>
      <c r="N59" s="60"/>
      <c r="O59" s="62"/>
    </row>
    <row r="60" spans="1:34" x14ac:dyDescent="0.2">
      <c r="A60" s="13"/>
      <c r="B60" s="12"/>
      <c r="C60" s="26"/>
      <c r="D60" s="25"/>
      <c r="E60" s="15"/>
      <c r="F60" s="15"/>
      <c r="G60" s="15"/>
      <c r="H60" s="15"/>
      <c r="I60" s="15"/>
      <c r="J60" s="15"/>
      <c r="K60" s="15"/>
      <c r="L60" s="60"/>
      <c r="M60" s="60"/>
      <c r="N60" s="60"/>
      <c r="O60" s="62"/>
    </row>
    <row r="61" spans="1:34" x14ac:dyDescent="0.2">
      <c r="A61" s="13"/>
      <c r="B61" s="12"/>
      <c r="C61" s="12"/>
      <c r="D61" s="14"/>
      <c r="E61" s="15"/>
      <c r="F61" s="15"/>
      <c r="G61" s="15"/>
      <c r="H61" s="15"/>
      <c r="I61" s="15"/>
      <c r="J61" s="15"/>
      <c r="K61" s="15"/>
      <c r="L61" s="60"/>
      <c r="M61" s="60"/>
      <c r="N61" s="60"/>
      <c r="O61" s="62"/>
    </row>
    <row r="62" spans="1:34" x14ac:dyDescent="0.2">
      <c r="A62" s="14"/>
      <c r="B62" s="24" t="s">
        <v>13</v>
      </c>
      <c r="C62" s="19"/>
      <c r="D62" s="18"/>
      <c r="E62" s="18"/>
      <c r="F62" s="18"/>
      <c r="G62" s="18"/>
      <c r="H62" s="18"/>
      <c r="I62" s="18"/>
      <c r="J62" s="18"/>
      <c r="K62" s="18"/>
      <c r="L62" s="61"/>
      <c r="M62" s="61"/>
      <c r="N62" s="61"/>
      <c r="O62" s="62"/>
    </row>
    <row r="63" spans="1:34" x14ac:dyDescent="0.2">
      <c r="A63"/>
      <c r="B63" s="12" t="s">
        <v>16</v>
      </c>
      <c r="C63" s="27">
        <f>(SUM(C43:C57))/(100%*15)</f>
        <v>0.99979579848665867</v>
      </c>
      <c r="G63" s="38"/>
      <c r="L63" s="62"/>
      <c r="M63" s="62"/>
      <c r="N63" s="62"/>
      <c r="O63" s="62"/>
    </row>
    <row r="64" spans="1:34" x14ac:dyDescent="0.2">
      <c r="C64" s="71"/>
      <c r="L64" s="62"/>
      <c r="M64" s="62"/>
      <c r="N64" s="62"/>
    </row>
    <row r="65" spans="1:32" x14ac:dyDescent="0.2">
      <c r="B65" s="83"/>
      <c r="C65" s="71"/>
      <c r="L65" s="62"/>
      <c r="M65" s="62"/>
      <c r="N65" s="62"/>
      <c r="P65" s="30"/>
      <c r="Q65" s="30"/>
      <c r="R65" s="30"/>
      <c r="S65" s="30"/>
      <c r="T65" s="30"/>
      <c r="U65" s="30"/>
      <c r="V65" s="30"/>
      <c r="W65" s="30"/>
      <c r="X65" s="30"/>
      <c r="Y65" s="30"/>
      <c r="Z65" s="30"/>
      <c r="AA65" s="30"/>
      <c r="AB65" s="30"/>
      <c r="AC65" s="30"/>
      <c r="AD65" s="30"/>
      <c r="AE65" s="30"/>
      <c r="AF65" s="30"/>
    </row>
    <row r="66" spans="1:32" x14ac:dyDescent="0.2">
      <c r="B66" s="84"/>
      <c r="C66" s="71"/>
      <c r="L66" s="62"/>
      <c r="M66" s="62"/>
      <c r="N66" s="62"/>
    </row>
    <row r="67" spans="1:32" x14ac:dyDescent="0.2">
      <c r="B67" s="84"/>
      <c r="C67" s="71"/>
      <c r="L67" s="62"/>
      <c r="M67" s="62"/>
      <c r="N67" s="62"/>
    </row>
    <row r="68" spans="1:32" x14ac:dyDescent="0.2">
      <c r="B68" s="12"/>
      <c r="C68" s="71"/>
      <c r="L68" s="62"/>
      <c r="M68" s="62"/>
      <c r="N68" s="62"/>
    </row>
    <row r="69" spans="1:32" x14ac:dyDescent="0.2">
      <c r="B69" s="82"/>
      <c r="C69" s="71"/>
      <c r="D69" s="73"/>
      <c r="E69" s="72"/>
    </row>
    <row r="70" spans="1:32" x14ac:dyDescent="0.2">
      <c r="A70"/>
      <c r="B70" s="82"/>
      <c r="C70" s="71"/>
      <c r="D70" s="73"/>
    </row>
    <row r="71" spans="1:32" x14ac:dyDescent="0.2">
      <c r="B71" s="82"/>
      <c r="C71" s="71"/>
      <c r="D71" s="73"/>
    </row>
    <row r="72" spans="1:32" x14ac:dyDescent="0.2">
      <c r="B72" s="82"/>
      <c r="C72" s="71"/>
      <c r="D72" s="73"/>
    </row>
    <row r="73" spans="1:32" x14ac:dyDescent="0.2">
      <c r="B73" s="82"/>
      <c r="C73" s="71"/>
      <c r="D73" s="73"/>
      <c r="O73" s="29"/>
      <c r="P73" s="28"/>
      <c r="Q73" s="28"/>
      <c r="R73" s="28"/>
      <c r="S73" s="28"/>
      <c r="T73" s="28"/>
      <c r="U73" s="28"/>
      <c r="V73" s="28"/>
      <c r="W73" s="28"/>
      <c r="X73" s="28"/>
      <c r="Y73" s="28"/>
      <c r="Z73" s="28"/>
      <c r="AA73" s="28"/>
      <c r="AB73" s="28"/>
      <c r="AC73" s="28"/>
      <c r="AD73" s="28"/>
      <c r="AE73" s="28"/>
      <c r="AF73" s="28"/>
    </row>
    <row r="74" spans="1:32" x14ac:dyDescent="0.2">
      <c r="B74" s="71"/>
      <c r="C74" s="71"/>
      <c r="O74" s="29"/>
      <c r="P74" s="28"/>
      <c r="Q74" s="28"/>
      <c r="R74" s="28"/>
      <c r="S74" s="28"/>
      <c r="T74" s="28"/>
      <c r="U74" s="28"/>
      <c r="V74" s="28"/>
      <c r="W74" s="28"/>
      <c r="X74" s="28"/>
      <c r="Y74" s="28"/>
      <c r="Z74" s="28"/>
      <c r="AA74" s="28"/>
      <c r="AB74" s="28"/>
      <c r="AC74" s="28"/>
      <c r="AD74" s="28"/>
      <c r="AE74" s="28"/>
      <c r="AF74" s="28"/>
    </row>
    <row r="75" spans="1:32" x14ac:dyDescent="0.2">
      <c r="B75" s="82"/>
      <c r="C75" s="71"/>
      <c r="O75" s="29"/>
      <c r="P75" s="28"/>
      <c r="Q75" s="28"/>
      <c r="R75" s="28"/>
      <c r="S75" s="28"/>
      <c r="T75" s="28"/>
      <c r="U75" s="28"/>
      <c r="V75" s="28"/>
      <c r="W75" s="28"/>
      <c r="X75" s="28"/>
      <c r="Y75" s="28"/>
      <c r="Z75" s="28"/>
      <c r="AA75" s="28"/>
      <c r="AB75" s="28"/>
      <c r="AC75" s="28"/>
      <c r="AD75" s="28"/>
      <c r="AE75" s="28"/>
      <c r="AF75" s="28"/>
    </row>
    <row r="76" spans="1:32" x14ac:dyDescent="0.2">
      <c r="B76" s="82"/>
      <c r="C76" s="71"/>
      <c r="O76" s="29"/>
      <c r="P76" s="28"/>
      <c r="Q76" s="28"/>
      <c r="R76" s="28"/>
      <c r="S76" s="28"/>
      <c r="T76" s="28"/>
      <c r="U76" s="28"/>
      <c r="V76" s="28"/>
      <c r="W76" s="28"/>
      <c r="X76" s="28"/>
      <c r="Y76" s="28"/>
      <c r="Z76" s="28"/>
      <c r="AA76" s="28"/>
      <c r="AB76" s="28"/>
      <c r="AC76" s="28"/>
      <c r="AD76" s="28"/>
      <c r="AE76" s="28"/>
      <c r="AF76" s="28"/>
    </row>
    <row r="77" spans="1:32" x14ac:dyDescent="0.2">
      <c r="B77" s="82"/>
      <c r="C77" s="71"/>
    </row>
    <row r="78" spans="1:32" x14ac:dyDescent="0.2">
      <c r="A78"/>
      <c r="B78" s="82"/>
      <c r="C78" s="71"/>
      <c r="E78" s="28"/>
      <c r="F78" s="29"/>
      <c r="G78" s="29"/>
      <c r="H78" s="29"/>
      <c r="I78" s="29"/>
      <c r="J78" s="29"/>
      <c r="K78" s="29"/>
      <c r="L78" s="29"/>
      <c r="M78" s="29"/>
      <c r="N78" s="29"/>
    </row>
    <row r="79" spans="1:32" x14ac:dyDescent="0.2">
      <c r="A79"/>
      <c r="B79" s="82"/>
      <c r="C79" s="71"/>
      <c r="E79" s="28"/>
      <c r="F79" s="29"/>
      <c r="G79" s="29"/>
      <c r="H79" s="29"/>
      <c r="I79" s="29"/>
      <c r="J79" s="29"/>
      <c r="K79" s="29"/>
      <c r="L79" s="29"/>
      <c r="M79" s="29"/>
      <c r="N79" s="29"/>
    </row>
    <row r="80" spans="1:32" x14ac:dyDescent="0.2">
      <c r="A80"/>
      <c r="B80" s="82"/>
      <c r="C80" s="71"/>
      <c r="E80" s="28"/>
      <c r="F80" s="29"/>
      <c r="G80" s="29"/>
      <c r="H80" s="29"/>
      <c r="I80" s="29"/>
      <c r="J80" s="29"/>
      <c r="K80" s="29"/>
      <c r="L80" s="29"/>
      <c r="M80" s="29"/>
      <c r="N80" s="29"/>
    </row>
    <row r="81" spans="1:14" x14ac:dyDescent="0.2">
      <c r="A81"/>
      <c r="B81" s="82"/>
      <c r="C81" s="71"/>
      <c r="D81"/>
      <c r="E81" s="28"/>
      <c r="F81" s="29"/>
      <c r="G81" s="29"/>
      <c r="H81" s="29"/>
      <c r="I81" s="29"/>
      <c r="J81" s="29"/>
      <c r="K81" s="29"/>
      <c r="L81" s="29"/>
      <c r="M81" s="29"/>
      <c r="N81" s="29"/>
    </row>
    <row r="82" spans="1:14" x14ac:dyDescent="0.2">
      <c r="B82" s="76"/>
    </row>
  </sheetData>
  <mergeCells count="19">
    <mergeCell ref="F44:N44"/>
    <mergeCell ref="D28:AG28"/>
    <mergeCell ref="D41:E41"/>
    <mergeCell ref="D29:AG29"/>
    <mergeCell ref="D30:AG30"/>
    <mergeCell ref="D31:AG31"/>
    <mergeCell ref="D32:AG32"/>
    <mergeCell ref="D33:AG33"/>
    <mergeCell ref="D34:AG34"/>
    <mergeCell ref="D35:AG35"/>
    <mergeCell ref="D36:AG36"/>
    <mergeCell ref="A10:A11"/>
    <mergeCell ref="B10:B11"/>
    <mergeCell ref="C10:C11"/>
    <mergeCell ref="A41:A42"/>
    <mergeCell ref="B41:B42"/>
    <mergeCell ref="C41:C42"/>
    <mergeCell ref="A30:A36"/>
    <mergeCell ref="B30:B36"/>
  </mergeCells>
  <phoneticPr fontId="9" type="noConversion"/>
  <conditionalFormatting sqref="D15:F15 G21 S21 D13:D19 S17 D18:G18 D17:E17 U17 U21:Y21 W17 D21">
    <cfRule type="cellIs" dxfId="88" priority="323" stopIfTrue="1" operator="greaterThan">
      <formula>0</formula>
    </cfRule>
  </conditionalFormatting>
  <conditionalFormatting sqref="I15:M15">
    <cfRule type="cellIs" dxfId="87" priority="322" stopIfTrue="1" operator="greaterThan">
      <formula>0</formula>
    </cfRule>
  </conditionalFormatting>
  <conditionalFormatting sqref="W18:Y18 O15:S15 S18 AB15:AD15 U18 U15:Z15">
    <cfRule type="cellIs" dxfId="86" priority="321" stopIfTrue="1" operator="greaterThan">
      <formula>0</formula>
    </cfRule>
  </conditionalFormatting>
  <conditionalFormatting sqref="G15">
    <cfRule type="cellIs" dxfId="85" priority="315" stopIfTrue="1" operator="greaterThan">
      <formula>0</formula>
    </cfRule>
  </conditionalFormatting>
  <conditionalFormatting sqref="H15">
    <cfRule type="cellIs" dxfId="84" priority="308" stopIfTrue="1" operator="greaterThan">
      <formula>0</formula>
    </cfRule>
  </conditionalFormatting>
  <conditionalFormatting sqref="V18">
    <cfRule type="cellIs" dxfId="83" priority="302" stopIfTrue="1" operator="greaterThan">
      <formula>0</formula>
    </cfRule>
  </conditionalFormatting>
  <conditionalFormatting sqref="AF15">
    <cfRule type="cellIs" dxfId="82" priority="299" stopIfTrue="1" operator="greaterThan">
      <formula>0</formula>
    </cfRule>
  </conditionalFormatting>
  <conditionalFormatting sqref="D14:F14">
    <cfRule type="cellIs" dxfId="81" priority="293" stopIfTrue="1" operator="greaterThan">
      <formula>0</formula>
    </cfRule>
  </conditionalFormatting>
  <conditionalFormatting sqref="I14:M14">
    <cfRule type="cellIs" dxfId="80" priority="292" stopIfTrue="1" operator="greaterThan">
      <formula>0</formula>
    </cfRule>
  </conditionalFormatting>
  <conditionalFormatting sqref="O14:S14 AB14:AD14 U14:Z14">
    <cfRule type="cellIs" dxfId="79" priority="291" stopIfTrue="1" operator="greaterThan">
      <formula>0</formula>
    </cfRule>
  </conditionalFormatting>
  <conditionalFormatting sqref="G14">
    <cfRule type="cellIs" dxfId="78" priority="290" stopIfTrue="1" operator="greaterThan">
      <formula>0</formula>
    </cfRule>
  </conditionalFormatting>
  <conditionalFormatting sqref="H14">
    <cfRule type="cellIs" dxfId="77" priority="288" stopIfTrue="1" operator="greaterThan">
      <formula>0</formula>
    </cfRule>
  </conditionalFormatting>
  <conditionalFormatting sqref="AF14">
    <cfRule type="cellIs" dxfId="76" priority="287" stopIfTrue="1" operator="greaterThan">
      <formula>0</formula>
    </cfRule>
  </conditionalFormatting>
  <conditionalFormatting sqref="D13:F13">
    <cfRule type="cellIs" dxfId="75" priority="277" stopIfTrue="1" operator="greaterThan">
      <formula>0</formula>
    </cfRule>
  </conditionalFormatting>
  <conditionalFormatting sqref="D16:E16">
    <cfRule type="cellIs" dxfId="74" priority="269" stopIfTrue="1" operator="greaterThan">
      <formula>0</formula>
    </cfRule>
  </conditionalFormatting>
  <conditionalFormatting sqref="I13:M13">
    <cfRule type="cellIs" dxfId="73" priority="276" stopIfTrue="1" operator="greaterThan">
      <formula>0</formula>
    </cfRule>
  </conditionalFormatting>
  <conditionalFormatting sqref="O13:S13 AB13:AD13 U13:Z13">
    <cfRule type="cellIs" dxfId="72" priority="275" stopIfTrue="1" operator="greaterThan">
      <formula>0</formula>
    </cfRule>
  </conditionalFormatting>
  <conditionalFormatting sqref="G13">
    <cfRule type="cellIs" dxfId="71" priority="274" stopIfTrue="1" operator="greaterThan">
      <formula>0</formula>
    </cfRule>
  </conditionalFormatting>
  <conditionalFormatting sqref="H13">
    <cfRule type="cellIs" dxfId="70" priority="272" stopIfTrue="1" operator="greaterThan">
      <formula>0</formula>
    </cfRule>
  </conditionalFormatting>
  <conditionalFormatting sqref="AF13">
    <cfRule type="cellIs" dxfId="69" priority="271" stopIfTrue="1" operator="greaterThan">
      <formula>0</formula>
    </cfRule>
  </conditionalFormatting>
  <conditionalFormatting sqref="S19 U18:Y19 U17 W17">
    <cfRule type="cellIs" dxfId="68" priority="247" stopIfTrue="1" operator="greaterThan">
      <formula>0</formula>
    </cfRule>
  </conditionalFormatting>
  <conditionalFormatting sqref="D19:F19">
    <cfRule type="cellIs" dxfId="67" priority="249" stopIfTrue="1" operator="greaterThan">
      <formula>0</formula>
    </cfRule>
  </conditionalFormatting>
  <conditionalFormatting sqref="G19">
    <cfRule type="cellIs" dxfId="66" priority="246" stopIfTrue="1" operator="greaterThan">
      <formula>0</formula>
    </cfRule>
  </conditionalFormatting>
  <conditionalFormatting sqref="V19">
    <cfRule type="cellIs" dxfId="65" priority="241" stopIfTrue="1" operator="greaterThan">
      <formula>0</formula>
    </cfRule>
  </conditionalFormatting>
  <conditionalFormatting sqref="W16">
    <cfRule type="cellIs" dxfId="64" priority="222" stopIfTrue="1" operator="greaterThan">
      <formula>0</formula>
    </cfRule>
  </conditionalFormatting>
  <conditionalFormatting sqref="X16">
    <cfRule type="cellIs" dxfId="63" priority="221" stopIfTrue="1" operator="greaterThan">
      <formula>0</formula>
    </cfRule>
  </conditionalFormatting>
  <conditionalFormatting sqref="Y16">
    <cfRule type="cellIs" dxfId="62" priority="220" stopIfTrue="1" operator="greaterThan">
      <formula>0</formula>
    </cfRule>
  </conditionalFormatting>
  <conditionalFormatting sqref="D22:G23 S22:S23 U22:Y23 U27:Y27 S27 D27:G27">
    <cfRule type="cellIs" dxfId="61" priority="172" stopIfTrue="1" operator="greaterThan">
      <formula>0</formula>
    </cfRule>
  </conditionalFormatting>
  <conditionalFormatting sqref="AG13">
    <cfRule type="cellIs" dxfId="60" priority="162" stopIfTrue="1" operator="greaterThan">
      <formula>0</formula>
    </cfRule>
  </conditionalFormatting>
  <conditionalFormatting sqref="AG13">
    <cfRule type="cellIs" dxfId="59" priority="153" stopIfTrue="1" operator="greaterThan">
      <formula>0</formula>
    </cfRule>
  </conditionalFormatting>
  <conditionalFormatting sqref="AG21 AG17:AG18">
    <cfRule type="cellIs" dxfId="58" priority="166" stopIfTrue="1" operator="greaterThan">
      <formula>0</formula>
    </cfRule>
  </conditionalFormatting>
  <conditionalFormatting sqref="AG15">
    <cfRule type="cellIs" dxfId="57" priority="165" stopIfTrue="1" operator="greaterThan">
      <formula>0</formula>
    </cfRule>
  </conditionalFormatting>
  <conditionalFormatting sqref="AG14">
    <cfRule type="cellIs" dxfId="56" priority="164" stopIfTrue="1" operator="greaterThan">
      <formula>0</formula>
    </cfRule>
  </conditionalFormatting>
  <conditionalFormatting sqref="AG19">
    <cfRule type="cellIs" dxfId="55" priority="161" stopIfTrue="1" operator="greaterThan">
      <formula>0</formula>
    </cfRule>
  </conditionalFormatting>
  <conditionalFormatting sqref="AG16">
    <cfRule type="cellIs" dxfId="54" priority="159" stopIfTrue="1" operator="greaterThan">
      <formula>0</formula>
    </cfRule>
  </conditionalFormatting>
  <conditionalFormatting sqref="AG21 AG17:AG18">
    <cfRule type="cellIs" dxfId="53" priority="157" stopIfTrue="1" operator="greaterThan">
      <formula>0</formula>
    </cfRule>
  </conditionalFormatting>
  <conditionalFormatting sqref="AG15">
    <cfRule type="cellIs" dxfId="52" priority="156" stopIfTrue="1" operator="greaterThan">
      <formula>0</formula>
    </cfRule>
  </conditionalFormatting>
  <conditionalFormatting sqref="AG14">
    <cfRule type="cellIs" dxfId="51" priority="155" stopIfTrue="1" operator="greaterThan">
      <formula>0</formula>
    </cfRule>
  </conditionalFormatting>
  <conditionalFormatting sqref="AG19">
    <cfRule type="cellIs" dxfId="50" priority="152" stopIfTrue="1" operator="greaterThan">
      <formula>0</formula>
    </cfRule>
  </conditionalFormatting>
  <conditionalFormatting sqref="AG16">
    <cfRule type="cellIs" dxfId="49" priority="150" stopIfTrue="1" operator="greaterThan">
      <formula>0</formula>
    </cfRule>
  </conditionalFormatting>
  <conditionalFormatting sqref="AF13">
    <cfRule type="cellIs" dxfId="48" priority="144" stopIfTrue="1" operator="greaterThan">
      <formula>0</formula>
    </cfRule>
  </conditionalFormatting>
  <conditionalFormatting sqref="AF15">
    <cfRule type="cellIs" dxfId="47" priority="147" stopIfTrue="1" operator="greaterThan">
      <formula>0</formula>
    </cfRule>
  </conditionalFormatting>
  <conditionalFormatting sqref="AF14">
    <cfRule type="cellIs" dxfId="46" priority="146" stopIfTrue="1" operator="greaterThan">
      <formula>0</formula>
    </cfRule>
  </conditionalFormatting>
  <conditionalFormatting sqref="AH13:AH23 AH27">
    <cfRule type="cellIs" dxfId="45" priority="112" stopIfTrue="1" operator="greaterThan">
      <formula>0</formula>
    </cfRule>
  </conditionalFormatting>
  <conditionalFormatting sqref="AG22:AG23 AG27">
    <cfRule type="cellIs" dxfId="44" priority="131" stopIfTrue="1" operator="greaterThan">
      <formula>0</formula>
    </cfRule>
  </conditionalFormatting>
  <conditionalFormatting sqref="E21:F21">
    <cfRule type="cellIs" dxfId="43" priority="130" stopIfTrue="1" operator="greaterThan">
      <formula>0</formula>
    </cfRule>
  </conditionalFormatting>
  <conditionalFormatting sqref="E20:F20">
    <cfRule type="cellIs" dxfId="42" priority="129" stopIfTrue="1" operator="greaterThan">
      <formula>0</formula>
    </cfRule>
  </conditionalFormatting>
  <conditionalFormatting sqref="K40">
    <cfRule type="cellIs" dxfId="41" priority="125" stopIfTrue="1" operator="greaterThan">
      <formula>0</formula>
    </cfRule>
  </conditionalFormatting>
  <conditionalFormatting sqref="L40">
    <cfRule type="cellIs" dxfId="40" priority="124" stopIfTrue="1" operator="greaterThan">
      <formula>0</formula>
    </cfRule>
  </conditionalFormatting>
  <conditionalFormatting sqref="AH13:AH23 AH27">
    <cfRule type="cellIs" dxfId="39" priority="113" stopIfTrue="1" operator="greaterThan">
      <formula>0</formula>
    </cfRule>
  </conditionalFormatting>
  <conditionalFormatting sqref="AL18">
    <cfRule type="cellIs" dxfId="38" priority="111" stopIfTrue="1" operator="greaterThan">
      <formula>0</formula>
    </cfRule>
  </conditionalFormatting>
  <conditionalFormatting sqref="AL18">
    <cfRule type="cellIs" dxfId="37" priority="110" stopIfTrue="1" operator="greaterThan">
      <formula>0</formula>
    </cfRule>
  </conditionalFormatting>
  <conditionalFormatting sqref="AA13:AA15">
    <cfRule type="cellIs" dxfId="36" priority="109" stopIfTrue="1" operator="greaterThan">
      <formula>0</formula>
    </cfRule>
  </conditionalFormatting>
  <conditionalFormatting sqref="N13:N15">
    <cfRule type="cellIs" dxfId="35" priority="91" stopIfTrue="1" operator="greaterThan">
      <formula>0</formula>
    </cfRule>
  </conditionalFormatting>
  <conditionalFormatting sqref="X17">
    <cfRule type="cellIs" dxfId="34" priority="71" stopIfTrue="1" operator="greaterThan">
      <formula>0</formula>
    </cfRule>
  </conditionalFormatting>
  <conditionalFormatting sqref="H21:R22 I18:R19 H23:I23 K23:R23 I17:L17 N17 P17:R17 J16 P16 K27:R27 H27:I27 L16">
    <cfRule type="cellIs" dxfId="33" priority="89" stopIfTrue="1" operator="greaterThan">
      <formula>0</formula>
    </cfRule>
  </conditionalFormatting>
  <conditionalFormatting sqref="AG20">
    <cfRule type="cellIs" dxfId="32" priority="87" stopIfTrue="1" operator="greaterThan">
      <formula>0</formula>
    </cfRule>
  </conditionalFormatting>
  <conditionalFormatting sqref="D17:E17">
    <cfRule type="cellIs" dxfId="31" priority="86" stopIfTrue="1" operator="greaterThan">
      <formula>0</formula>
    </cfRule>
  </conditionalFormatting>
  <conditionalFormatting sqref="D17:E17">
    <cfRule type="cellIs" dxfId="30" priority="85" stopIfTrue="1" operator="greaterThan">
      <formula>0</formula>
    </cfRule>
  </conditionalFormatting>
  <conditionalFormatting sqref="G17">
    <cfRule type="cellIs" dxfId="29" priority="81" stopIfTrue="1" operator="greaterThan">
      <formula>0</formula>
    </cfRule>
  </conditionalFormatting>
  <conditionalFormatting sqref="T13:T15 T17:T19 T27 T21:T23">
    <cfRule type="cellIs" dxfId="28" priority="77" stopIfTrue="1" operator="greaterThan">
      <formula>0</formula>
    </cfRule>
  </conditionalFormatting>
  <conditionalFormatting sqref="H16:H19">
    <cfRule type="cellIs" dxfId="27" priority="61" stopIfTrue="1" operator="greaterThan">
      <formula>0</formula>
    </cfRule>
  </conditionalFormatting>
  <conditionalFormatting sqref="AE13:AE15">
    <cfRule type="cellIs" dxfId="26" priority="51" stopIfTrue="1" operator="greaterThan">
      <formula>0</formula>
    </cfRule>
  </conditionalFormatting>
  <conditionalFormatting sqref="Y17">
    <cfRule type="cellIs" dxfId="25" priority="50" stopIfTrue="1" operator="greaterThan">
      <formula>0</formula>
    </cfRule>
  </conditionalFormatting>
  <conditionalFormatting sqref="F16:F17">
    <cfRule type="cellIs" dxfId="24" priority="42" stopIfTrue="1" operator="greaterThan">
      <formula>0</formula>
    </cfRule>
  </conditionalFormatting>
  <conditionalFormatting sqref="J23 J27">
    <cfRule type="cellIs" dxfId="23" priority="41" stopIfTrue="1" operator="greaterThan">
      <formula>0</formula>
    </cfRule>
  </conditionalFormatting>
  <conditionalFormatting sqref="M16:M17">
    <cfRule type="cellIs" dxfId="22" priority="40" stopIfTrue="1" operator="greaterThan">
      <formula>0</formula>
    </cfRule>
  </conditionalFormatting>
  <conditionalFormatting sqref="O16:O17">
    <cfRule type="cellIs" dxfId="21" priority="39" stopIfTrue="1" operator="greaterThan">
      <formula>0</formula>
    </cfRule>
  </conditionalFormatting>
  <conditionalFormatting sqref="V16:V17">
    <cfRule type="cellIs" dxfId="20" priority="38" stopIfTrue="1" operator="greaterThan">
      <formula>0</formula>
    </cfRule>
  </conditionalFormatting>
  <conditionalFormatting sqref="Z27:AF27 Z16:AF19 Z21:AF23 AE20:AF20">
    <cfRule type="cellIs" dxfId="19" priority="37" stopIfTrue="1" operator="greaterThan">
      <formula>0</formula>
    </cfRule>
  </conditionalFormatting>
  <conditionalFormatting sqref="I16">
    <cfRule type="cellIs" dxfId="18" priority="35" stopIfTrue="1" operator="greaterThan">
      <formula>0</formula>
    </cfRule>
  </conditionalFormatting>
  <conditionalFormatting sqref="I16">
    <cfRule type="cellIs" dxfId="17" priority="34" stopIfTrue="1" operator="greaterThan">
      <formula>0</formula>
    </cfRule>
  </conditionalFormatting>
  <conditionalFormatting sqref="Q16:R16 T16:U16">
    <cfRule type="cellIs" dxfId="16" priority="31" stopIfTrue="1" operator="greaterThan">
      <formula>0</formula>
    </cfRule>
  </conditionalFormatting>
  <conditionalFormatting sqref="Q16:R16 T16:U16">
    <cfRule type="cellIs" dxfId="15" priority="30" stopIfTrue="1" operator="greaterThan">
      <formula>0</formula>
    </cfRule>
  </conditionalFormatting>
  <conditionalFormatting sqref="D20">
    <cfRule type="cellIs" dxfId="14" priority="28" stopIfTrue="1" operator="greaterThan">
      <formula>0</formula>
    </cfRule>
  </conditionalFormatting>
  <conditionalFormatting sqref="U24:Y26 S24:S26 D24:G26">
    <cfRule type="cellIs" dxfId="13" priority="19" stopIfTrue="1" operator="greaterThan">
      <formula>0</formula>
    </cfRule>
  </conditionalFormatting>
  <conditionalFormatting sqref="AH24:AH26">
    <cfRule type="cellIs" dxfId="12" priority="16" stopIfTrue="1" operator="greaterThan">
      <formula>0</formula>
    </cfRule>
  </conditionalFormatting>
  <conditionalFormatting sqref="AG24:AG26">
    <cfRule type="cellIs" dxfId="11" priority="18" stopIfTrue="1" operator="greaterThan">
      <formula>0</formula>
    </cfRule>
  </conditionalFormatting>
  <conditionalFormatting sqref="AH24:AH26">
    <cfRule type="cellIs" dxfId="10" priority="17" stopIfTrue="1" operator="greaterThan">
      <formula>0</formula>
    </cfRule>
  </conditionalFormatting>
  <conditionalFormatting sqref="K24:R26 H24:I26">
    <cfRule type="cellIs" dxfId="9" priority="15" stopIfTrue="1" operator="greaterThan">
      <formula>0</formula>
    </cfRule>
  </conditionalFormatting>
  <conditionalFormatting sqref="T24:T26">
    <cfRule type="cellIs" dxfId="8" priority="14" stopIfTrue="1" operator="greaterThan">
      <formula>0</formula>
    </cfRule>
  </conditionalFormatting>
  <conditionalFormatting sqref="J24:J26">
    <cfRule type="cellIs" dxfId="7" priority="13" stopIfTrue="1" operator="greaterThan">
      <formula>0</formula>
    </cfRule>
  </conditionalFormatting>
  <conditionalFormatting sqref="Z24:AF26">
    <cfRule type="cellIs" dxfId="6" priority="12" stopIfTrue="1" operator="greaterThan">
      <formula>0</formula>
    </cfRule>
  </conditionalFormatting>
  <conditionalFormatting sqref="G16">
    <cfRule type="cellIs" dxfId="5" priority="10" stopIfTrue="1" operator="greaterThan">
      <formula>0</formula>
    </cfRule>
  </conditionalFormatting>
  <conditionalFormatting sqref="K16">
    <cfRule type="cellIs" dxfId="4" priority="8" stopIfTrue="1" operator="greaterThan">
      <formula>0</formula>
    </cfRule>
  </conditionalFormatting>
  <conditionalFormatting sqref="N16">
    <cfRule type="cellIs" dxfId="3" priority="6" stopIfTrue="1" operator="greaterThan">
      <formula>0</formula>
    </cfRule>
  </conditionalFormatting>
  <conditionalFormatting sqref="S16">
    <cfRule type="cellIs" dxfId="2" priority="4" stopIfTrue="1" operator="greaterThan">
      <formula>0</formula>
    </cfRule>
  </conditionalFormatting>
  <conditionalFormatting sqref="G20:Y20">
    <cfRule type="cellIs" dxfId="1" priority="3" stopIfTrue="1" operator="greaterThan">
      <formula>0</formula>
    </cfRule>
  </conditionalFormatting>
  <conditionalFormatting sqref="Z20:AD20">
    <cfRule type="cellIs" dxfId="0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Avaibility ALU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Jupri Rante</cp:lastModifiedBy>
  <cp:lastPrinted>2007-08-03T02:53:39Z</cp:lastPrinted>
  <dcterms:created xsi:type="dcterms:W3CDTF">2006-10-16T02:50:45Z</dcterms:created>
  <dcterms:modified xsi:type="dcterms:W3CDTF">2024-01-02T06:48:52Z</dcterms:modified>
</cp:coreProperties>
</file>