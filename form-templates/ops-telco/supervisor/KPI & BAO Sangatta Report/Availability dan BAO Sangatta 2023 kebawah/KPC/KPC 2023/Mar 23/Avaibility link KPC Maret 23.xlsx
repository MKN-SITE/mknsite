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8" i="11" l="1"/>
  <c r="D58" i="11"/>
  <c r="C58" i="11" l="1"/>
  <c r="D57" i="11"/>
  <c r="D56" i="11"/>
  <c r="D47" i="11"/>
  <c r="D46" i="11"/>
  <c r="E56" i="11" l="1"/>
  <c r="E57" i="11"/>
  <c r="E55" i="11"/>
  <c r="C56" i="11" l="1"/>
  <c r="C57" i="11"/>
  <c r="D55" i="11"/>
  <c r="C55" i="11" s="1"/>
  <c r="E46" i="11"/>
  <c r="C46" i="11" s="1"/>
  <c r="E47" i="11"/>
  <c r="C47" i="11" s="1"/>
  <c r="D48" i="11"/>
  <c r="E48" i="11"/>
  <c r="D49" i="11"/>
  <c r="E49" i="11"/>
  <c r="D50" i="11"/>
  <c r="E50" i="11"/>
  <c r="D51" i="11"/>
  <c r="E51" i="11"/>
  <c r="D52" i="11"/>
  <c r="E52" i="11"/>
  <c r="D53" i="11"/>
  <c r="E53" i="11"/>
  <c r="D54" i="11"/>
  <c r="E54" i="11"/>
  <c r="C50" i="11" l="1"/>
  <c r="C54" i="11"/>
  <c r="C52" i="11"/>
  <c r="C48" i="11"/>
  <c r="C53" i="11"/>
  <c r="C51" i="11"/>
  <c r="C49" i="11"/>
  <c r="C63" i="11" l="1"/>
</calcChain>
</file>

<file path=xl/sharedStrings.xml><?xml version="1.0" encoding="utf-8"?>
<sst xmlns="http://schemas.openxmlformats.org/spreadsheetml/2006/main" count="130" uniqueCount="67">
  <si>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</si>
  <si>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</si>
  <si>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</si>
  <si>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</si>
  <si>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</si>
  <si>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</si>
  <si>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</si>
  <si>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</si>
  <si>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</si>
  <si>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</si>
  <si>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</si>
  <si>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</si>
  <si>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</si>
  <si>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</si>
  <si>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</si>
  <si>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</si>
  <si>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</si>
  <si>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</si>
  <si>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</si>
  <si>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</si>
  <si>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</si>
  <si>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</si>
  <si>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</si>
  <si>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</si>
  <si>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</si>
  <si>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</si>
  <si>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</si>
  <si>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</si>
  <si>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</si>
  <si>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</si>
  <si>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</si>
  <si>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</si>
  <si>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</si>
  <si>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</si>
  <si>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</si>
  <si>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</si>
  <si>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</si>
  <si>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</si>
  <si>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</si>
  <si>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</si>
  <si>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</si>
  <si>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</si>
  <si>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</si>
  <si>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</si>
  <si>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</si>
  <si>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</si>
  <si>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</si>
  <si>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</si>
  <si>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</si>
  <si>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</si>
  <si>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2:53;33</t>
  </si>
  <si>
    <t>1 Maret 23</t>
  </si>
  <si>
    <t xml:space="preserve">      High BER</t>
  </si>
  <si>
    <t>8 Maret 23</t>
  </si>
  <si>
    <t>9 Maret 23</t>
  </si>
  <si>
    <t>11 Maret 23</t>
  </si>
  <si>
    <t xml:space="preserve">      Problem Genset</t>
  </si>
  <si>
    <t>12 Maret 23</t>
  </si>
  <si>
    <t>13 Maret 23</t>
  </si>
  <si>
    <t>14 Maret 23</t>
  </si>
  <si>
    <t>15 Maret 23</t>
  </si>
  <si>
    <t>17 Maret 23</t>
  </si>
  <si>
    <t>20 Maret 23</t>
  </si>
  <si>
    <t>23 Maret 23</t>
  </si>
  <si>
    <t xml:space="preserve">      Power KPC Black Out</t>
  </si>
  <si>
    <t>27 Maret 23</t>
  </si>
  <si>
    <t>31 Maret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</si>
</sst>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3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39" fillId="0" borderId="25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5" xfId="0" applyFont="1" applyBorder="1" applyAlignment="1"/>
    <xf numFmtId="164" fontId="6" fillId="0" borderId="25" xfId="0" applyFont="1" applyBorder="1"/>
    <xf numFmtId="21" fontId="6" fillId="0" borderId="25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7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0" fontId="8" fillId="0" borderId="0" xfId="0" applyNumberFormat="1" applyFont="1" applyBorder="1" applyAlignment="1">
      <alignment horizontal="center"/>
    </xf>
    <xf numFmtId="164" fontId="39" fillId="0" borderId="25" xfId="0" applyFont="1" applyBorder="1" applyAlignment="1">
      <alignment horizontal="left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0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8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39" fillId="0" borderId="26" xfId="0" applyFont="1" applyBorder="1" applyAlignment="1">
      <alignment horizontal="left" vertical="top"/>
    </xf>
    <xf numFmtId="164" fontId="36" fillId="0" borderId="28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4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59" sqref="G5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6">
        <v>44986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8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99" t="s">
        <v>2</v>
      </c>
      <c r="B10" s="101" t="s">
        <v>0</v>
      </c>
      <c r="C10" s="101" t="s">
        <v>8</v>
      </c>
      <c r="D10" s="42">
        <v>44256</v>
      </c>
      <c r="E10" s="42">
        <v>44257</v>
      </c>
      <c r="F10" s="42">
        <v>44258</v>
      </c>
      <c r="G10" s="42">
        <v>44259</v>
      </c>
      <c r="H10" s="42">
        <v>44260</v>
      </c>
      <c r="I10" s="42">
        <v>44261</v>
      </c>
      <c r="J10" s="42">
        <v>44262</v>
      </c>
      <c r="K10" s="42">
        <v>44263</v>
      </c>
      <c r="L10" s="42">
        <v>44264</v>
      </c>
      <c r="M10" s="42">
        <v>44265</v>
      </c>
      <c r="N10" s="42">
        <v>44266</v>
      </c>
      <c r="O10" s="42">
        <v>44267</v>
      </c>
      <c r="P10" s="42">
        <v>44268</v>
      </c>
      <c r="Q10" s="42">
        <v>44269</v>
      </c>
      <c r="R10" s="42">
        <v>44270</v>
      </c>
      <c r="S10" s="42">
        <v>44271</v>
      </c>
      <c r="T10" s="42">
        <v>44272</v>
      </c>
      <c r="U10" s="42">
        <v>44273</v>
      </c>
      <c r="V10" s="42">
        <v>44274</v>
      </c>
      <c r="W10" s="42">
        <v>44275</v>
      </c>
      <c r="X10" s="42">
        <v>44276</v>
      </c>
      <c r="Y10" s="42">
        <v>44277</v>
      </c>
      <c r="Z10" s="42">
        <v>44278</v>
      </c>
      <c r="AA10" s="42">
        <v>44279</v>
      </c>
      <c r="AB10" s="42">
        <v>44280</v>
      </c>
      <c r="AC10" s="42">
        <v>44281</v>
      </c>
      <c r="AD10" s="42">
        <v>44282</v>
      </c>
      <c r="AE10" s="42">
        <v>44283</v>
      </c>
      <c r="AF10" s="42">
        <v>44284</v>
      </c>
      <c r="AG10" s="42">
        <v>44285</v>
      </c>
      <c r="AH10" s="82">
        <v>44286</v>
      </c>
    </row>
    <row r="11" spans="1:34" s="1" customFormat="1" x14ac:dyDescent="0.2">
      <c r="A11" s="100"/>
      <c r="B11" s="102"/>
      <c r="C11" s="102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3"/>
      <c r="B12" s="31"/>
      <c r="C12" s="32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2"/>
      <c r="AG12" s="61"/>
      <c r="AH12" s="62"/>
    </row>
    <row r="13" spans="1:34" s="12" customFormat="1" ht="15.75" x14ac:dyDescent="0.25">
      <c r="A13" s="44" t="s">
        <v>38</v>
      </c>
      <c r="B13" s="29" t="s">
        <v>18</v>
      </c>
      <c r="C13" s="33"/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6.4641203703703701E-2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Z13" s="83">
        <v>0</v>
      </c>
      <c r="AA13" s="83">
        <v>0</v>
      </c>
      <c r="AB13" s="83">
        <v>0</v>
      </c>
      <c r="AC13" s="83">
        <v>0</v>
      </c>
      <c r="AD13" s="83">
        <v>0</v>
      </c>
      <c r="AE13" s="83">
        <v>0</v>
      </c>
      <c r="AF13" s="83">
        <v>0</v>
      </c>
      <c r="AG13" s="83">
        <v>0</v>
      </c>
      <c r="AH13" s="83">
        <v>0</v>
      </c>
    </row>
    <row r="14" spans="1:34" s="12" customFormat="1" ht="15.75" x14ac:dyDescent="0.25">
      <c r="A14" s="44" t="s">
        <v>29</v>
      </c>
      <c r="B14" s="29" t="s">
        <v>26</v>
      </c>
      <c r="C14" s="33"/>
      <c r="D14" s="83">
        <v>1.0694444444444444E-2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6.1122685185185183E-2</v>
      </c>
      <c r="P14" s="83">
        <v>8.2500000000000004E-2</v>
      </c>
      <c r="Q14" s="83">
        <v>0.50807870370370367</v>
      </c>
      <c r="R14" s="83">
        <v>0.79038194444444443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83">
        <v>0</v>
      </c>
      <c r="AB14" s="83">
        <v>0</v>
      </c>
      <c r="AC14" s="83">
        <v>0</v>
      </c>
      <c r="AD14" s="83">
        <v>1.7465277777777777E-2</v>
      </c>
      <c r="AE14" s="83">
        <v>0</v>
      </c>
      <c r="AF14" s="83">
        <v>0</v>
      </c>
      <c r="AG14" s="83">
        <v>0</v>
      </c>
      <c r="AH14" s="83">
        <v>1.8460648148148146E-2</v>
      </c>
    </row>
    <row r="15" spans="1:34" s="12" customFormat="1" ht="15.75" x14ac:dyDescent="0.25">
      <c r="A15" s="44" t="s">
        <v>30</v>
      </c>
      <c r="B15" s="29" t="s">
        <v>19</v>
      </c>
      <c r="C15" s="33"/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0</v>
      </c>
      <c r="AB15" s="83">
        <v>0</v>
      </c>
      <c r="AC15" s="83">
        <v>0</v>
      </c>
      <c r="AD15" s="83">
        <v>0</v>
      </c>
      <c r="AE15" s="83">
        <v>0</v>
      </c>
      <c r="AF15" s="83">
        <v>0</v>
      </c>
      <c r="AG15" s="83">
        <v>0</v>
      </c>
      <c r="AH15" s="83">
        <v>0</v>
      </c>
    </row>
    <row r="16" spans="1:34" s="12" customFormat="1" ht="15.75" x14ac:dyDescent="0.25">
      <c r="A16" s="44" t="s">
        <v>31</v>
      </c>
      <c r="B16" s="29" t="s">
        <v>20</v>
      </c>
      <c r="C16" s="33"/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3.5532407407407405E-3</v>
      </c>
      <c r="L16" s="83">
        <v>1.525462962962963E-2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0</v>
      </c>
      <c r="T16" s="83">
        <v>5.710648148148148E-2</v>
      </c>
      <c r="U16" s="83">
        <v>0</v>
      </c>
      <c r="V16" s="83">
        <v>0</v>
      </c>
      <c r="W16" s="83">
        <v>0</v>
      </c>
      <c r="X16" s="83">
        <v>0</v>
      </c>
      <c r="Y16" s="83">
        <v>0</v>
      </c>
      <c r="Z16" s="83">
        <v>0</v>
      </c>
      <c r="AA16" s="83">
        <v>0</v>
      </c>
      <c r="AB16" s="83">
        <v>0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3">
        <v>0</v>
      </c>
    </row>
    <row r="17" spans="1:38" s="12" customFormat="1" ht="15.75" x14ac:dyDescent="0.25">
      <c r="A17" s="44" t="s">
        <v>32</v>
      </c>
      <c r="B17" s="29" t="s">
        <v>21</v>
      </c>
      <c r="C17" s="33"/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6.0659722222222219E-2</v>
      </c>
      <c r="AA17" s="83">
        <v>0</v>
      </c>
      <c r="AB17" s="83">
        <v>0</v>
      </c>
      <c r="AC17" s="83">
        <v>0</v>
      </c>
      <c r="AD17" s="83">
        <v>0</v>
      </c>
      <c r="AE17" s="83">
        <v>0</v>
      </c>
      <c r="AF17" s="83">
        <v>0</v>
      </c>
      <c r="AG17" s="83">
        <v>0</v>
      </c>
      <c r="AH17" s="83">
        <v>0</v>
      </c>
    </row>
    <row r="18" spans="1:38" s="12" customFormat="1" ht="15.75" x14ac:dyDescent="0.25">
      <c r="A18" s="44" t="s">
        <v>33</v>
      </c>
      <c r="B18" s="29" t="s">
        <v>22</v>
      </c>
      <c r="C18" s="33"/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0</v>
      </c>
      <c r="V18" s="83">
        <v>0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0</v>
      </c>
      <c r="AD18" s="83">
        <v>0</v>
      </c>
      <c r="AE18" s="83">
        <v>0</v>
      </c>
      <c r="AF18" s="83">
        <v>0</v>
      </c>
      <c r="AG18" s="83">
        <v>0</v>
      </c>
      <c r="AH18" s="83">
        <v>0</v>
      </c>
      <c r="AL18" s="70"/>
    </row>
    <row r="19" spans="1:38" s="12" customFormat="1" ht="15.75" x14ac:dyDescent="0.25">
      <c r="A19" s="44" t="s">
        <v>34</v>
      </c>
      <c r="B19" s="29" t="s">
        <v>23</v>
      </c>
      <c r="C19" s="33"/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5.0347222222222225E-3</v>
      </c>
      <c r="X19" s="83">
        <v>0</v>
      </c>
      <c r="Y19" s="83">
        <v>0</v>
      </c>
      <c r="Z19" s="83">
        <v>0</v>
      </c>
      <c r="AA19" s="83">
        <v>0</v>
      </c>
      <c r="AB19" s="83">
        <v>0</v>
      </c>
      <c r="AC19" s="83">
        <v>0</v>
      </c>
      <c r="AD19" s="83">
        <v>0</v>
      </c>
      <c r="AE19" s="83">
        <v>0</v>
      </c>
      <c r="AF19" s="83">
        <v>0</v>
      </c>
      <c r="AG19" s="83">
        <v>0</v>
      </c>
      <c r="AH19" s="83">
        <v>0</v>
      </c>
    </row>
    <row r="20" spans="1:38" s="12" customFormat="1" ht="15.75" x14ac:dyDescent="0.25">
      <c r="A20" s="44" t="s">
        <v>35</v>
      </c>
      <c r="B20" s="29" t="s">
        <v>27</v>
      </c>
      <c r="C20" s="33"/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83">
        <v>0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</row>
    <row r="21" spans="1:38" s="12" customFormat="1" ht="15.75" x14ac:dyDescent="0.25">
      <c r="A21" s="44" t="s">
        <v>36</v>
      </c>
      <c r="B21" s="29" t="s">
        <v>25</v>
      </c>
      <c r="C21" s="33"/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3">
        <v>0</v>
      </c>
      <c r="AB21" s="83">
        <v>0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</row>
    <row r="22" spans="1:38" s="12" customFormat="1" ht="15.75" x14ac:dyDescent="0.25">
      <c r="A22" s="44" t="s">
        <v>37</v>
      </c>
      <c r="B22" s="45" t="s">
        <v>24</v>
      </c>
      <c r="C22" s="33"/>
      <c r="D22" s="84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3">
        <v>0</v>
      </c>
      <c r="L22" s="83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0</v>
      </c>
      <c r="AA22" s="83">
        <v>0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4">
        <v>0</v>
      </c>
      <c r="AH22" s="83">
        <v>0</v>
      </c>
    </row>
    <row r="23" spans="1:38" s="12" customFormat="1" ht="15.75" x14ac:dyDescent="0.25">
      <c r="A23" s="44" t="s">
        <v>39</v>
      </c>
      <c r="B23" s="45" t="s">
        <v>40</v>
      </c>
      <c r="C23" s="51"/>
      <c r="D23" s="84">
        <v>0</v>
      </c>
      <c r="E23" s="84">
        <v>0</v>
      </c>
      <c r="F23" s="84">
        <v>0</v>
      </c>
      <c r="G23" s="84">
        <v>0</v>
      </c>
      <c r="H23" s="84">
        <v>0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0.12052083333333334</v>
      </c>
      <c r="O23" s="84">
        <v>0</v>
      </c>
      <c r="P23" s="84">
        <v>0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0</v>
      </c>
      <c r="X23" s="84">
        <v>0</v>
      </c>
      <c r="Y23" s="84">
        <v>0</v>
      </c>
      <c r="Z23" s="84">
        <v>0</v>
      </c>
      <c r="AA23" s="84">
        <v>0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4">
        <v>0</v>
      </c>
      <c r="AH23" s="83">
        <v>0</v>
      </c>
    </row>
    <row r="24" spans="1:38" s="12" customFormat="1" ht="15.75" x14ac:dyDescent="0.25">
      <c r="A24" s="44" t="s">
        <v>42</v>
      </c>
      <c r="B24" s="45" t="s">
        <v>41</v>
      </c>
      <c r="C24" s="46"/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 t="s">
        <v>50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4">
        <v>0</v>
      </c>
      <c r="AA24" s="83">
        <v>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4">
        <v>0</v>
      </c>
      <c r="AH24" s="83">
        <v>0</v>
      </c>
    </row>
    <row r="25" spans="1:38" s="12" customFormat="1" ht="12.75" customHeight="1" x14ac:dyDescent="0.25">
      <c r="A25" s="44" t="s">
        <v>43</v>
      </c>
      <c r="B25" s="53" t="s">
        <v>46</v>
      </c>
      <c r="C25" s="66"/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</row>
    <row r="26" spans="1:38" s="12" customFormat="1" ht="16.5" customHeight="1" x14ac:dyDescent="0.2">
      <c r="A26" s="52"/>
      <c r="B26" s="65"/>
      <c r="C26" s="54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63"/>
    </row>
    <row r="27" spans="1:38" s="12" customFormat="1" ht="16.5" customHeight="1" x14ac:dyDescent="0.2">
      <c r="A27" s="104" t="s">
        <v>17</v>
      </c>
      <c r="B27" s="105"/>
      <c r="C27" s="69" t="s">
        <v>51</v>
      </c>
      <c r="D27" s="89" t="s">
        <v>52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64"/>
    </row>
    <row r="28" spans="1:38" s="12" customFormat="1" ht="16.5" customHeight="1" x14ac:dyDescent="0.2">
      <c r="A28" s="94"/>
      <c r="B28" s="95"/>
      <c r="C28" s="71" t="s">
        <v>53</v>
      </c>
      <c r="D28" s="89" t="s">
        <v>52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63"/>
    </row>
    <row r="29" spans="1:38" s="12" customFormat="1" ht="16.5" customHeight="1" x14ac:dyDescent="0.2">
      <c r="A29" s="94"/>
      <c r="B29" s="95"/>
      <c r="C29" s="71" t="s">
        <v>54</v>
      </c>
      <c r="D29" s="89" t="s">
        <v>52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64"/>
    </row>
    <row r="30" spans="1:38" s="12" customFormat="1" ht="16.5" customHeight="1" x14ac:dyDescent="0.2">
      <c r="A30" s="94"/>
      <c r="B30" s="95"/>
      <c r="C30" s="71" t="s">
        <v>55</v>
      </c>
      <c r="D30" s="90" t="s">
        <v>56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63"/>
    </row>
    <row r="31" spans="1:38" s="12" customFormat="1" ht="16.5" customHeight="1" x14ac:dyDescent="0.2">
      <c r="A31" s="94"/>
      <c r="B31" s="95"/>
      <c r="C31" s="81" t="s">
        <v>57</v>
      </c>
      <c r="D31" s="89" t="s">
        <v>52</v>
      </c>
      <c r="E31" s="89"/>
      <c r="F31" s="89"/>
      <c r="G31" s="89"/>
      <c r="H31" s="89"/>
      <c r="I31" s="89"/>
      <c r="J31" s="89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0"/>
    </row>
    <row r="32" spans="1:38" s="12" customFormat="1" ht="16.5" customHeight="1" x14ac:dyDescent="0.2">
      <c r="A32" s="94"/>
      <c r="B32" s="95"/>
      <c r="C32" s="81" t="s">
        <v>58</v>
      </c>
      <c r="D32" s="89" t="s">
        <v>52</v>
      </c>
      <c r="E32" s="89"/>
      <c r="F32" s="89"/>
      <c r="G32" s="89"/>
      <c r="H32" s="89"/>
      <c r="I32" s="89"/>
      <c r="J32" s="89"/>
      <c r="K32" s="89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80"/>
    </row>
    <row r="33" spans="1:34" s="12" customFormat="1" ht="16.5" customHeight="1" x14ac:dyDescent="0.2">
      <c r="A33" s="94"/>
      <c r="B33" s="95"/>
      <c r="C33" s="81" t="s">
        <v>59</v>
      </c>
      <c r="D33" s="89" t="s">
        <v>52</v>
      </c>
      <c r="E33" s="89"/>
      <c r="F33" s="89"/>
      <c r="G33" s="89"/>
      <c r="H33" s="89"/>
      <c r="I33" s="89"/>
      <c r="J33" s="89"/>
      <c r="K33" s="89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63"/>
    </row>
    <row r="34" spans="1:34" s="12" customFormat="1" ht="16.5" customHeight="1" x14ac:dyDescent="0.2">
      <c r="A34" s="94"/>
      <c r="B34" s="95"/>
      <c r="C34" s="81" t="s">
        <v>60</v>
      </c>
      <c r="D34" s="89" t="s">
        <v>52</v>
      </c>
      <c r="E34" s="89"/>
      <c r="F34" s="89"/>
      <c r="G34" s="89"/>
      <c r="H34" s="89"/>
      <c r="I34" s="89"/>
      <c r="J34" s="89"/>
      <c r="K34" s="89"/>
      <c r="L34" s="89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64"/>
    </row>
    <row r="35" spans="1:34" s="12" customFormat="1" ht="16.5" customHeight="1" x14ac:dyDescent="0.2">
      <c r="A35" s="94"/>
      <c r="B35" s="95"/>
      <c r="C35" s="81" t="s">
        <v>61</v>
      </c>
      <c r="D35" s="89" t="s">
        <v>52</v>
      </c>
      <c r="E35" s="89"/>
      <c r="F35" s="89"/>
      <c r="G35" s="89"/>
      <c r="H35" s="89"/>
      <c r="I35" s="89"/>
      <c r="J35" s="89"/>
      <c r="K35" s="89"/>
      <c r="L35" s="89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80"/>
    </row>
    <row r="36" spans="1:34" s="12" customFormat="1" ht="16.5" customHeight="1" x14ac:dyDescent="0.2">
      <c r="A36" s="94"/>
      <c r="B36" s="95"/>
      <c r="C36" s="81" t="s">
        <v>62</v>
      </c>
      <c r="D36" s="89" t="s">
        <v>52</v>
      </c>
      <c r="E36" s="89"/>
      <c r="F36" s="89"/>
      <c r="G36" s="89"/>
      <c r="H36" s="89"/>
      <c r="I36" s="89"/>
      <c r="J36" s="89"/>
      <c r="K36" s="89"/>
      <c r="L36" s="89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63"/>
    </row>
    <row r="37" spans="1:34" s="12" customFormat="1" ht="15" customHeight="1" x14ac:dyDescent="0.2">
      <c r="A37" s="94"/>
      <c r="B37" s="95"/>
      <c r="C37" s="81" t="s">
        <v>63</v>
      </c>
      <c r="D37" s="91" t="s">
        <v>64</v>
      </c>
      <c r="E37" s="91"/>
      <c r="F37" s="91"/>
      <c r="G37" s="91"/>
      <c r="H37" s="91"/>
      <c r="I37" s="91"/>
      <c r="J37" s="91"/>
      <c r="K37" s="91"/>
      <c r="L37" s="103"/>
      <c r="M37" s="76"/>
      <c r="N37" s="76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H37" s="64"/>
    </row>
    <row r="38" spans="1:34" s="12" customFormat="1" ht="15" customHeight="1" x14ac:dyDescent="0.2">
      <c r="A38" s="94"/>
      <c r="B38" s="95"/>
      <c r="C38" s="81" t="s">
        <v>65</v>
      </c>
      <c r="D38" s="89" t="s">
        <v>52</v>
      </c>
      <c r="E38" s="89"/>
      <c r="F38" s="89"/>
      <c r="G38" s="89"/>
      <c r="H38" s="89"/>
      <c r="I38" s="89"/>
      <c r="J38" s="89"/>
      <c r="K38" s="89"/>
      <c r="L38" s="89"/>
      <c r="M38" s="89"/>
      <c r="N38" s="73"/>
      <c r="O38" s="77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63"/>
    </row>
    <row r="39" spans="1:34" s="12" customFormat="1" ht="15" customHeight="1" x14ac:dyDescent="0.2">
      <c r="A39" s="96"/>
      <c r="B39" s="97"/>
      <c r="C39" s="81" t="s">
        <v>66</v>
      </c>
      <c r="D39" s="89" t="s">
        <v>52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77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63"/>
      <c r="AA39" s="78"/>
      <c r="AB39" s="79"/>
      <c r="AC39" s="78"/>
      <c r="AD39" s="78"/>
      <c r="AE39" s="78"/>
      <c r="AF39" s="78"/>
      <c r="AG39" s="78"/>
      <c r="AH39" s="63"/>
    </row>
    <row r="40" spans="1:34" s="12" customFormat="1" ht="15" x14ac:dyDescent="0.2">
      <c r="A40" s="74"/>
      <c r="B40" s="74"/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15"/>
      <c r="AB40" s="28"/>
    </row>
    <row r="41" spans="1:34" s="12" customFormat="1" ht="15" x14ac:dyDescent="0.2">
      <c r="A41" s="13"/>
      <c r="B41" s="39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15"/>
      <c r="AB41" s="28"/>
    </row>
    <row r="42" spans="1:34" s="12" customFormat="1" x14ac:dyDescent="0.2">
      <c r="A42" s="13"/>
      <c r="D42" s="7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AB42" s="28"/>
    </row>
    <row r="43" spans="1:34" s="12" customFormat="1" x14ac:dyDescent="0.2">
      <c r="A43" s="23" t="s">
        <v>12</v>
      </c>
      <c r="D43" s="14"/>
      <c r="E43" s="15"/>
      <c r="F43" s="15"/>
      <c r="G43" s="15"/>
      <c r="H43" s="15"/>
      <c r="I43" s="15"/>
      <c r="J43" s="15"/>
      <c r="K43" s="55"/>
      <c r="L43" s="55"/>
      <c r="M43" s="15"/>
      <c r="O43" s="15"/>
      <c r="AB43" s="28"/>
    </row>
    <row r="44" spans="1:34" s="12" customFormat="1" x14ac:dyDescent="0.2">
      <c r="A44" s="92" t="s">
        <v>2</v>
      </c>
      <c r="B44" s="92" t="s">
        <v>9</v>
      </c>
      <c r="C44" s="92" t="s">
        <v>1</v>
      </c>
      <c r="D44" s="87" t="s">
        <v>7</v>
      </c>
      <c r="E44" s="88"/>
      <c r="F44" s="15"/>
      <c r="G44" s="15"/>
      <c r="H44" s="15"/>
      <c r="I44" s="15"/>
      <c r="J44" s="15"/>
      <c r="K44" s="56"/>
      <c r="L44" s="56"/>
      <c r="M44" s="15"/>
      <c r="O44" s="15"/>
      <c r="AB44" s="28"/>
    </row>
    <row r="45" spans="1:34" s="12" customFormat="1" x14ac:dyDescent="0.2">
      <c r="A45" s="93"/>
      <c r="B45" s="93"/>
      <c r="C45" s="93"/>
      <c r="D45" s="27" t="s">
        <v>10</v>
      </c>
      <c r="E45" s="22" t="s">
        <v>11</v>
      </c>
      <c r="F45" s="15"/>
      <c r="G45" s="15"/>
      <c r="H45" s="15"/>
      <c r="I45" s="15"/>
      <c r="J45" s="15"/>
      <c r="K45" s="15"/>
      <c r="L45" s="15"/>
      <c r="M45" s="15"/>
      <c r="O45" s="15"/>
      <c r="AB45" s="28"/>
    </row>
    <row r="46" spans="1:34" s="12" customFormat="1" ht="15.75" x14ac:dyDescent="0.25">
      <c r="A46" s="37" t="s">
        <v>38</v>
      </c>
      <c r="B46" s="29" t="s">
        <v>48</v>
      </c>
      <c r="C46" s="34">
        <f t="shared" ref="C46:C54" si="0">1-(((D46*3600)+(LEFT(E46,2)*60)+RIGHT(E46,2))/((60*60*24)*$C$8))</f>
        <v>0.99791479988052567</v>
      </c>
      <c r="D46" s="20" t="str">
        <f>TEXT(SUM(D13:AG13),"[h]")</f>
        <v>1</v>
      </c>
      <c r="E46" s="20" t="str">
        <f>TEXT(SUM(D13:AG13),"mm ss")</f>
        <v>33 05</v>
      </c>
      <c r="F46" s="15"/>
      <c r="G46" s="21"/>
      <c r="H46" s="15"/>
      <c r="I46" s="15"/>
      <c r="J46" s="15"/>
      <c r="K46" s="15"/>
      <c r="L46" s="15"/>
      <c r="M46" s="15"/>
      <c r="O46" s="15"/>
      <c r="AB46" s="28"/>
    </row>
    <row r="47" spans="1:34" s="12" customFormat="1" ht="15.75" x14ac:dyDescent="0.25">
      <c r="A47" s="37" t="s">
        <v>29</v>
      </c>
      <c r="B47" s="29" t="s">
        <v>26</v>
      </c>
      <c r="C47" s="34">
        <f t="shared" si="0"/>
        <v>0.95257280465949823</v>
      </c>
      <c r="D47" s="20" t="str">
        <f>TEXT(SUM(D14:AG14),"[h]")</f>
        <v>35</v>
      </c>
      <c r="E47" s="20" t="str">
        <f>TEXT(SUM(D14:AG14),"mm ss")</f>
        <v>17 09</v>
      </c>
      <c r="F47" s="15"/>
      <c r="G47" s="21"/>
      <c r="H47" s="15"/>
      <c r="I47" s="15"/>
      <c r="J47" s="15"/>
      <c r="K47" s="15"/>
      <c r="L47" s="15"/>
      <c r="M47" s="15"/>
      <c r="O47" s="15"/>
      <c r="AB47" s="28"/>
    </row>
    <row r="48" spans="1:34" s="12" customFormat="1" ht="15.75" x14ac:dyDescent="0.25">
      <c r="A48" s="37" t="s">
        <v>30</v>
      </c>
      <c r="B48" s="48" t="s">
        <v>19</v>
      </c>
      <c r="C48" s="34">
        <f t="shared" si="0"/>
        <v>1</v>
      </c>
      <c r="D48" s="20" t="str">
        <f>TEXT(SUM(D15:AG15),"[h]")</f>
        <v>0</v>
      </c>
      <c r="E48" s="20" t="str">
        <f>TEXT(SUM(D15:AG15),"mm ss")</f>
        <v>00 00</v>
      </c>
      <c r="F48" s="15"/>
      <c r="G48" s="21"/>
      <c r="H48" s="67"/>
      <c r="I48" s="15"/>
      <c r="J48" s="15"/>
      <c r="K48" s="15"/>
      <c r="L48" s="15"/>
      <c r="M48" s="15"/>
      <c r="O48" s="15"/>
    </row>
    <row r="49" spans="1:32" s="12" customFormat="1" ht="15.75" x14ac:dyDescent="0.25">
      <c r="A49" s="37" t="s">
        <v>31</v>
      </c>
      <c r="B49" s="29" t="s">
        <v>20</v>
      </c>
      <c r="C49" s="34">
        <f t="shared" si="0"/>
        <v>0.99755114994026284</v>
      </c>
      <c r="D49" s="20" t="str">
        <f>TEXT(SUM(D16:AG16),"[h]")</f>
        <v>1</v>
      </c>
      <c r="E49" s="20" t="str">
        <f>TEXT(SUM(D16:AG16),"mm ss")</f>
        <v>49 19</v>
      </c>
      <c r="F49" s="15"/>
      <c r="G49" s="21"/>
      <c r="H49" s="15"/>
      <c r="I49" s="15"/>
      <c r="J49" s="15"/>
      <c r="K49" s="15"/>
      <c r="L49" s="15"/>
      <c r="M49" s="15"/>
      <c r="O49" s="15"/>
    </row>
    <row r="50" spans="1:32" s="12" customFormat="1" ht="15.75" x14ac:dyDescent="0.25">
      <c r="A50" s="37" t="s">
        <v>32</v>
      </c>
      <c r="B50" s="29" t="s">
        <v>21</v>
      </c>
      <c r="C50" s="34">
        <f t="shared" si="0"/>
        <v>0.99804323476702506</v>
      </c>
      <c r="D50" s="20" t="str">
        <f>TEXT(SUM(D17:AG17),"[h]")</f>
        <v>1</v>
      </c>
      <c r="E50" s="20" t="str">
        <f>TEXT(SUM(D17:AG17),"mm ss")</f>
        <v>27 21</v>
      </c>
      <c r="F50" s="15"/>
      <c r="G50" s="21"/>
      <c r="H50" s="15"/>
      <c r="I50" s="15"/>
      <c r="J50" s="15"/>
      <c r="K50" s="15"/>
      <c r="L50" s="15"/>
      <c r="M50" s="15"/>
      <c r="O50" s="15"/>
    </row>
    <row r="51" spans="1:32" s="12" customFormat="1" ht="15.75" x14ac:dyDescent="0.25">
      <c r="A51" s="37" t="s">
        <v>33</v>
      </c>
      <c r="B51" s="29" t="s">
        <v>22</v>
      </c>
      <c r="C51" s="34">
        <f t="shared" si="0"/>
        <v>1</v>
      </c>
      <c r="D51" s="20" t="str">
        <f>TEXT(SUM(D18:AG18),"[h]")</f>
        <v>0</v>
      </c>
      <c r="E51" s="20" t="str">
        <f>TEXT(SUM(D18:AG18),"mm ss")</f>
        <v>00 00</v>
      </c>
      <c r="F51" s="15"/>
      <c r="G51" s="21"/>
      <c r="H51" s="15"/>
      <c r="I51" s="15"/>
      <c r="J51" s="68"/>
      <c r="K51" s="15"/>
      <c r="L51" s="15"/>
      <c r="M51" s="15"/>
      <c r="O51" s="15"/>
    </row>
    <row r="52" spans="1:32" s="12" customFormat="1" ht="15.75" x14ac:dyDescent="0.25">
      <c r="A52" s="37" t="s">
        <v>34</v>
      </c>
      <c r="B52" s="29" t="s">
        <v>28</v>
      </c>
      <c r="C52" s="34">
        <f t="shared" si="0"/>
        <v>0.99983758960573477</v>
      </c>
      <c r="D52" s="20" t="str">
        <f>TEXT(SUM(D19:AG19),"[h]")</f>
        <v>0</v>
      </c>
      <c r="E52" s="20" t="str">
        <f>TEXT(SUM(D19:AG19),"mm ss")</f>
        <v>07 15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2" s="12" customFormat="1" ht="15.75" x14ac:dyDescent="0.25">
      <c r="A53" s="37" t="s">
        <v>35</v>
      </c>
      <c r="B53" s="29" t="s">
        <v>27</v>
      </c>
      <c r="C53" s="34">
        <f t="shared" si="0"/>
        <v>1</v>
      </c>
      <c r="D53" s="20" t="str">
        <f>TEXT(SUM(D20:AG20),"[h]")</f>
        <v>0</v>
      </c>
      <c r="E53" s="20" t="str">
        <f>TEXT(SUM(D20:AG20),"mm ss")</f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</row>
    <row r="54" spans="1:32" s="12" customFormat="1" ht="15.75" x14ac:dyDescent="0.25">
      <c r="A54" s="37" t="s">
        <v>36</v>
      </c>
      <c r="B54" s="29" t="s">
        <v>25</v>
      </c>
      <c r="C54" s="34">
        <f t="shared" si="0"/>
        <v>1</v>
      </c>
      <c r="D54" s="20" t="str">
        <f>TEXT(SUM(D21:AG21),"[h]")</f>
        <v>0</v>
      </c>
      <c r="E54" s="20" t="str">
        <f>TEXT(SUM(D21:AG21),"mm ss")</f>
        <v>00 00</v>
      </c>
      <c r="F54" s="15"/>
      <c r="G54" s="21"/>
      <c r="H54" s="15"/>
      <c r="I54" s="15"/>
      <c r="J54" s="15"/>
      <c r="K54" s="15"/>
      <c r="L54" s="15"/>
      <c r="M54" s="15"/>
      <c r="N54" s="15"/>
      <c r="O54" s="58"/>
    </row>
    <row r="55" spans="1:32" s="12" customFormat="1" ht="15.75" x14ac:dyDescent="0.25">
      <c r="A55" s="37" t="s">
        <v>37</v>
      </c>
      <c r="B55" s="29" t="s">
        <v>24</v>
      </c>
      <c r="C55" s="30">
        <f>1-(((D55*3600)+(LEFT(E55,2)*60)+RIGHT(E55,2))/((60*60*24)*$C$8))</f>
        <v>1</v>
      </c>
      <c r="D55" s="20" t="str">
        <f>TEXT(SUM(D22:AG22),"[h]")</f>
        <v>0</v>
      </c>
      <c r="E55" s="20" t="str">
        <f>TEXT(SUM(D22:AG22),"mm ss")</f>
        <v>00 00</v>
      </c>
      <c r="F55" s="15"/>
      <c r="G55" s="21"/>
      <c r="H55" s="15"/>
      <c r="I55" s="15"/>
      <c r="J55" s="15"/>
      <c r="K55" s="15"/>
      <c r="L55" s="15"/>
      <c r="M55" s="15"/>
      <c r="N55" s="15"/>
      <c r="O55" s="58"/>
    </row>
    <row r="56" spans="1:32" s="12" customFormat="1" ht="15.75" x14ac:dyDescent="0.25">
      <c r="A56" s="37" t="s">
        <v>39</v>
      </c>
      <c r="B56" s="29" t="s">
        <v>44</v>
      </c>
      <c r="C56" s="30">
        <f t="shared" ref="C56:C58" si="1">1-(((D56*3600)+(LEFT(E56,2)*60)+RIGHT(E56,2))/((60*60*24)*$C$8))</f>
        <v>0.99611223118279568</v>
      </c>
      <c r="D56" s="20" t="str">
        <f>TEXT(SUM(D23:AG23),"[h]")</f>
        <v>2</v>
      </c>
      <c r="E56" s="20" t="str">
        <f>TEXT(SUM(D23:AG23),"mm ss")</f>
        <v>53 33</v>
      </c>
      <c r="F56" s="15"/>
      <c r="G56" s="21"/>
      <c r="H56" s="15"/>
      <c r="I56" s="15"/>
      <c r="J56" s="15"/>
      <c r="K56" s="15"/>
      <c r="L56" s="15"/>
      <c r="M56" s="15"/>
      <c r="N56" s="15"/>
      <c r="O56" s="58"/>
    </row>
    <row r="57" spans="1:32" s="12" customFormat="1" ht="15.75" x14ac:dyDescent="0.25">
      <c r="A57" s="37" t="s">
        <v>42</v>
      </c>
      <c r="B57" s="29" t="s">
        <v>45</v>
      </c>
      <c r="C57" s="30">
        <f t="shared" si="1"/>
        <v>1</v>
      </c>
      <c r="D57" s="20" t="str">
        <f>TEXT(SUM(D24:AG24),"[h]")</f>
        <v>0</v>
      </c>
      <c r="E57" s="20" t="str">
        <f>TEXT(SUM(D24:AG24),"mm ss")</f>
        <v>00 00</v>
      </c>
      <c r="F57" s="15"/>
      <c r="G57" s="21"/>
      <c r="H57" s="15"/>
      <c r="I57" s="15"/>
      <c r="J57" s="15"/>
      <c r="K57" s="15"/>
      <c r="L57" s="15"/>
      <c r="M57" s="15"/>
      <c r="N57" s="15"/>
      <c r="O57" s="58"/>
    </row>
    <row r="58" spans="1:32" s="16" customFormat="1" ht="15.75" x14ac:dyDescent="0.25">
      <c r="A58" s="57" t="s">
        <v>43</v>
      </c>
      <c r="B58" s="29" t="s">
        <v>47</v>
      </c>
      <c r="C58" s="30">
        <f t="shared" si="1"/>
        <v>1</v>
      </c>
      <c r="D58" s="20" t="str">
        <f>TEXT(SUM(D25:AG25),"[h]")</f>
        <v>0</v>
      </c>
      <c r="E58" s="20" t="str">
        <f>TEXT(SUM(D25:AG25),"mm ss")</f>
        <v>00 00</v>
      </c>
      <c r="F58" s="15"/>
      <c r="G58" s="21"/>
      <c r="H58" s="15"/>
      <c r="I58" s="15"/>
      <c r="J58" s="15"/>
      <c r="K58" s="15"/>
      <c r="L58" s="58"/>
      <c r="M58" s="58"/>
      <c r="N58" s="58"/>
      <c r="O58" s="59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1:32" ht="15.75" x14ac:dyDescent="0.25">
      <c r="A59" s="47"/>
      <c r="B59" s="48"/>
      <c r="C59" s="49"/>
      <c r="D59" s="50"/>
      <c r="E59" s="50"/>
      <c r="F59" s="15"/>
      <c r="G59" s="21"/>
      <c r="H59" s="15"/>
      <c r="I59" s="15"/>
      <c r="J59" s="15"/>
      <c r="K59" s="15"/>
      <c r="L59" s="58"/>
      <c r="M59" s="58"/>
      <c r="N59" s="58"/>
      <c r="O59" s="60"/>
    </row>
    <row r="60" spans="1:32" x14ac:dyDescent="0.2">
      <c r="A60" s="13"/>
      <c r="B60" s="12"/>
      <c r="C60" s="26"/>
      <c r="D60" s="25"/>
      <c r="E60" s="15"/>
      <c r="F60" s="15"/>
      <c r="G60" s="15"/>
      <c r="H60" s="15"/>
      <c r="I60" s="15"/>
      <c r="J60" s="15"/>
      <c r="K60" s="15"/>
      <c r="L60" s="58"/>
      <c r="M60" s="58"/>
      <c r="N60" s="58"/>
      <c r="O60" s="60"/>
    </row>
    <row r="61" spans="1:32" x14ac:dyDescent="0.2">
      <c r="A61" s="13"/>
      <c r="B61" s="12"/>
      <c r="C61" s="12"/>
      <c r="D61" s="14"/>
      <c r="E61" s="15"/>
      <c r="F61" s="15"/>
      <c r="G61" s="15"/>
      <c r="H61" s="15"/>
      <c r="I61" s="15"/>
      <c r="J61" s="15"/>
      <c r="K61" s="15"/>
      <c r="L61" s="58"/>
      <c r="M61" s="58"/>
      <c r="N61" s="58"/>
      <c r="O61" s="60"/>
    </row>
    <row r="62" spans="1:32" x14ac:dyDescent="0.2">
      <c r="A62" s="14"/>
      <c r="B62" s="24" t="s">
        <v>13</v>
      </c>
      <c r="C62" s="19"/>
      <c r="D62" s="18"/>
      <c r="E62" s="18"/>
      <c r="F62" s="18"/>
      <c r="G62" s="18"/>
      <c r="H62" s="18"/>
      <c r="I62" s="18"/>
      <c r="J62" s="18"/>
      <c r="K62" s="18"/>
      <c r="L62" s="59"/>
      <c r="M62" s="59"/>
      <c r="N62" s="59"/>
      <c r="O62" s="60"/>
    </row>
    <row r="63" spans="1:32" x14ac:dyDescent="0.2">
      <c r="A63"/>
      <c r="B63" s="12" t="s">
        <v>16</v>
      </c>
      <c r="C63" s="27">
        <f>(SUM(C46:C58))/(100%*13)</f>
        <v>0.99554090846429566</v>
      </c>
      <c r="G63" s="35"/>
      <c r="L63" s="60"/>
      <c r="M63" s="60"/>
      <c r="N63" s="60"/>
      <c r="O63" s="60"/>
    </row>
    <row r="64" spans="1:32" x14ac:dyDescent="0.2">
      <c r="A64"/>
      <c r="B64" s="12"/>
      <c r="C64" s="85"/>
      <c r="G64" s="35"/>
      <c r="L64" s="60"/>
      <c r="M64" s="60"/>
      <c r="N64" s="60"/>
      <c r="O64" s="60"/>
    </row>
  </sheetData>
  <mergeCells count="22">
    <mergeCell ref="D26:AG26"/>
    <mergeCell ref="A10:A11"/>
    <mergeCell ref="B10:B11"/>
    <mergeCell ref="C10:C11"/>
    <mergeCell ref="A27:B39"/>
    <mergeCell ref="D31:J31"/>
    <mergeCell ref="D32:K32"/>
    <mergeCell ref="D33:K33"/>
    <mergeCell ref="D34:L34"/>
    <mergeCell ref="D35:L35"/>
    <mergeCell ref="D36:L36"/>
    <mergeCell ref="A44:A45"/>
    <mergeCell ref="B44:B45"/>
    <mergeCell ref="C44:C45"/>
    <mergeCell ref="D44:E44"/>
    <mergeCell ref="D27:AG27"/>
    <mergeCell ref="D28:AG28"/>
    <mergeCell ref="D29:AG29"/>
    <mergeCell ref="D30:AG30"/>
    <mergeCell ref="D37:L37"/>
    <mergeCell ref="D38:M38"/>
    <mergeCell ref="D39:N39"/>
  </mergeCells>
  <phoneticPr fontId="9" type="noConversion"/>
  <conditionalFormatting sqref="D15:F15 G21:M21 D17:N18 AE18:AF18 AE21:AF21 O17:Z17 P21:Z21 D13:D21 AB21:AC21 AB17:AF17">
    <cfRule type="cellIs" dxfId="101" priority="216" stopIfTrue="1" operator="greaterThan">
      <formula>0</formula>
    </cfRule>
  </conditionalFormatting>
  <conditionalFormatting sqref="I15:M15">
    <cfRule type="cellIs" dxfId="100" priority="215" stopIfTrue="1" operator="greaterThan">
      <formula>0</formula>
    </cfRule>
  </conditionalFormatting>
  <conditionalFormatting sqref="W18:Z18 O15:Z15 O18:U18 AB15:AD15 AB18:AC18">
    <cfRule type="cellIs" dxfId="99" priority="214" stopIfTrue="1" operator="greaterThan">
      <formula>0</formula>
    </cfRule>
  </conditionalFormatting>
  <conditionalFormatting sqref="G15">
    <cfRule type="cellIs" dxfId="98" priority="208" stopIfTrue="1" operator="greaterThan">
      <formula>0</formula>
    </cfRule>
  </conditionalFormatting>
  <conditionalFormatting sqref="N15">
    <cfRule type="cellIs" dxfId="97" priority="207" stopIfTrue="1" operator="greaterThan">
      <formula>0</formula>
    </cfRule>
  </conditionalFormatting>
  <conditionalFormatting sqref="H15">
    <cfRule type="cellIs" dxfId="96" priority="201" stopIfTrue="1" operator="greaterThan">
      <formula>0</formula>
    </cfRule>
  </conditionalFormatting>
  <conditionalFormatting sqref="AD18">
    <cfRule type="cellIs" dxfId="95" priority="200" stopIfTrue="1" operator="greaterThan">
      <formula>0</formula>
    </cfRule>
  </conditionalFormatting>
  <conditionalFormatting sqref="V18">
    <cfRule type="cellIs" dxfId="94" priority="195" stopIfTrue="1" operator="greaterThan">
      <formula>0</formula>
    </cfRule>
  </conditionalFormatting>
  <conditionalFormatting sqref="AE15:AF15">
    <cfRule type="cellIs" dxfId="93" priority="192" stopIfTrue="1" operator="greaterThan">
      <formula>0</formula>
    </cfRule>
  </conditionalFormatting>
  <conditionalFormatting sqref="D14:F14">
    <cfRule type="cellIs" dxfId="92" priority="186" stopIfTrue="1" operator="greaterThan">
      <formula>0</formula>
    </cfRule>
  </conditionalFormatting>
  <conditionalFormatting sqref="I14:M14">
    <cfRule type="cellIs" dxfId="91" priority="185" stopIfTrue="1" operator="greaterThan">
      <formula>0</formula>
    </cfRule>
  </conditionalFormatting>
  <conditionalFormatting sqref="O14:Z14 AB14:AD14">
    <cfRule type="cellIs" dxfId="90" priority="184" stopIfTrue="1" operator="greaterThan">
      <formula>0</formula>
    </cfRule>
  </conditionalFormatting>
  <conditionalFormatting sqref="G14">
    <cfRule type="cellIs" dxfId="89" priority="183" stopIfTrue="1" operator="greaterThan">
      <formula>0</formula>
    </cfRule>
  </conditionalFormatting>
  <conditionalFormatting sqref="N14">
    <cfRule type="cellIs" dxfId="88" priority="182" stopIfTrue="1" operator="greaterThan">
      <formula>0</formula>
    </cfRule>
  </conditionalFormatting>
  <conditionalFormatting sqref="H14">
    <cfRule type="cellIs" dxfId="87" priority="181" stopIfTrue="1" operator="greaterThan">
      <formula>0</formula>
    </cfRule>
  </conditionalFormatting>
  <conditionalFormatting sqref="AE14:AF14">
    <cfRule type="cellIs" dxfId="86" priority="180" stopIfTrue="1" operator="greaterThan">
      <formula>0</formula>
    </cfRule>
  </conditionalFormatting>
  <conditionalFormatting sqref="D13:F13">
    <cfRule type="cellIs" dxfId="85" priority="170" stopIfTrue="1" operator="greaterThan">
      <formula>0</formula>
    </cfRule>
  </conditionalFormatting>
  <conditionalFormatting sqref="D16:F16">
    <cfRule type="cellIs" dxfId="84" priority="162" stopIfTrue="1" operator="greaterThan">
      <formula>0</formula>
    </cfRule>
  </conditionalFormatting>
  <conditionalFormatting sqref="I13:M13">
    <cfRule type="cellIs" dxfId="83" priority="169" stopIfTrue="1" operator="greaterThan">
      <formula>0</formula>
    </cfRule>
  </conditionalFormatting>
  <conditionalFormatting sqref="O13:Z13 AB13:AD13">
    <cfRule type="cellIs" dxfId="82" priority="168" stopIfTrue="1" operator="greaterThan">
      <formula>0</formula>
    </cfRule>
  </conditionalFormatting>
  <conditionalFormatting sqref="G13">
    <cfRule type="cellIs" dxfId="81" priority="167" stopIfTrue="1" operator="greaterThan">
      <formula>0</formula>
    </cfRule>
  </conditionalFormatting>
  <conditionalFormatting sqref="N13">
    <cfRule type="cellIs" dxfId="80" priority="166" stopIfTrue="1" operator="greaterThan">
      <formula>0</formula>
    </cfRule>
  </conditionalFormatting>
  <conditionalFormatting sqref="H13">
    <cfRule type="cellIs" dxfId="79" priority="165" stopIfTrue="1" operator="greaterThan">
      <formula>0</formula>
    </cfRule>
  </conditionalFormatting>
  <conditionalFormatting sqref="AE13:AF13">
    <cfRule type="cellIs" dxfId="78" priority="164" stopIfTrue="1" operator="greaterThan">
      <formula>0</formula>
    </cfRule>
  </conditionalFormatting>
  <conditionalFormatting sqref="I16:M16">
    <cfRule type="cellIs" dxfId="77" priority="161" stopIfTrue="1" operator="greaterThan">
      <formula>0</formula>
    </cfRule>
  </conditionalFormatting>
  <conditionalFormatting sqref="O16:Q16">
    <cfRule type="cellIs" dxfId="76" priority="160" stopIfTrue="1" operator="greaterThan">
      <formula>0</formula>
    </cfRule>
  </conditionalFormatting>
  <conditionalFormatting sqref="G16">
    <cfRule type="cellIs" dxfId="75" priority="159" stopIfTrue="1" operator="greaterThan">
      <formula>0</formula>
    </cfRule>
  </conditionalFormatting>
  <conditionalFormatting sqref="N16">
    <cfRule type="cellIs" dxfId="74" priority="158" stopIfTrue="1" operator="greaterThan">
      <formula>0</formula>
    </cfRule>
  </conditionalFormatting>
  <conditionalFormatting sqref="H16">
    <cfRule type="cellIs" dxfId="73" priority="157" stopIfTrue="1" operator="greaterThan">
      <formula>0</formula>
    </cfRule>
  </conditionalFormatting>
  <conditionalFormatting sqref="D19:F19">
    <cfRule type="cellIs" dxfId="72" priority="142" stopIfTrue="1" operator="greaterThan">
      <formula>0</formula>
    </cfRule>
  </conditionalFormatting>
  <conditionalFormatting sqref="I19:M19">
    <cfRule type="cellIs" dxfId="71" priority="141" stopIfTrue="1" operator="greaterThan">
      <formula>0</formula>
    </cfRule>
  </conditionalFormatting>
  <conditionalFormatting sqref="O19:U19 W19:Z19 AB19:AC19">
    <cfRule type="cellIs" dxfId="70" priority="140" stopIfTrue="1" operator="greaterThan">
      <formula>0</formula>
    </cfRule>
  </conditionalFormatting>
  <conditionalFormatting sqref="G19">
    <cfRule type="cellIs" dxfId="69" priority="139" stopIfTrue="1" operator="greaterThan">
      <formula>0</formula>
    </cfRule>
  </conditionalFormatting>
  <conditionalFormatting sqref="N19">
    <cfRule type="cellIs" dxfId="68" priority="138" stopIfTrue="1" operator="greaterThan">
      <formula>0</formula>
    </cfRule>
  </conditionalFormatting>
  <conditionalFormatting sqref="H19">
    <cfRule type="cellIs" dxfId="67" priority="137" stopIfTrue="1" operator="greaterThan">
      <formula>0</formula>
    </cfRule>
  </conditionalFormatting>
  <conditionalFormatting sqref="AD19">
    <cfRule type="cellIs" dxfId="66" priority="136" stopIfTrue="1" operator="greaterThan">
      <formula>0</formula>
    </cfRule>
  </conditionalFormatting>
  <conditionalFormatting sqref="D20">
    <cfRule type="cellIs" dxfId="65" priority="128" stopIfTrue="1" operator="greaterThan">
      <formula>0</formula>
    </cfRule>
  </conditionalFormatting>
  <conditionalFormatting sqref="V19">
    <cfRule type="cellIs" dxfId="64" priority="134" stopIfTrue="1" operator="greaterThan">
      <formula>0</formula>
    </cfRule>
  </conditionalFormatting>
  <conditionalFormatting sqref="AE19:AF19">
    <cfRule type="cellIs" dxfId="63" priority="133" stopIfTrue="1" operator="greaterThan">
      <formula>0</formula>
    </cfRule>
  </conditionalFormatting>
  <conditionalFormatting sqref="G20:H20 AE20:AF20 J20:V20">
    <cfRule type="cellIs" dxfId="62" priority="131" stopIfTrue="1" operator="greaterThan">
      <formula>0</formula>
    </cfRule>
  </conditionalFormatting>
  <conditionalFormatting sqref="W20 Y20:Z20 AB20">
    <cfRule type="cellIs" dxfId="61" priority="130" stopIfTrue="1" operator="greaterThan">
      <formula>0</formula>
    </cfRule>
  </conditionalFormatting>
  <conditionalFormatting sqref="AC20">
    <cfRule type="cellIs" dxfId="60" priority="129" stopIfTrue="1" operator="greaterThan">
      <formula>0</formula>
    </cfRule>
  </conditionalFormatting>
  <conditionalFormatting sqref="AD20:AD21">
    <cfRule type="cellIs" dxfId="59" priority="126" stopIfTrue="1" operator="greaterThan">
      <formula>0</formula>
    </cfRule>
  </conditionalFormatting>
  <conditionalFormatting sqref="W16">
    <cfRule type="cellIs" dxfId="58" priority="115" stopIfTrue="1" operator="greaterThan">
      <formula>0</formula>
    </cfRule>
  </conditionalFormatting>
  <conditionalFormatting sqref="V16">
    <cfRule type="cellIs" dxfId="57" priority="116" stopIfTrue="1" operator="greaterThan">
      <formula>0</formula>
    </cfRule>
  </conditionalFormatting>
  <conditionalFormatting sqref="R16">
    <cfRule type="cellIs" dxfId="56" priority="120" stopIfTrue="1" operator="greaterThan">
      <formula>0</formula>
    </cfRule>
  </conditionalFormatting>
  <conditionalFormatting sqref="S16">
    <cfRule type="cellIs" dxfId="55" priority="119" stopIfTrue="1" operator="greaterThan">
      <formula>0</formula>
    </cfRule>
  </conditionalFormatting>
  <conditionalFormatting sqref="T16">
    <cfRule type="cellIs" dxfId="54" priority="118" stopIfTrue="1" operator="greaterThan">
      <formula>0</formula>
    </cfRule>
  </conditionalFormatting>
  <conditionalFormatting sqref="U16">
    <cfRule type="cellIs" dxfId="53" priority="117" stopIfTrue="1" operator="greaterThan">
      <formula>0</formula>
    </cfRule>
  </conditionalFormatting>
  <conditionalFormatting sqref="X16">
    <cfRule type="cellIs" dxfId="52" priority="114" stopIfTrue="1" operator="greaterThan">
      <formula>0</formula>
    </cfRule>
  </conditionalFormatting>
  <conditionalFormatting sqref="Y16">
    <cfRule type="cellIs" dxfId="51" priority="113" stopIfTrue="1" operator="greaterThan">
      <formula>0</formula>
    </cfRule>
  </conditionalFormatting>
  <conditionalFormatting sqref="Z16">
    <cfRule type="cellIs" dxfId="50" priority="112" stopIfTrue="1" operator="greaterThan">
      <formula>0</formula>
    </cfRule>
  </conditionalFormatting>
  <conditionalFormatting sqref="AB16">
    <cfRule type="cellIs" dxfId="49" priority="110" stopIfTrue="1" operator="greaterThan">
      <formula>0</formula>
    </cfRule>
  </conditionalFormatting>
  <conditionalFormatting sqref="AC16">
    <cfRule type="cellIs" dxfId="48" priority="109" stopIfTrue="1" operator="greaterThan">
      <formula>0</formula>
    </cfRule>
  </conditionalFormatting>
  <conditionalFormatting sqref="AD16">
    <cfRule type="cellIs" dxfId="47" priority="108" stopIfTrue="1" operator="greaterThan">
      <formula>0</formula>
    </cfRule>
  </conditionalFormatting>
  <conditionalFormatting sqref="AE16:AF16">
    <cfRule type="cellIs" dxfId="46" priority="107" stopIfTrue="1" operator="greaterThan">
      <formula>0</formula>
    </cfRule>
  </conditionalFormatting>
  <conditionalFormatting sqref="D22:J22 M22:Z22 AB22:AF24 D23:Z24">
    <cfRule type="cellIs" dxfId="45" priority="65" stopIfTrue="1" operator="greaterThan">
      <formula>0</formula>
    </cfRule>
  </conditionalFormatting>
  <conditionalFormatting sqref="AG13">
    <cfRule type="cellIs" dxfId="44" priority="55" stopIfTrue="1" operator="greaterThan">
      <formula>0</formula>
    </cfRule>
  </conditionalFormatting>
  <conditionalFormatting sqref="AG13">
    <cfRule type="cellIs" dxfId="43" priority="46" stopIfTrue="1" operator="greaterThan">
      <formula>0</formula>
    </cfRule>
  </conditionalFormatting>
  <conditionalFormatting sqref="AG21 AG17:AG18">
    <cfRule type="cellIs" dxfId="42" priority="59" stopIfTrue="1" operator="greaterThan">
      <formula>0</formula>
    </cfRule>
  </conditionalFormatting>
  <conditionalFormatting sqref="AG15">
    <cfRule type="cellIs" dxfId="41" priority="58" stopIfTrue="1" operator="greaterThan">
      <formula>0</formula>
    </cfRule>
  </conditionalFormatting>
  <conditionalFormatting sqref="AG14">
    <cfRule type="cellIs" dxfId="40" priority="57" stopIfTrue="1" operator="greaterThan">
      <formula>0</formula>
    </cfRule>
  </conditionalFormatting>
  <conditionalFormatting sqref="AG19">
    <cfRule type="cellIs" dxfId="39" priority="54" stopIfTrue="1" operator="greaterThan">
      <formula>0</formula>
    </cfRule>
  </conditionalFormatting>
  <conditionalFormatting sqref="AG20">
    <cfRule type="cellIs" dxfId="38" priority="53" stopIfTrue="1" operator="greaterThan">
      <formula>0</formula>
    </cfRule>
  </conditionalFormatting>
  <conditionalFormatting sqref="AG16">
    <cfRule type="cellIs" dxfId="37" priority="52" stopIfTrue="1" operator="greaterThan">
      <formula>0</formula>
    </cfRule>
  </conditionalFormatting>
  <conditionalFormatting sqref="AG21 AG17:AG18">
    <cfRule type="cellIs" dxfId="36" priority="50" stopIfTrue="1" operator="greaterThan">
      <formula>0</formula>
    </cfRule>
  </conditionalFormatting>
  <conditionalFormatting sqref="AG15">
    <cfRule type="cellIs" dxfId="35" priority="49" stopIfTrue="1" operator="greaterThan">
      <formula>0</formula>
    </cfRule>
  </conditionalFormatting>
  <conditionalFormatting sqref="AG14">
    <cfRule type="cellIs" dxfId="34" priority="48" stopIfTrue="1" operator="greaterThan">
      <formula>0</formula>
    </cfRule>
  </conditionalFormatting>
  <conditionalFormatting sqref="AG19">
    <cfRule type="cellIs" dxfId="33" priority="45" stopIfTrue="1" operator="greaterThan">
      <formula>0</formula>
    </cfRule>
  </conditionalFormatting>
  <conditionalFormatting sqref="AG20">
    <cfRule type="cellIs" dxfId="32" priority="44" stopIfTrue="1" operator="greaterThan">
      <formula>0</formula>
    </cfRule>
  </conditionalFormatting>
  <conditionalFormatting sqref="AG16">
    <cfRule type="cellIs" dxfId="31" priority="43" stopIfTrue="1" operator="greaterThan">
      <formula>0</formula>
    </cfRule>
  </conditionalFormatting>
  <conditionalFormatting sqref="AF13">
    <cfRule type="cellIs" dxfId="30" priority="37" stopIfTrue="1" operator="greaterThan">
      <formula>0</formula>
    </cfRule>
  </conditionalFormatting>
  <conditionalFormatting sqref="AF19">
    <cfRule type="cellIs" dxfId="29" priority="36" stopIfTrue="1" operator="greaterThan">
      <formula>0</formula>
    </cfRule>
  </conditionalFormatting>
  <conditionalFormatting sqref="AF23:AF24">
    <cfRule type="cellIs" dxfId="28" priority="33" stopIfTrue="1" operator="greaterThan">
      <formula>0</formula>
    </cfRule>
  </conditionalFormatting>
  <conditionalFormatting sqref="AF21 AF17:AF18">
    <cfRule type="cellIs" dxfId="27" priority="41" stopIfTrue="1" operator="greaterThan">
      <formula>0</formula>
    </cfRule>
  </conditionalFormatting>
  <conditionalFormatting sqref="AF15">
    <cfRule type="cellIs" dxfId="26" priority="40" stopIfTrue="1" operator="greaterThan">
      <formula>0</formula>
    </cfRule>
  </conditionalFormatting>
  <conditionalFormatting sqref="AF14">
    <cfRule type="cellIs" dxfId="25" priority="39" stopIfTrue="1" operator="greaterThan">
      <formula>0</formula>
    </cfRule>
  </conditionalFormatting>
  <conditionalFormatting sqref="AF20">
    <cfRule type="cellIs" dxfId="24" priority="35" stopIfTrue="1" operator="greaterThan">
      <formula>0</formula>
    </cfRule>
  </conditionalFormatting>
  <conditionalFormatting sqref="AF16">
    <cfRule type="cellIs" dxfId="23" priority="34" stopIfTrue="1" operator="greaterThan">
      <formula>0</formula>
    </cfRule>
  </conditionalFormatting>
  <conditionalFormatting sqref="D25:J25 M25:Z25 AB25:AF25">
    <cfRule type="cellIs" dxfId="22" priority="32" stopIfTrue="1" operator="greaterThan">
      <formula>0</formula>
    </cfRule>
  </conditionalFormatting>
  <conditionalFormatting sqref="AG25">
    <cfRule type="cellIs" dxfId="21" priority="30" stopIfTrue="1" operator="greaterThan">
      <formula>0</formula>
    </cfRule>
  </conditionalFormatting>
  <conditionalFormatting sqref="AG25">
    <cfRule type="cellIs" dxfId="20" priority="29" stopIfTrue="1" operator="greaterThan">
      <formula>0</formula>
    </cfRule>
  </conditionalFormatting>
  <conditionalFormatting sqref="AF25">
    <cfRule type="cellIs" dxfId="19" priority="28" stopIfTrue="1" operator="greaterThan">
      <formula>0</formula>
    </cfRule>
  </conditionalFormatting>
  <conditionalFormatting sqref="N21">
    <cfRule type="cellIs" dxfId="18" priority="26" stopIfTrue="1" operator="greaterThan">
      <formula>0</formula>
    </cfRule>
  </conditionalFormatting>
  <conditionalFormatting sqref="O21">
    <cfRule type="cellIs" dxfId="17" priority="25" stopIfTrue="1" operator="greaterThan">
      <formula>0</formula>
    </cfRule>
  </conditionalFormatting>
  <conditionalFormatting sqref="AG22:AG24">
    <cfRule type="cellIs" dxfId="16" priority="24" stopIfTrue="1" operator="greaterThan">
      <formula>0</formula>
    </cfRule>
  </conditionalFormatting>
  <conditionalFormatting sqref="E21:F21">
    <cfRule type="cellIs" dxfId="15" priority="23" stopIfTrue="1" operator="greaterThan">
      <formula>0</formula>
    </cfRule>
  </conditionalFormatting>
  <conditionalFormatting sqref="E20:F20">
    <cfRule type="cellIs" dxfId="14" priority="22" stopIfTrue="1" operator="greaterThan">
      <formula>0</formula>
    </cfRule>
  </conditionalFormatting>
  <conditionalFormatting sqref="I20">
    <cfRule type="cellIs" dxfId="13" priority="21" stopIfTrue="1" operator="greaterThan">
      <formula>0</formula>
    </cfRule>
  </conditionalFormatting>
  <conditionalFormatting sqref="X20">
    <cfRule type="cellIs" dxfId="12" priority="19" stopIfTrue="1" operator="greaterThan">
      <formula>0</formula>
    </cfRule>
  </conditionalFormatting>
  <conditionalFormatting sqref="K43">
    <cfRule type="cellIs" dxfId="11" priority="18" stopIfTrue="1" operator="greaterThan">
      <formula>0</formula>
    </cfRule>
  </conditionalFormatting>
  <conditionalFormatting sqref="L43">
    <cfRule type="cellIs" dxfId="10" priority="17" stopIfTrue="1" operator="greaterThan">
      <formula>0</formula>
    </cfRule>
  </conditionalFormatting>
  <conditionalFormatting sqref="K22">
    <cfRule type="cellIs" dxfId="9" priority="10" stopIfTrue="1" operator="greaterThan">
      <formula>0</formula>
    </cfRule>
  </conditionalFormatting>
  <conditionalFormatting sqref="K25">
    <cfRule type="cellIs" dxfId="8" priority="9" stopIfTrue="1" operator="greaterThan">
      <formula>0</formula>
    </cfRule>
  </conditionalFormatting>
  <conditionalFormatting sqref="L22">
    <cfRule type="cellIs" dxfId="7" priority="8" stopIfTrue="1" operator="greaterThan">
      <formula>0</formula>
    </cfRule>
  </conditionalFormatting>
  <conditionalFormatting sqref="L25">
    <cfRule type="cellIs" dxfId="6" priority="7" stopIfTrue="1" operator="greaterThan">
      <formula>0</formula>
    </cfRule>
  </conditionalFormatting>
  <conditionalFormatting sqref="AH13:AH25">
    <cfRule type="cellIs" dxfId="5" priority="6" stopIfTrue="1" operator="greaterThan">
      <formula>0</formula>
    </cfRule>
  </conditionalFormatting>
  <conditionalFormatting sqref="AH13:AH25">
    <cfRule type="cellIs" dxfId="4" priority="5" stopIfTrue="1" operator="greaterThan">
      <formula>0</formula>
    </cfRule>
  </conditionalFormatting>
  <conditionalFormatting sqref="AL18">
    <cfRule type="cellIs" dxfId="3" priority="4" stopIfTrue="1" operator="greaterThan">
      <formula>0</formula>
    </cfRule>
  </conditionalFormatting>
  <conditionalFormatting sqref="AL18">
    <cfRule type="cellIs" dxfId="2" priority="3" stopIfTrue="1" operator="greaterThan">
      <formula>0</formula>
    </cfRule>
  </conditionalFormatting>
  <conditionalFormatting sqref="AA13:AA22 AA24:AA25">
    <cfRule type="cellIs" dxfId="1" priority="2" stopIfTrue="1" operator="greaterThan">
      <formula>0</formula>
    </cfRule>
  </conditionalFormatting>
  <conditionalFormatting sqref="AA2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2023-04-03T01:51:27Z</dcterms:modified>
</cp:coreProperties>
</file>