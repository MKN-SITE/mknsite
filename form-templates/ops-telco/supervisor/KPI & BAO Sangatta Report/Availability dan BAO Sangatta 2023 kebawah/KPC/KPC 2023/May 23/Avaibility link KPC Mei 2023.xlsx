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3" i="11" l="1"/>
  <c r="D53" i="11"/>
  <c r="C53" i="11" l="1"/>
  <c r="D52" i="11"/>
  <c r="D51" i="11"/>
  <c r="D42" i="11"/>
  <c r="D41" i="11"/>
  <c r="E51" i="11" l="1"/>
  <c r="E52" i="11"/>
  <c r="E50" i="11"/>
  <c r="C51" i="11" l="1"/>
  <c r="C52" i="11"/>
  <c r="D50" i="11"/>
  <c r="C50" i="11" s="1"/>
  <c r="E41" i="11"/>
  <c r="C41" i="11" s="1"/>
  <c r="E42" i="11"/>
  <c r="C42" i="11" s="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C45" i="11" l="1"/>
  <c r="C49" i="11"/>
  <c r="C47" i="11"/>
  <c r="C43" i="11"/>
  <c r="C48" i="11"/>
  <c r="C46" i="11"/>
  <c r="C44" i="11"/>
  <c r="C58" i="11" l="1"/>
</calcChain>
</file>

<file path=xl/sharedStrings.xml><?xml version="1.0" encoding="utf-8"?>
<sst xmlns="http://schemas.openxmlformats.org/spreadsheetml/2006/main" count="115" uniqueCount="62">
  <si>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</si>
  <si>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</si>
  <si>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</si>
  <si>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</si>
  <si>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</si>
  <si>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</si>
  <si>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</si>
  <si>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</si>
  <si>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</si>
  <si>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</si>
  <si>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</si>
  <si>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</si>
  <si>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</si>
  <si>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</si>
  <si>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</si>
  <si>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</si>
  <si>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</si>
  <si>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</si>
  <si>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</si>
  <si>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</si>
  <si>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</si>
  <si>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</si>
  <si>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</si>
  <si>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</si>
  <si>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</si>
  <si>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</si>
  <si>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</si>
  <si>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</si>
  <si>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</si>
  <si>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</si>
  <si>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</si>
  <si>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</si>
  <si>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</si>
  <si>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</si>
  <si>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</si>
  <si>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</si>
  <si>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</si>
  <si>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</si>
  <si>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</si>
  <si>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</si>
  <si>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</si>
  <si>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</si>
  <si>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</si>
  <si>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</si>
  <si>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</si>
  <si>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</si>
  <si>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</si>
  <si>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</si>
  <si>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Remaks</t>
  </si>
  <si>
    <t>Note ;</t>
  </si>
  <si>
    <t xml:space="preserve"> </t>
  </si>
  <si>
    <t xml:space="preserve">           15k            =  tlg check loq alarmx</t>
  </si>
  <si>
    <r>
      <rPr>
        <b/>
        <sz val="10"/>
        <rFont val="Tahoma"/>
        <family val="2"/>
      </rPr>
      <t xml:space="preserve">* </t>
    </r>
    <r>
      <rPr>
        <sz val="10"/>
        <rFont val="Tahoma"/>
        <family val="2"/>
      </rPr>
      <t xml:space="preserve"> tgl 6 FN             =  tlg check loq alarmx</t>
    </r>
  </si>
  <si>
    <t xml:space="preserve">           LBTT          =  Tlg Check loq alarmx</t>
  </si>
  <si>
    <t xml:space="preserve">           High BER</t>
  </si>
  <si>
    <t xml:space="preserve">           High BER    </t>
  </si>
  <si>
    <t xml:space="preserve">           High BER ( Pointing ALU M5-SU )</t>
  </si>
  <si>
    <t>pengechekan s/d tgl 21 mei 23</t>
  </si>
  <si>
    <t>#tgl 19 Mei 23       = link Galaxi down /problem Genset ~ 1:56:14</t>
  </si>
  <si>
    <t xml:space="preserve">           Replaced Antena at SU Tower ( Kemasukan air )</t>
  </si>
  <si>
    <t xml:space="preserve">           Replaced Power supply NEC at BIG tower ( Broken )</t>
  </si>
  <si>
    <t xml:space="preserve">           Pemasangan Battrey 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</si>
</sst>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sz val="1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7" xfId="0" applyNumberFormat="1" applyFont="1" applyBorder="1" applyAlignment="1">
      <alignment horizontal="center"/>
    </xf>
    <xf numFmtId="49" fontId="6" fillId="0" borderId="19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6" fillId="0" borderId="2" xfId="0" applyFont="1" applyBorder="1"/>
    <xf numFmtId="164" fontId="6" fillId="0" borderId="21" xfId="0" applyFont="1" applyBorder="1"/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3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3" xfId="0" applyFont="1" applyBorder="1" applyAlignment="1"/>
    <xf numFmtId="164" fontId="6" fillId="0" borderId="23" xfId="0" applyFont="1" applyBorder="1"/>
    <xf numFmtId="21" fontId="6" fillId="0" borderId="23" xfId="0" applyNumberFormat="1" applyFont="1" applyBorder="1"/>
    <xf numFmtId="164" fontId="6" fillId="0" borderId="20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4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6" fillId="0" borderId="0" xfId="0" applyFont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/>
    </xf>
    <xf numFmtId="164" fontId="0" fillId="0" borderId="26" xfId="0" applyBorder="1" applyAlignment="1">
      <alignment horizontal="center"/>
    </xf>
    <xf numFmtId="164" fontId="0" fillId="0" borderId="27" xfId="0" applyBorder="1"/>
    <xf numFmtId="164" fontId="0" fillId="0" borderId="25" xfId="0" applyBorder="1"/>
    <xf numFmtId="9" fontId="13" fillId="0" borderId="25" xfId="0" applyNumberFormat="1" applyFont="1" applyBorder="1" applyAlignment="1">
      <alignment horizontal="center"/>
    </xf>
    <xf numFmtId="164" fontId="0" fillId="0" borderId="5" xfId="0" applyBorder="1"/>
    <xf numFmtId="164" fontId="0" fillId="0" borderId="22" xfId="0" applyBorder="1"/>
    <xf numFmtId="164" fontId="12" fillId="0" borderId="30" xfId="0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/>
    </xf>
    <xf numFmtId="164" fontId="35" fillId="0" borderId="3" xfId="0" applyFont="1" applyFill="1" applyBorder="1"/>
    <xf numFmtId="164" fontId="0" fillId="35" borderId="0" xfId="0" applyFill="1" applyAlignment="1">
      <alignment horizontal="center"/>
    </xf>
    <xf numFmtId="164" fontId="6" fillId="35" borderId="0" xfId="0" applyFont="1" applyFill="1" applyBorder="1"/>
    <xf numFmtId="164" fontId="0" fillId="35" borderId="0" xfId="0" applyFill="1"/>
    <xf numFmtId="164" fontId="6" fillId="35" borderId="0" xfId="0" applyFont="1" applyFill="1"/>
    <xf numFmtId="164" fontId="8" fillId="35" borderId="0" xfId="0" applyFont="1" applyFill="1"/>
    <xf numFmtId="164" fontId="8" fillId="0" borderId="15" xfId="0" applyFont="1" applyBorder="1" applyAlignment="1">
      <alignment horizontal="center" vertical="center" wrapText="1"/>
    </xf>
    <xf numFmtId="164" fontId="8" fillId="0" borderId="28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9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41" fillId="0" borderId="21" xfId="0" applyNumberFormat="1" applyFont="1" applyBorder="1" applyAlignment="1">
      <alignment horizontal="center" vertical="center" wrapText="1"/>
    </xf>
    <xf numFmtId="49" fontId="41" fillId="0" borderId="22" xfId="0" applyNumberFormat="1" applyFont="1" applyBorder="1" applyAlignment="1">
      <alignment horizontal="center" vertical="center" wrapText="1"/>
    </xf>
    <xf numFmtId="164" fontId="37" fillId="0" borderId="25" xfId="0" applyFont="1" applyBorder="1" applyAlignment="1">
      <alignment horizontal="center" vertical="center" wrapText="1"/>
    </xf>
    <xf numFmtId="164" fontId="37" fillId="0" borderId="5" xfId="0" applyFont="1" applyBorder="1" applyAlignment="1">
      <alignment horizontal="center" vertical="center" wrapText="1"/>
    </xf>
    <xf numFmtId="1" fontId="6" fillId="34" borderId="4" xfId="0" applyNumberFormat="1" applyFont="1" applyFill="1" applyBorder="1" applyAlignment="1">
      <alignment horizontal="center" vertical="center"/>
    </xf>
    <xf numFmtId="1" fontId="6" fillId="34" borderId="23" xfId="0" applyNumberFormat="1" applyFont="1" applyFill="1" applyBorder="1" applyAlignment="1">
      <alignment horizontal="center" vertical="center"/>
    </xf>
    <xf numFmtId="1" fontId="6" fillId="34" borderId="2" xfId="0" applyNumberFormat="1" applyFont="1" applyFill="1" applyBorder="1" applyAlignment="1">
      <alignment horizontal="center" vertical="center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31" xfId="0" applyFont="1" applyBorder="1" applyAlignment="1">
      <alignment horizontal="left" vertical="center"/>
    </xf>
    <xf numFmtId="164" fontId="39" fillId="0" borderId="32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" fontId="8" fillId="0" borderId="17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9"/>
  <sheetViews>
    <sheetView tabSelected="1" zoomScale="90" zoomScaleNormal="90" workbookViewId="0">
      <pane xSplit="3" ySplit="11" topLeftCell="D42" activePane="bottomRight" state="frozen"/>
      <selection pane="topRight" activeCell="D1" sqref="D1"/>
      <selection pane="bottomLeft" activeCell="A12" sqref="A12"/>
      <selection pane="bottomRight" activeCell="G37" sqref="G3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5">
        <v>44682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82">
        <v>31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97" t="s">
        <v>2</v>
      </c>
      <c r="B10" s="99" t="s">
        <v>0</v>
      </c>
      <c r="C10" s="99" t="s">
        <v>8</v>
      </c>
      <c r="D10" s="118">
        <v>44317</v>
      </c>
      <c r="E10" s="118">
        <v>44318</v>
      </c>
      <c r="F10" s="118">
        <v>44319</v>
      </c>
      <c r="G10" s="118">
        <v>44320</v>
      </c>
      <c r="H10" s="118">
        <v>44321</v>
      </c>
      <c r="I10" s="118">
        <v>44322</v>
      </c>
      <c r="J10" s="118">
        <v>44323</v>
      </c>
      <c r="K10" s="118">
        <v>44324</v>
      </c>
      <c r="L10" s="118">
        <v>44325</v>
      </c>
      <c r="M10" s="118">
        <v>44326</v>
      </c>
      <c r="N10" s="118">
        <v>44327</v>
      </c>
      <c r="O10" s="118">
        <v>44328</v>
      </c>
      <c r="P10" s="118">
        <v>44329</v>
      </c>
      <c r="Q10" s="118">
        <v>44330</v>
      </c>
      <c r="R10" s="118">
        <v>44331</v>
      </c>
      <c r="S10" s="118">
        <v>44332</v>
      </c>
      <c r="T10" s="118">
        <v>44333</v>
      </c>
      <c r="U10" s="118">
        <v>44334</v>
      </c>
      <c r="V10" s="118">
        <v>44335</v>
      </c>
      <c r="W10" s="118">
        <v>44336</v>
      </c>
      <c r="X10" s="118">
        <v>44337</v>
      </c>
      <c r="Y10" s="118">
        <v>44338</v>
      </c>
      <c r="Z10" s="118">
        <v>44339</v>
      </c>
      <c r="AA10" s="118">
        <v>44340</v>
      </c>
      <c r="AB10" s="118">
        <v>44341</v>
      </c>
      <c r="AC10" s="118">
        <v>44342</v>
      </c>
      <c r="AD10" s="118">
        <v>44343</v>
      </c>
      <c r="AE10" s="118">
        <v>44344</v>
      </c>
      <c r="AF10" s="118">
        <v>44345</v>
      </c>
      <c r="AG10" s="40">
        <v>44346</v>
      </c>
      <c r="AH10" s="77">
        <v>44347</v>
      </c>
    </row>
    <row r="11" spans="1:34" s="1" customFormat="1" ht="13.5" thickBot="1" x14ac:dyDescent="0.25">
      <c r="A11" s="98"/>
      <c r="B11" s="100"/>
      <c r="C11" s="100"/>
      <c r="D11" s="89" t="s">
        <v>7</v>
      </c>
      <c r="E11" s="89" t="s">
        <v>7</v>
      </c>
      <c r="F11" s="89" t="s">
        <v>7</v>
      </c>
      <c r="G11" s="89" t="s">
        <v>7</v>
      </c>
      <c r="H11" s="89" t="s">
        <v>7</v>
      </c>
      <c r="I11" s="89" t="s">
        <v>7</v>
      </c>
      <c r="J11" s="89" t="s">
        <v>7</v>
      </c>
      <c r="K11" s="89" t="s">
        <v>7</v>
      </c>
      <c r="L11" s="89" t="s">
        <v>7</v>
      </c>
      <c r="M11" s="89" t="s">
        <v>7</v>
      </c>
      <c r="N11" s="89" t="s">
        <v>7</v>
      </c>
      <c r="O11" s="89" t="s">
        <v>7</v>
      </c>
      <c r="P11" s="89" t="s">
        <v>7</v>
      </c>
      <c r="Q11" s="89" t="s">
        <v>7</v>
      </c>
      <c r="R11" s="89" t="s">
        <v>7</v>
      </c>
      <c r="S11" s="89" t="s">
        <v>7</v>
      </c>
      <c r="T11" s="89" t="s">
        <v>7</v>
      </c>
      <c r="U11" s="89" t="s">
        <v>7</v>
      </c>
      <c r="V11" s="89" t="s">
        <v>7</v>
      </c>
      <c r="W11" s="89" t="s">
        <v>7</v>
      </c>
      <c r="X11" s="89" t="s">
        <v>7</v>
      </c>
      <c r="Y11" s="89" t="s">
        <v>7</v>
      </c>
      <c r="Z11" s="89" t="s">
        <v>7</v>
      </c>
      <c r="AA11" s="89" t="s">
        <v>7</v>
      </c>
      <c r="AB11" s="89" t="s">
        <v>7</v>
      </c>
      <c r="AC11" s="89" t="s">
        <v>7</v>
      </c>
      <c r="AD11" s="89" t="s">
        <v>7</v>
      </c>
      <c r="AE11" s="89" t="s">
        <v>7</v>
      </c>
      <c r="AF11" s="89" t="s">
        <v>7</v>
      </c>
      <c r="AG11" s="89" t="s">
        <v>7</v>
      </c>
      <c r="AH11" s="89" t="s">
        <v>7</v>
      </c>
    </row>
    <row r="12" spans="1:34" x14ac:dyDescent="0.2">
      <c r="A12" s="83"/>
      <c r="B12" s="84"/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7"/>
      <c r="AG12" s="88"/>
      <c r="AH12" s="87"/>
    </row>
    <row r="13" spans="1:34" s="11" customFormat="1" ht="15.75" x14ac:dyDescent="0.25">
      <c r="A13" s="41" t="s">
        <v>37</v>
      </c>
      <c r="B13" s="30" t="s">
        <v>17</v>
      </c>
      <c r="C13" s="32"/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0.1572800925925926</v>
      </c>
      <c r="S13" s="78">
        <v>0.10149305555555554</v>
      </c>
      <c r="T13" s="78">
        <v>5.6562499999999995E-2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</row>
    <row r="14" spans="1:34" s="11" customFormat="1" ht="15.75" x14ac:dyDescent="0.25">
      <c r="A14" s="41" t="s">
        <v>28</v>
      </c>
      <c r="B14" s="30" t="s">
        <v>25</v>
      </c>
      <c r="C14" s="32"/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</row>
    <row r="15" spans="1:34" s="11" customFormat="1" ht="15.75" x14ac:dyDescent="0.25">
      <c r="A15" s="41" t="s">
        <v>29</v>
      </c>
      <c r="B15" s="30" t="s">
        <v>18</v>
      </c>
      <c r="C15" s="32"/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</row>
    <row r="16" spans="1:34" s="11" customFormat="1" ht="15.75" x14ac:dyDescent="0.25">
      <c r="A16" s="41" t="s">
        <v>30</v>
      </c>
      <c r="B16" s="30" t="s">
        <v>19</v>
      </c>
      <c r="C16" s="32"/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</row>
    <row r="17" spans="1:38" s="11" customFormat="1" ht="15.75" x14ac:dyDescent="0.25">
      <c r="A17" s="41" t="s">
        <v>31</v>
      </c>
      <c r="B17" s="30" t="s">
        <v>20</v>
      </c>
      <c r="C17" s="32"/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9.3055555555555548E-3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</row>
    <row r="18" spans="1:38" s="11" customFormat="1" ht="15.75" x14ac:dyDescent="0.25">
      <c r="A18" s="41" t="s">
        <v>32</v>
      </c>
      <c r="B18" s="30" t="s">
        <v>21</v>
      </c>
      <c r="C18" s="32"/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1.6828703703703703E-2</v>
      </c>
      <c r="AE18" s="78">
        <v>0</v>
      </c>
      <c r="AF18" s="78">
        <v>0</v>
      </c>
      <c r="AG18" s="78">
        <v>0</v>
      </c>
      <c r="AH18" s="78">
        <v>0</v>
      </c>
      <c r="AL18" s="61"/>
    </row>
    <row r="19" spans="1:38" s="11" customFormat="1" ht="15.75" x14ac:dyDescent="0.25">
      <c r="A19" s="41" t="s">
        <v>33</v>
      </c>
      <c r="B19" s="30" t="s">
        <v>22</v>
      </c>
      <c r="C19" s="32"/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</row>
    <row r="20" spans="1:38" s="11" customFormat="1" ht="15.75" x14ac:dyDescent="0.25">
      <c r="A20" s="41" t="s">
        <v>34</v>
      </c>
      <c r="B20" s="30" t="s">
        <v>26</v>
      </c>
      <c r="C20" s="32"/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</row>
    <row r="21" spans="1:38" s="11" customFormat="1" ht="15.75" x14ac:dyDescent="0.25">
      <c r="A21" s="41" t="s">
        <v>35</v>
      </c>
      <c r="B21" s="30" t="s">
        <v>24</v>
      </c>
      <c r="C21" s="32"/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</row>
    <row r="22" spans="1:38" s="11" customFormat="1" ht="15.75" x14ac:dyDescent="0.25">
      <c r="A22" s="41" t="s">
        <v>36</v>
      </c>
      <c r="B22" s="42" t="s">
        <v>23</v>
      </c>
      <c r="C22" s="32"/>
      <c r="D22" s="79">
        <v>0</v>
      </c>
      <c r="E22" s="79">
        <v>0</v>
      </c>
      <c r="F22" s="79">
        <v>0</v>
      </c>
      <c r="G22" s="79">
        <v>0</v>
      </c>
      <c r="H22" s="78">
        <v>0</v>
      </c>
      <c r="I22" s="79">
        <v>3.5648148148148154E-3</v>
      </c>
      <c r="J22" s="78">
        <v>0</v>
      </c>
      <c r="K22" s="78">
        <v>0</v>
      </c>
      <c r="L22" s="78">
        <v>0</v>
      </c>
      <c r="M22" s="79">
        <v>0</v>
      </c>
      <c r="N22" s="78">
        <v>0</v>
      </c>
      <c r="O22" s="79">
        <v>0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79">
        <v>0</v>
      </c>
      <c r="Y22" s="79">
        <v>0</v>
      </c>
      <c r="Z22" s="79">
        <v>0</v>
      </c>
      <c r="AA22" s="78">
        <v>0</v>
      </c>
      <c r="AB22" s="79">
        <v>0</v>
      </c>
      <c r="AC22" s="79">
        <v>0</v>
      </c>
      <c r="AD22" s="79">
        <v>0</v>
      </c>
      <c r="AE22" s="79">
        <v>0</v>
      </c>
      <c r="AF22" s="79">
        <v>0</v>
      </c>
      <c r="AG22" s="79">
        <v>0</v>
      </c>
      <c r="AH22" s="78">
        <v>0</v>
      </c>
    </row>
    <row r="23" spans="1:38" s="11" customFormat="1" ht="15.75" x14ac:dyDescent="0.25">
      <c r="A23" s="41" t="s">
        <v>38</v>
      </c>
      <c r="B23" s="42" t="s">
        <v>39</v>
      </c>
      <c r="C23" s="48"/>
      <c r="D23" s="79">
        <v>0</v>
      </c>
      <c r="E23" s="79">
        <v>0</v>
      </c>
      <c r="F23" s="79">
        <v>0</v>
      </c>
      <c r="G23" s="79">
        <v>0</v>
      </c>
      <c r="H23" s="78">
        <v>0</v>
      </c>
      <c r="I23" s="79">
        <v>0</v>
      </c>
      <c r="J23" s="78">
        <v>0</v>
      </c>
      <c r="K23" s="79">
        <v>0</v>
      </c>
      <c r="L23" s="78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8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  <c r="Z23" s="79">
        <v>0</v>
      </c>
      <c r="AA23" s="79">
        <v>0</v>
      </c>
      <c r="AB23" s="79">
        <v>0</v>
      </c>
      <c r="AC23" s="79">
        <v>0</v>
      </c>
      <c r="AD23" s="79">
        <v>0</v>
      </c>
      <c r="AE23" s="79">
        <v>0</v>
      </c>
      <c r="AF23" s="79">
        <v>0</v>
      </c>
      <c r="AG23" s="79">
        <v>0</v>
      </c>
      <c r="AH23" s="78">
        <v>0</v>
      </c>
    </row>
    <row r="24" spans="1:38" s="11" customFormat="1" ht="15.75" x14ac:dyDescent="0.25">
      <c r="A24" s="41" t="s">
        <v>41</v>
      </c>
      <c r="B24" s="42" t="s">
        <v>40</v>
      </c>
      <c r="C24" s="43"/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8">
        <v>0</v>
      </c>
      <c r="K24" s="79">
        <v>0</v>
      </c>
      <c r="L24" s="78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8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  <c r="AH24" s="78">
        <v>0</v>
      </c>
    </row>
    <row r="25" spans="1:38" s="11" customFormat="1" ht="12.75" customHeight="1" x14ac:dyDescent="0.25">
      <c r="A25" s="90" t="s">
        <v>42</v>
      </c>
      <c r="B25" s="91" t="s">
        <v>45</v>
      </c>
      <c r="C25" s="57"/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9">
        <v>0</v>
      </c>
      <c r="AB25" s="79">
        <v>0</v>
      </c>
      <c r="AC25" s="79">
        <v>0</v>
      </c>
      <c r="AD25" s="79">
        <v>0</v>
      </c>
      <c r="AE25" s="79">
        <v>0</v>
      </c>
      <c r="AF25" s="79">
        <v>0</v>
      </c>
      <c r="AG25" s="79">
        <v>0</v>
      </c>
      <c r="AH25" s="79">
        <v>0</v>
      </c>
    </row>
    <row r="26" spans="1:38" s="11" customFormat="1" ht="16.5" customHeight="1" x14ac:dyDescent="0.2">
      <c r="A26" s="107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9"/>
    </row>
    <row r="27" spans="1:38" s="11" customFormat="1" ht="16.5" customHeight="1" x14ac:dyDescent="0.2">
      <c r="A27" s="103">
        <v>14</v>
      </c>
      <c r="B27" s="105" t="s">
        <v>48</v>
      </c>
      <c r="C27" s="60">
        <v>45052</v>
      </c>
      <c r="D27" s="115" t="s">
        <v>54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56"/>
    </row>
    <row r="28" spans="1:38" s="11" customFormat="1" ht="16.5" customHeight="1" x14ac:dyDescent="0.2">
      <c r="A28" s="103"/>
      <c r="B28" s="105"/>
      <c r="C28" s="65">
        <v>45053</v>
      </c>
      <c r="D28" s="117" t="s">
        <v>55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55"/>
    </row>
    <row r="29" spans="1:38" s="11" customFormat="1" ht="16.5" customHeight="1" x14ac:dyDescent="0.2">
      <c r="A29" s="103"/>
      <c r="B29" s="105"/>
      <c r="C29" s="65">
        <v>45061</v>
      </c>
      <c r="D29" s="117" t="s">
        <v>60</v>
      </c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56"/>
    </row>
    <row r="30" spans="1:38" s="11" customFormat="1" ht="16.5" customHeight="1" x14ac:dyDescent="0.2">
      <c r="A30" s="103"/>
      <c r="B30" s="105"/>
      <c r="C30" s="65">
        <v>45062</v>
      </c>
      <c r="D30" s="117" t="s">
        <v>56</v>
      </c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55"/>
    </row>
    <row r="31" spans="1:38" s="11" customFormat="1" ht="15" customHeight="1" x14ac:dyDescent="0.2">
      <c r="A31" s="103"/>
      <c r="B31" s="105"/>
      <c r="C31" s="76">
        <v>45063</v>
      </c>
      <c r="D31" s="110" t="s">
        <v>59</v>
      </c>
      <c r="E31" s="110"/>
      <c r="F31" s="110"/>
      <c r="G31" s="110"/>
      <c r="H31" s="110"/>
      <c r="I31" s="110"/>
      <c r="J31" s="110"/>
      <c r="K31" s="110"/>
      <c r="L31" s="110"/>
      <c r="M31" s="71"/>
      <c r="N31" s="71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H31" s="75"/>
    </row>
    <row r="32" spans="1:38" s="11" customFormat="1" ht="15" customHeight="1" x14ac:dyDescent="0.2">
      <c r="A32" s="103"/>
      <c r="B32" s="105"/>
      <c r="C32" s="76">
        <v>45073</v>
      </c>
      <c r="D32" s="111" t="s">
        <v>61</v>
      </c>
      <c r="E32" s="111"/>
      <c r="F32" s="111"/>
      <c r="G32" s="111"/>
      <c r="H32" s="111"/>
      <c r="I32" s="111"/>
      <c r="J32" s="111"/>
      <c r="K32" s="111"/>
      <c r="L32" s="111"/>
      <c r="M32" s="111"/>
      <c r="N32" s="6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55"/>
    </row>
    <row r="33" spans="1:34" s="11" customFormat="1" ht="15" customHeight="1" x14ac:dyDescent="0.2">
      <c r="A33" s="103"/>
      <c r="B33" s="105"/>
      <c r="C33" s="76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55"/>
      <c r="AA33" s="73"/>
      <c r="AB33" s="74"/>
      <c r="AC33" s="73"/>
      <c r="AD33" s="73"/>
      <c r="AE33" s="73"/>
      <c r="AF33" s="73"/>
      <c r="AG33" s="73"/>
      <c r="AH33" s="55"/>
    </row>
    <row r="34" spans="1:34" s="11" customFormat="1" ht="15" customHeight="1" x14ac:dyDescent="0.2">
      <c r="A34" s="104"/>
      <c r="B34" s="106"/>
      <c r="C34" s="76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4"/>
      <c r="AC34" s="73"/>
      <c r="AD34" s="73"/>
      <c r="AE34" s="73"/>
      <c r="AF34" s="73"/>
      <c r="AG34" s="73"/>
      <c r="AH34" s="55"/>
    </row>
    <row r="35" spans="1:34" s="11" customFormat="1" ht="15" x14ac:dyDescent="0.2">
      <c r="A35" s="69"/>
      <c r="B35" s="69"/>
      <c r="C35" s="70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14"/>
      <c r="AB35" s="29"/>
    </row>
    <row r="36" spans="1:34" s="11" customFormat="1" ht="15" x14ac:dyDescent="0.2">
      <c r="A36" s="12"/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14"/>
      <c r="AB36" s="29"/>
    </row>
    <row r="37" spans="1:34" s="11" customFormat="1" x14ac:dyDescent="0.2">
      <c r="A37" s="12"/>
      <c r="D37" s="66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AB37" s="29"/>
    </row>
    <row r="38" spans="1:34" s="11" customFormat="1" x14ac:dyDescent="0.2">
      <c r="A38" s="21" t="s">
        <v>12</v>
      </c>
      <c r="D38" s="13"/>
      <c r="E38" s="14"/>
      <c r="F38" s="14"/>
      <c r="G38" s="14"/>
      <c r="H38" s="14"/>
      <c r="I38" s="14"/>
      <c r="J38" s="14"/>
      <c r="K38" s="49"/>
      <c r="L38" s="49"/>
      <c r="M38" s="14"/>
      <c r="O38" s="14"/>
      <c r="AB38" s="29"/>
    </row>
    <row r="39" spans="1:34" s="11" customFormat="1" x14ac:dyDescent="0.2">
      <c r="A39" s="101" t="s">
        <v>2</v>
      </c>
      <c r="B39" s="101" t="s">
        <v>9</v>
      </c>
      <c r="C39" s="101" t="s">
        <v>1</v>
      </c>
      <c r="D39" s="113" t="s">
        <v>7</v>
      </c>
      <c r="E39" s="114"/>
      <c r="F39" s="14"/>
      <c r="G39" s="14"/>
      <c r="H39" s="14"/>
      <c r="I39" s="14"/>
      <c r="J39" s="14"/>
      <c r="K39" s="50"/>
      <c r="L39" s="50"/>
      <c r="M39" s="14"/>
      <c r="O39" s="14"/>
      <c r="AB39" s="29"/>
    </row>
    <row r="40" spans="1:34" s="11" customFormat="1" x14ac:dyDescent="0.2">
      <c r="A40" s="102"/>
      <c r="B40" s="102"/>
      <c r="C40" s="102"/>
      <c r="D40" s="25" t="s">
        <v>10</v>
      </c>
      <c r="E40" s="20" t="s">
        <v>11</v>
      </c>
      <c r="F40" s="14"/>
      <c r="G40" s="14"/>
      <c r="H40" s="14"/>
      <c r="I40" s="14"/>
      <c r="J40" s="14"/>
      <c r="K40" s="81"/>
      <c r="L40" s="14"/>
      <c r="M40" s="14"/>
      <c r="O40" s="14"/>
      <c r="AB40" s="29"/>
    </row>
    <row r="41" spans="1:34" s="11" customFormat="1" ht="15.75" x14ac:dyDescent="0.25">
      <c r="A41" s="36" t="s">
        <v>37</v>
      </c>
      <c r="B41" s="30" t="s">
        <v>47</v>
      </c>
      <c r="C41" s="33">
        <f t="shared" ref="C41:C49" si="0">1-(((D41*3600)+(LEFT(E41,2)*60)+RIGHT(E41,2))/((60*60*24)*$C$8))</f>
        <v>0.98982788231780172</v>
      </c>
      <c r="D41" s="18" t="str">
        <f t="shared" ref="D41:D53" si="1">TEXT(SUM(D13:AG13),"[h]")</f>
        <v>7</v>
      </c>
      <c r="E41" s="18" t="str">
        <f t="shared" ref="E41:E53" si="2">TEXT(SUM(D13:AG13),"mm ss")</f>
        <v>34 05</v>
      </c>
      <c r="F41" s="14"/>
      <c r="G41" s="19"/>
      <c r="H41" s="14"/>
      <c r="I41" s="14"/>
      <c r="J41" s="14"/>
      <c r="K41" s="14"/>
      <c r="L41" s="14"/>
      <c r="M41" s="14"/>
      <c r="O41" s="14"/>
      <c r="AB41" s="29"/>
    </row>
    <row r="42" spans="1:34" s="11" customFormat="1" ht="15.75" x14ac:dyDescent="0.25">
      <c r="A42" s="36" t="s">
        <v>28</v>
      </c>
      <c r="B42" s="30" t="s">
        <v>25</v>
      </c>
      <c r="C42" s="33">
        <f t="shared" si="0"/>
        <v>1</v>
      </c>
      <c r="D42" s="18" t="str">
        <f t="shared" si="1"/>
        <v>0</v>
      </c>
      <c r="E42" s="18" t="str">
        <f t="shared" si="2"/>
        <v>00 00</v>
      </c>
      <c r="F42" s="112"/>
      <c r="G42" s="112"/>
      <c r="H42" s="112"/>
      <c r="I42" s="112"/>
      <c r="J42" s="112"/>
      <c r="K42" s="112"/>
      <c r="L42" s="112"/>
      <c r="M42" s="112"/>
      <c r="N42" s="112"/>
      <c r="O42" s="14"/>
    </row>
    <row r="43" spans="1:34" s="11" customFormat="1" ht="15.75" x14ac:dyDescent="0.25">
      <c r="A43" s="36" t="s">
        <v>29</v>
      </c>
      <c r="B43" s="45" t="s">
        <v>18</v>
      </c>
      <c r="C43" s="33">
        <f t="shared" si="0"/>
        <v>1</v>
      </c>
      <c r="D43" s="18" t="str">
        <f t="shared" si="1"/>
        <v>0</v>
      </c>
      <c r="E43" s="18" t="str">
        <f t="shared" si="2"/>
        <v>00 00</v>
      </c>
      <c r="F43" s="14"/>
      <c r="G43" s="19"/>
      <c r="H43" s="58"/>
      <c r="I43" s="14"/>
      <c r="J43" s="14"/>
      <c r="K43" s="14"/>
      <c r="L43" s="14"/>
      <c r="M43" s="14"/>
      <c r="O43" s="14"/>
    </row>
    <row r="44" spans="1:34" s="11" customFormat="1" ht="15.75" x14ac:dyDescent="0.25">
      <c r="A44" s="36" t="s">
        <v>30</v>
      </c>
      <c r="B44" s="30" t="s">
        <v>19</v>
      </c>
      <c r="C44" s="33">
        <f t="shared" si="0"/>
        <v>1</v>
      </c>
      <c r="D44" s="18" t="str">
        <f t="shared" si="1"/>
        <v>0</v>
      </c>
      <c r="E44" s="18" t="str">
        <f t="shared" si="2"/>
        <v>00 00</v>
      </c>
      <c r="F44" s="14"/>
      <c r="G44" s="19"/>
      <c r="H44" s="14"/>
      <c r="I44" s="14"/>
      <c r="J44" s="14"/>
      <c r="K44" s="14"/>
      <c r="L44" s="14"/>
      <c r="M44" s="14"/>
      <c r="O44" s="14"/>
    </row>
    <row r="45" spans="1:34" s="11" customFormat="1" ht="15.75" x14ac:dyDescent="0.25">
      <c r="A45" s="36" t="s">
        <v>31</v>
      </c>
      <c r="B45" s="30" t="s">
        <v>20</v>
      </c>
      <c r="C45" s="33">
        <f t="shared" si="0"/>
        <v>0.99969982078853048</v>
      </c>
      <c r="D45" s="18" t="str">
        <f t="shared" si="1"/>
        <v>0</v>
      </c>
      <c r="E45" s="18" t="str">
        <f t="shared" si="2"/>
        <v>13 24</v>
      </c>
      <c r="F45" s="14"/>
      <c r="G45" s="19"/>
      <c r="H45" s="14"/>
      <c r="I45" s="14"/>
      <c r="J45" s="14"/>
      <c r="K45" s="14"/>
      <c r="L45" s="14"/>
      <c r="M45" s="14"/>
      <c r="O45" s="14"/>
    </row>
    <row r="46" spans="1:34" s="11" customFormat="1" ht="15.75" x14ac:dyDescent="0.25">
      <c r="A46" s="36" t="s">
        <v>32</v>
      </c>
      <c r="B46" s="30" t="s">
        <v>21</v>
      </c>
      <c r="C46" s="33">
        <f t="shared" si="0"/>
        <v>0.99945713859020313</v>
      </c>
      <c r="D46" s="18" t="str">
        <f t="shared" si="1"/>
        <v>0</v>
      </c>
      <c r="E46" s="18" t="str">
        <f t="shared" si="2"/>
        <v>24 14</v>
      </c>
      <c r="F46" s="14"/>
      <c r="G46" s="19"/>
      <c r="H46" s="14"/>
      <c r="I46" s="14"/>
      <c r="J46" s="59"/>
      <c r="K46" s="14"/>
      <c r="L46" s="14"/>
      <c r="M46" s="14"/>
      <c r="O46" s="14"/>
    </row>
    <row r="47" spans="1:34" s="11" customFormat="1" ht="15.75" x14ac:dyDescent="0.25">
      <c r="A47" s="36" t="s">
        <v>33</v>
      </c>
      <c r="B47" s="30" t="s">
        <v>27</v>
      </c>
      <c r="C47" s="33">
        <f t="shared" si="0"/>
        <v>1</v>
      </c>
      <c r="D47" s="18" t="str">
        <f t="shared" si="1"/>
        <v>0</v>
      </c>
      <c r="E47" s="18" t="str">
        <f t="shared" si="2"/>
        <v>00 00</v>
      </c>
      <c r="F47" s="14"/>
      <c r="G47" s="19"/>
      <c r="H47" s="14"/>
      <c r="I47" s="14"/>
      <c r="J47" s="14"/>
      <c r="K47" s="14"/>
      <c r="L47" s="14"/>
      <c r="M47" s="14"/>
      <c r="N47" s="14"/>
      <c r="O47" s="14"/>
    </row>
    <row r="48" spans="1:34" s="11" customFormat="1" ht="15.75" x14ac:dyDescent="0.25">
      <c r="A48" s="36" t="s">
        <v>34</v>
      </c>
      <c r="B48" s="30" t="s">
        <v>26</v>
      </c>
      <c r="C48" s="33">
        <f t="shared" si="0"/>
        <v>1</v>
      </c>
      <c r="D48" s="18" t="str">
        <f t="shared" si="1"/>
        <v>0</v>
      </c>
      <c r="E48" s="18" t="str">
        <f t="shared" si="2"/>
        <v>00 00</v>
      </c>
      <c r="F48" s="14"/>
      <c r="G48" s="19"/>
      <c r="H48" s="14"/>
      <c r="I48" s="14"/>
      <c r="J48" s="14"/>
      <c r="K48" s="14"/>
      <c r="L48" s="14"/>
      <c r="M48" s="14"/>
      <c r="N48" s="14"/>
      <c r="O48" s="52"/>
    </row>
    <row r="49" spans="1:32" s="11" customFormat="1" ht="15.75" x14ac:dyDescent="0.25">
      <c r="A49" s="36" t="s">
        <v>35</v>
      </c>
      <c r="B49" s="30" t="s">
        <v>24</v>
      </c>
      <c r="C49" s="33">
        <f t="shared" si="0"/>
        <v>1</v>
      </c>
      <c r="D49" s="18" t="str">
        <f t="shared" si="1"/>
        <v>0</v>
      </c>
      <c r="E49" s="18" t="str">
        <f t="shared" si="2"/>
        <v>00 00</v>
      </c>
      <c r="F49" s="14"/>
      <c r="G49" s="19"/>
      <c r="H49" s="14"/>
      <c r="I49" s="14"/>
      <c r="J49" s="14"/>
      <c r="K49" s="14"/>
      <c r="L49" s="14"/>
      <c r="M49" s="14"/>
      <c r="N49" s="14"/>
      <c r="O49" s="52"/>
    </row>
    <row r="50" spans="1:32" s="11" customFormat="1" ht="15.75" x14ac:dyDescent="0.25">
      <c r="A50" s="36" t="s">
        <v>36</v>
      </c>
      <c r="B50" s="30" t="s">
        <v>23</v>
      </c>
      <c r="C50" s="31">
        <f>1-(((D50*3600)+(LEFT(E50,2)*60)+RIGHT(E50,2))/((60*60*24)*$C$8))</f>
        <v>0.99988500597371566</v>
      </c>
      <c r="D50" s="18" t="str">
        <f t="shared" si="1"/>
        <v>0</v>
      </c>
      <c r="E50" s="18" t="str">
        <f t="shared" si="2"/>
        <v>05 08</v>
      </c>
      <c r="F50" s="14"/>
      <c r="G50" s="19"/>
      <c r="H50" s="14"/>
      <c r="I50" s="14"/>
      <c r="J50" s="14"/>
      <c r="K50" s="14"/>
      <c r="L50" s="14"/>
      <c r="M50" s="14"/>
      <c r="N50" s="14"/>
      <c r="O50" s="52"/>
    </row>
    <row r="51" spans="1:32" s="11" customFormat="1" ht="15.75" x14ac:dyDescent="0.25">
      <c r="A51" s="36" t="s">
        <v>38</v>
      </c>
      <c r="B51" s="30" t="s">
        <v>43</v>
      </c>
      <c r="C51" s="31">
        <f t="shared" ref="C51:C53" si="3">1-(((D51*3600)+(LEFT(E51,2)*60)+RIGHT(E51,2))/((60*60*24)*$C$8))</f>
        <v>1</v>
      </c>
      <c r="D51" s="18" t="str">
        <f t="shared" si="1"/>
        <v>0</v>
      </c>
      <c r="E51" s="18" t="str">
        <f t="shared" si="2"/>
        <v>00 00</v>
      </c>
      <c r="F51" s="14"/>
      <c r="G51" s="19"/>
      <c r="H51" s="14"/>
      <c r="I51" s="14"/>
      <c r="J51" s="14"/>
      <c r="K51" s="14"/>
      <c r="L51" s="14"/>
      <c r="M51" s="14"/>
      <c r="N51" s="14"/>
      <c r="O51" s="52"/>
    </row>
    <row r="52" spans="1:32" s="15" customFormat="1" ht="15.75" x14ac:dyDescent="0.25">
      <c r="A52" s="36" t="s">
        <v>41</v>
      </c>
      <c r="B52" s="30" t="s">
        <v>44</v>
      </c>
      <c r="C52" s="31">
        <f t="shared" si="3"/>
        <v>1</v>
      </c>
      <c r="D52" s="18" t="str">
        <f t="shared" si="1"/>
        <v>0</v>
      </c>
      <c r="E52" s="18" t="str">
        <f t="shared" si="2"/>
        <v>00 00</v>
      </c>
      <c r="F52" s="14"/>
      <c r="G52" s="19"/>
      <c r="H52" s="14"/>
      <c r="I52" s="14"/>
      <c r="J52" s="14"/>
      <c r="K52" s="14"/>
      <c r="L52" s="14"/>
      <c r="M52" s="14"/>
      <c r="N52" s="14"/>
      <c r="O52" s="53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ht="15.75" x14ac:dyDescent="0.25">
      <c r="A53" s="51" t="s">
        <v>42</v>
      </c>
      <c r="B53" s="30" t="s">
        <v>46</v>
      </c>
      <c r="C53" s="31">
        <f t="shared" si="3"/>
        <v>1</v>
      </c>
      <c r="D53" s="18" t="str">
        <f t="shared" si="1"/>
        <v>0</v>
      </c>
      <c r="E53" s="18" t="str">
        <f t="shared" si="2"/>
        <v>00 00</v>
      </c>
      <c r="F53" s="14"/>
      <c r="G53" s="19"/>
      <c r="H53" s="14"/>
      <c r="I53" s="14"/>
      <c r="J53" s="14"/>
      <c r="K53" s="14"/>
      <c r="L53" s="52"/>
      <c r="M53" s="52"/>
      <c r="N53" s="52"/>
      <c r="O53" s="54"/>
    </row>
    <row r="54" spans="1:32" ht="15.75" x14ac:dyDescent="0.25">
      <c r="A54" s="44"/>
      <c r="B54" s="45"/>
      <c r="C54" s="46"/>
      <c r="D54" s="47"/>
      <c r="E54" s="47"/>
      <c r="F54" s="14"/>
      <c r="G54" s="19"/>
      <c r="H54" s="14"/>
      <c r="I54" s="14"/>
      <c r="J54" s="14"/>
      <c r="K54" s="14"/>
      <c r="L54" s="52"/>
      <c r="M54" s="52"/>
      <c r="N54" s="52"/>
      <c r="O54" s="54"/>
    </row>
    <row r="55" spans="1:32" x14ac:dyDescent="0.2">
      <c r="A55" s="12"/>
      <c r="B55" s="11"/>
      <c r="C55" s="24"/>
      <c r="D55" s="23"/>
      <c r="E55" s="14"/>
      <c r="F55" s="14"/>
      <c r="G55" s="14"/>
      <c r="H55" s="14"/>
      <c r="I55" s="14"/>
      <c r="J55" s="14"/>
      <c r="K55" s="14"/>
      <c r="L55" s="52"/>
      <c r="M55" s="52"/>
      <c r="N55" s="52"/>
      <c r="O55" s="54"/>
    </row>
    <row r="56" spans="1:32" x14ac:dyDescent="0.2">
      <c r="A56" s="12"/>
      <c r="B56" s="11"/>
      <c r="C56" s="11"/>
      <c r="D56" s="13"/>
      <c r="E56" s="14"/>
      <c r="F56" s="14"/>
      <c r="G56" s="14"/>
      <c r="H56" s="14"/>
      <c r="I56" s="14"/>
      <c r="J56" s="14"/>
      <c r="K56" s="14"/>
      <c r="L56" s="52"/>
      <c r="M56" s="52"/>
      <c r="N56" s="52"/>
      <c r="O56" s="54"/>
    </row>
    <row r="57" spans="1:32" x14ac:dyDescent="0.2">
      <c r="A57" s="13"/>
      <c r="B57" s="22" t="s">
        <v>13</v>
      </c>
      <c r="C57" s="17"/>
      <c r="D57" s="16"/>
      <c r="E57" s="16"/>
      <c r="F57" s="16"/>
      <c r="G57" s="16"/>
      <c r="H57" s="16"/>
      <c r="I57" s="16"/>
      <c r="J57" s="16"/>
      <c r="K57" s="16"/>
      <c r="L57" s="53"/>
      <c r="M57" s="53"/>
      <c r="N57" s="53"/>
      <c r="O57" s="54"/>
    </row>
    <row r="58" spans="1:32" x14ac:dyDescent="0.2">
      <c r="A58"/>
      <c r="B58" s="11" t="s">
        <v>16</v>
      </c>
      <c r="C58" s="25">
        <f>(SUM(C41:C53))/(100%*13)</f>
        <v>0.99914383443617316</v>
      </c>
      <c r="G58" s="34"/>
      <c r="L58" s="54"/>
      <c r="M58" s="54"/>
      <c r="N58" s="54"/>
      <c r="O58" s="54"/>
    </row>
    <row r="59" spans="1:32" x14ac:dyDescent="0.2">
      <c r="C59" s="62"/>
      <c r="L59" s="54"/>
      <c r="M59" s="54"/>
      <c r="N59" s="54"/>
    </row>
    <row r="60" spans="1:32" x14ac:dyDescent="0.2">
      <c r="B60" s="11"/>
      <c r="C60" s="62"/>
      <c r="L60" s="54"/>
      <c r="M60" s="54"/>
      <c r="N60" s="54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x14ac:dyDescent="0.2">
      <c r="A61" s="92" t="s">
        <v>49</v>
      </c>
      <c r="B61" s="93"/>
      <c r="C61" s="94"/>
      <c r="L61" s="54"/>
      <c r="M61" s="54"/>
      <c r="N61" s="54"/>
    </row>
    <row r="62" spans="1:32" x14ac:dyDescent="0.2">
      <c r="A62" s="92" t="s">
        <v>50</v>
      </c>
      <c r="B62" s="95" t="s">
        <v>52</v>
      </c>
      <c r="C62" s="94"/>
      <c r="L62" s="54"/>
      <c r="M62" s="54"/>
      <c r="N62" s="54"/>
    </row>
    <row r="63" spans="1:32" x14ac:dyDescent="0.2">
      <c r="A63" s="92"/>
      <c r="B63" s="95" t="s">
        <v>51</v>
      </c>
      <c r="C63" s="94"/>
      <c r="L63" s="54"/>
      <c r="M63" s="54"/>
      <c r="N63" s="54"/>
    </row>
    <row r="64" spans="1:32" x14ac:dyDescent="0.2">
      <c r="A64" s="92"/>
      <c r="B64" s="95" t="s">
        <v>53</v>
      </c>
      <c r="C64" s="94"/>
      <c r="D64" s="64"/>
      <c r="E64" s="63"/>
    </row>
    <row r="65" spans="1:32" x14ac:dyDescent="0.2">
      <c r="A65" s="92"/>
      <c r="B65" s="95" t="s">
        <v>58</v>
      </c>
      <c r="C65" s="94"/>
      <c r="D65" s="64"/>
      <c r="E65" s="63"/>
    </row>
    <row r="66" spans="1:32" x14ac:dyDescent="0.2">
      <c r="A66" s="92"/>
      <c r="B66" s="95"/>
      <c r="C66" s="94"/>
      <c r="D66" s="64"/>
      <c r="E66" s="63"/>
    </row>
    <row r="67" spans="1:32" x14ac:dyDescent="0.2">
      <c r="A67" s="94"/>
      <c r="B67" s="95"/>
      <c r="C67" s="94"/>
      <c r="D67" s="64"/>
    </row>
    <row r="68" spans="1:32" x14ac:dyDescent="0.2">
      <c r="A68" s="92"/>
      <c r="B68" s="96" t="s">
        <v>57</v>
      </c>
      <c r="C68" s="94"/>
      <c r="D68" s="64"/>
    </row>
    <row r="69" spans="1:32" x14ac:dyDescent="0.2">
      <c r="A69" s="92"/>
      <c r="B69" s="95"/>
      <c r="C69" s="94"/>
      <c r="D69" s="64"/>
    </row>
    <row r="70" spans="1:32" x14ac:dyDescent="0.2">
      <c r="A70" s="92"/>
      <c r="B70" s="95"/>
      <c r="C70" s="94"/>
      <c r="D70" s="64"/>
      <c r="O70" s="27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2" x14ac:dyDescent="0.2">
      <c r="B71" s="62"/>
      <c r="C71" s="62"/>
      <c r="O71" s="27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spans="1:32" x14ac:dyDescent="0.2">
      <c r="B72" s="80"/>
      <c r="C72" s="62"/>
      <c r="O72" s="27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spans="1:32" x14ac:dyDescent="0.2">
      <c r="B73" s="80"/>
      <c r="C73" s="62"/>
      <c r="O73" s="27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spans="1:32" x14ac:dyDescent="0.2">
      <c r="B74" s="80"/>
      <c r="C74" s="62"/>
    </row>
    <row r="75" spans="1:32" x14ac:dyDescent="0.2">
      <c r="A75"/>
      <c r="B75" s="80"/>
      <c r="C75" s="62"/>
      <c r="E75" s="26"/>
      <c r="F75" s="27"/>
      <c r="G75" s="27"/>
      <c r="H75" s="27"/>
      <c r="I75" s="27"/>
      <c r="J75" s="27"/>
      <c r="K75" s="27"/>
      <c r="L75" s="27"/>
      <c r="M75" s="27"/>
      <c r="N75" s="27"/>
    </row>
    <row r="76" spans="1:32" x14ac:dyDescent="0.2">
      <c r="A76"/>
      <c r="B76" s="80"/>
      <c r="C76" s="62"/>
      <c r="E76" s="26"/>
      <c r="F76" s="27"/>
      <c r="G76" s="27"/>
      <c r="H76" s="27"/>
      <c r="I76" s="27"/>
      <c r="J76" s="27"/>
      <c r="K76" s="27"/>
      <c r="L76" s="27"/>
      <c r="M76" s="27"/>
      <c r="N76" s="27"/>
    </row>
    <row r="77" spans="1:32" x14ac:dyDescent="0.2">
      <c r="A77"/>
      <c r="B77" s="80"/>
      <c r="C77" s="62"/>
      <c r="E77" s="26"/>
      <c r="F77" s="27"/>
      <c r="G77" s="27"/>
      <c r="H77" s="27"/>
      <c r="I77" s="27"/>
      <c r="J77" s="27"/>
      <c r="K77" s="27"/>
      <c r="L77" s="27"/>
      <c r="M77" s="27"/>
      <c r="N77" s="27"/>
    </row>
    <row r="78" spans="1:32" x14ac:dyDescent="0.2">
      <c r="A78"/>
      <c r="B78" s="80"/>
      <c r="C78" s="62"/>
      <c r="D78"/>
      <c r="E78" s="26"/>
      <c r="F78" s="27"/>
      <c r="G78" s="27"/>
      <c r="H78" s="27"/>
      <c r="I78" s="27"/>
      <c r="J78" s="27"/>
      <c r="K78" s="27"/>
      <c r="L78" s="27"/>
      <c r="M78" s="27"/>
      <c r="N78" s="27"/>
    </row>
    <row r="79" spans="1:32" x14ac:dyDescent="0.2">
      <c r="B79" s="67"/>
    </row>
  </sheetData>
  <mergeCells count="19">
    <mergeCell ref="F42:N42"/>
    <mergeCell ref="D39:E39"/>
    <mergeCell ref="D27:AG27"/>
    <mergeCell ref="D28:AG28"/>
    <mergeCell ref="D29:AG29"/>
    <mergeCell ref="D30:AG30"/>
    <mergeCell ref="D33:N33"/>
    <mergeCell ref="A10:A11"/>
    <mergeCell ref="B10:B11"/>
    <mergeCell ref="C10:C11"/>
    <mergeCell ref="A39:A40"/>
    <mergeCell ref="B39:B40"/>
    <mergeCell ref="C39:C40"/>
    <mergeCell ref="A27:A34"/>
    <mergeCell ref="B27:B34"/>
    <mergeCell ref="A26:AH26"/>
    <mergeCell ref="D31:L31"/>
    <mergeCell ref="D32:M32"/>
    <mergeCell ref="D34:N34"/>
  </mergeCells>
  <phoneticPr fontId="9" type="noConversion"/>
  <conditionalFormatting sqref="D15:F15 G21 AE18:AF18 AE21:AF21 P21:Z21 AB21:AC21 D13:D21 O17:Z17 D17:K18 I21 K21 M21 M17:M18 AB17:AF17">
    <cfRule type="cellIs" dxfId="111" priority="254" stopIfTrue="1" operator="greaterThan">
      <formula>0</formula>
    </cfRule>
  </conditionalFormatting>
  <conditionalFormatting sqref="I15:M15">
    <cfRule type="cellIs" dxfId="110" priority="253" stopIfTrue="1" operator="greaterThan">
      <formula>0</formula>
    </cfRule>
  </conditionalFormatting>
  <conditionalFormatting sqref="W18:Z18 O15:Z15 O18:U18 AB15:AD15 AB18:AC18">
    <cfRule type="cellIs" dxfId="109" priority="252" stopIfTrue="1" operator="greaterThan">
      <formula>0</formula>
    </cfRule>
  </conditionalFormatting>
  <conditionalFormatting sqref="G15">
    <cfRule type="cellIs" dxfId="108" priority="246" stopIfTrue="1" operator="greaterThan">
      <formula>0</formula>
    </cfRule>
  </conditionalFormatting>
  <conditionalFormatting sqref="H15">
    <cfRule type="cellIs" dxfId="107" priority="239" stopIfTrue="1" operator="greaterThan">
      <formula>0</formula>
    </cfRule>
  </conditionalFormatting>
  <conditionalFormatting sqref="AD18">
    <cfRule type="cellIs" dxfId="106" priority="238" stopIfTrue="1" operator="greaterThan">
      <formula>0</formula>
    </cfRule>
  </conditionalFormatting>
  <conditionalFormatting sqref="V18">
    <cfRule type="cellIs" dxfId="105" priority="233" stopIfTrue="1" operator="greaterThan">
      <formula>0</formula>
    </cfRule>
  </conditionalFormatting>
  <conditionalFormatting sqref="AE15:AF15">
    <cfRule type="cellIs" dxfId="104" priority="230" stopIfTrue="1" operator="greaterThan">
      <formula>0</formula>
    </cfRule>
  </conditionalFormatting>
  <conditionalFormatting sqref="D14:F14">
    <cfRule type="cellIs" dxfId="103" priority="224" stopIfTrue="1" operator="greaterThan">
      <formula>0</formula>
    </cfRule>
  </conditionalFormatting>
  <conditionalFormatting sqref="I14:M14">
    <cfRule type="cellIs" dxfId="102" priority="223" stopIfTrue="1" operator="greaterThan">
      <formula>0</formula>
    </cfRule>
  </conditionalFormatting>
  <conditionalFormatting sqref="O14:Z14 AB14:AD14">
    <cfRule type="cellIs" dxfId="101" priority="222" stopIfTrue="1" operator="greaterThan">
      <formula>0</formula>
    </cfRule>
  </conditionalFormatting>
  <conditionalFormatting sqref="G14">
    <cfRule type="cellIs" dxfId="100" priority="221" stopIfTrue="1" operator="greaterThan">
      <formula>0</formula>
    </cfRule>
  </conditionalFormatting>
  <conditionalFormatting sqref="H14">
    <cfRule type="cellIs" dxfId="99" priority="219" stopIfTrue="1" operator="greaterThan">
      <formula>0</formula>
    </cfRule>
  </conditionalFormatting>
  <conditionalFormatting sqref="AE14:AF14">
    <cfRule type="cellIs" dxfId="98" priority="218" stopIfTrue="1" operator="greaterThan">
      <formula>0</formula>
    </cfRule>
  </conditionalFormatting>
  <conditionalFormatting sqref="D13:F13">
    <cfRule type="cellIs" dxfId="97" priority="208" stopIfTrue="1" operator="greaterThan">
      <formula>0</formula>
    </cfRule>
  </conditionalFormatting>
  <conditionalFormatting sqref="D16:F16">
    <cfRule type="cellIs" dxfId="96" priority="200" stopIfTrue="1" operator="greaterThan">
      <formula>0</formula>
    </cfRule>
  </conditionalFormatting>
  <conditionalFormatting sqref="I13:M13">
    <cfRule type="cellIs" dxfId="95" priority="207" stopIfTrue="1" operator="greaterThan">
      <formula>0</formula>
    </cfRule>
  </conditionalFormatting>
  <conditionalFormatting sqref="O13:Z13 AB13:AD13">
    <cfRule type="cellIs" dxfId="94" priority="206" stopIfTrue="1" operator="greaterThan">
      <formula>0</formula>
    </cfRule>
  </conditionalFormatting>
  <conditionalFormatting sqref="G13">
    <cfRule type="cellIs" dxfId="93" priority="205" stopIfTrue="1" operator="greaterThan">
      <formula>0</formula>
    </cfRule>
  </conditionalFormatting>
  <conditionalFormatting sqref="H13">
    <cfRule type="cellIs" dxfId="92" priority="203" stopIfTrue="1" operator="greaterThan">
      <formula>0</formula>
    </cfRule>
  </conditionalFormatting>
  <conditionalFormatting sqref="AE13:AF13">
    <cfRule type="cellIs" dxfId="91" priority="202" stopIfTrue="1" operator="greaterThan">
      <formula>0</formula>
    </cfRule>
  </conditionalFormatting>
  <conditionalFormatting sqref="I16:K16 M16">
    <cfRule type="cellIs" dxfId="90" priority="199" stopIfTrue="1" operator="greaterThan">
      <formula>0</formula>
    </cfRule>
  </conditionalFormatting>
  <conditionalFormatting sqref="O16:Q16">
    <cfRule type="cellIs" dxfId="89" priority="198" stopIfTrue="1" operator="greaterThan">
      <formula>0</formula>
    </cfRule>
  </conditionalFormatting>
  <conditionalFormatting sqref="G16">
    <cfRule type="cellIs" dxfId="88" priority="197" stopIfTrue="1" operator="greaterThan">
      <formula>0</formula>
    </cfRule>
  </conditionalFormatting>
  <conditionalFormatting sqref="H16">
    <cfRule type="cellIs" dxfId="87" priority="195" stopIfTrue="1" operator="greaterThan">
      <formula>0</formula>
    </cfRule>
  </conditionalFormatting>
  <conditionalFormatting sqref="D19:F19">
    <cfRule type="cellIs" dxfId="86" priority="180" stopIfTrue="1" operator="greaterThan">
      <formula>0</formula>
    </cfRule>
  </conditionalFormatting>
  <conditionalFormatting sqref="I19:K19 M19">
    <cfRule type="cellIs" dxfId="85" priority="179" stopIfTrue="1" operator="greaterThan">
      <formula>0</formula>
    </cfRule>
  </conditionalFormatting>
  <conditionalFormatting sqref="O19:U19 W19:Z19 AB19:AC19">
    <cfRule type="cellIs" dxfId="84" priority="178" stopIfTrue="1" operator="greaterThan">
      <formula>0</formula>
    </cfRule>
  </conditionalFormatting>
  <conditionalFormatting sqref="G19">
    <cfRule type="cellIs" dxfId="83" priority="177" stopIfTrue="1" operator="greaterThan">
      <formula>0</formula>
    </cfRule>
  </conditionalFormatting>
  <conditionalFormatting sqref="H19">
    <cfRule type="cellIs" dxfId="82" priority="175" stopIfTrue="1" operator="greaterThan">
      <formula>0</formula>
    </cfRule>
  </conditionalFormatting>
  <conditionalFormatting sqref="AD19">
    <cfRule type="cellIs" dxfId="81" priority="174" stopIfTrue="1" operator="greaterThan">
      <formula>0</formula>
    </cfRule>
  </conditionalFormatting>
  <conditionalFormatting sqref="D20">
    <cfRule type="cellIs" dxfId="80" priority="166" stopIfTrue="1" operator="greaterThan">
      <formula>0</formula>
    </cfRule>
  </conditionalFormatting>
  <conditionalFormatting sqref="V19">
    <cfRule type="cellIs" dxfId="79" priority="172" stopIfTrue="1" operator="greaterThan">
      <formula>0</formula>
    </cfRule>
  </conditionalFormatting>
  <conditionalFormatting sqref="AE19:AF19">
    <cfRule type="cellIs" dxfId="78" priority="171" stopIfTrue="1" operator="greaterThan">
      <formula>0</formula>
    </cfRule>
  </conditionalFormatting>
  <conditionalFormatting sqref="G20 AE20:AF20 K20 O20:S20 M20 U20:V20">
    <cfRule type="cellIs" dxfId="77" priority="169" stopIfTrue="1" operator="greaterThan">
      <formula>0</formula>
    </cfRule>
  </conditionalFormatting>
  <conditionalFormatting sqref="W20 Y20:Z20">
    <cfRule type="cellIs" dxfId="76" priority="168" stopIfTrue="1" operator="greaterThan">
      <formula>0</formula>
    </cfRule>
  </conditionalFormatting>
  <conditionalFormatting sqref="AC20">
    <cfRule type="cellIs" dxfId="75" priority="167" stopIfTrue="1" operator="greaterThan">
      <formula>0</formula>
    </cfRule>
  </conditionalFormatting>
  <conditionalFormatting sqref="AD20:AD21">
    <cfRule type="cellIs" dxfId="74" priority="164" stopIfTrue="1" operator="greaterThan">
      <formula>0</formula>
    </cfRule>
  </conditionalFormatting>
  <conditionalFormatting sqref="W16">
    <cfRule type="cellIs" dxfId="73" priority="153" stopIfTrue="1" operator="greaterThan">
      <formula>0</formula>
    </cfRule>
  </conditionalFormatting>
  <conditionalFormatting sqref="V16">
    <cfRule type="cellIs" dxfId="72" priority="154" stopIfTrue="1" operator="greaterThan">
      <formula>0</formula>
    </cfRule>
  </conditionalFormatting>
  <conditionalFormatting sqref="R16">
    <cfRule type="cellIs" dxfId="71" priority="158" stopIfTrue="1" operator="greaterThan">
      <formula>0</formula>
    </cfRule>
  </conditionalFormatting>
  <conditionalFormatting sqref="S16">
    <cfRule type="cellIs" dxfId="70" priority="157" stopIfTrue="1" operator="greaterThan">
      <formula>0</formula>
    </cfRule>
  </conditionalFormatting>
  <conditionalFormatting sqref="T16">
    <cfRule type="cellIs" dxfId="69" priority="156" stopIfTrue="1" operator="greaterThan">
      <formula>0</formula>
    </cfRule>
  </conditionalFormatting>
  <conditionalFormatting sqref="U16">
    <cfRule type="cellIs" dxfId="68" priority="155" stopIfTrue="1" operator="greaterThan">
      <formula>0</formula>
    </cfRule>
  </conditionalFormatting>
  <conditionalFormatting sqref="X16">
    <cfRule type="cellIs" dxfId="67" priority="152" stopIfTrue="1" operator="greaterThan">
      <formula>0</formula>
    </cfRule>
  </conditionalFormatting>
  <conditionalFormatting sqref="Y16">
    <cfRule type="cellIs" dxfId="66" priority="151" stopIfTrue="1" operator="greaterThan">
      <formula>0</formula>
    </cfRule>
  </conditionalFormatting>
  <conditionalFormatting sqref="Z16">
    <cfRule type="cellIs" dxfId="65" priority="150" stopIfTrue="1" operator="greaterThan">
      <formula>0</formula>
    </cfRule>
  </conditionalFormatting>
  <conditionalFormatting sqref="AB16">
    <cfRule type="cellIs" dxfId="64" priority="148" stopIfTrue="1" operator="greaterThan">
      <formula>0</formula>
    </cfRule>
  </conditionalFormatting>
  <conditionalFormatting sqref="AC16">
    <cfRule type="cellIs" dxfId="63" priority="147" stopIfTrue="1" operator="greaterThan">
      <formula>0</formula>
    </cfRule>
  </conditionalFormatting>
  <conditionalFormatting sqref="AD16">
    <cfRule type="cellIs" dxfId="62" priority="146" stopIfTrue="1" operator="greaterThan">
      <formula>0</formula>
    </cfRule>
  </conditionalFormatting>
  <conditionalFormatting sqref="AE16:AF16">
    <cfRule type="cellIs" dxfId="61" priority="145" stopIfTrue="1" operator="greaterThan">
      <formula>0</formula>
    </cfRule>
  </conditionalFormatting>
  <conditionalFormatting sqref="M22 AB22:AF24 O22:Z22 D24:I24 D22:G23 I22:I23 K23:K24 M24:Z24 M23:Q23 S23:Z23">
    <cfRule type="cellIs" dxfId="60" priority="103" stopIfTrue="1" operator="greaterThan">
      <formula>0</formula>
    </cfRule>
  </conditionalFormatting>
  <conditionalFormatting sqref="AG13">
    <cfRule type="cellIs" dxfId="59" priority="93" stopIfTrue="1" operator="greaterThan">
      <formula>0</formula>
    </cfRule>
  </conditionalFormatting>
  <conditionalFormatting sqref="AG13">
    <cfRule type="cellIs" dxfId="58" priority="84" stopIfTrue="1" operator="greaterThan">
      <formula>0</formula>
    </cfRule>
  </conditionalFormatting>
  <conditionalFormatting sqref="AG21 AG17:AG18">
    <cfRule type="cellIs" dxfId="57" priority="97" stopIfTrue="1" operator="greaterThan">
      <formula>0</formula>
    </cfRule>
  </conditionalFormatting>
  <conditionalFormatting sqref="AG15">
    <cfRule type="cellIs" dxfId="56" priority="96" stopIfTrue="1" operator="greaterThan">
      <formula>0</formula>
    </cfRule>
  </conditionalFormatting>
  <conditionalFormatting sqref="AG14">
    <cfRule type="cellIs" dxfId="55" priority="95" stopIfTrue="1" operator="greaterThan">
      <formula>0</formula>
    </cfRule>
  </conditionalFormatting>
  <conditionalFormatting sqref="AG19">
    <cfRule type="cellIs" dxfId="54" priority="92" stopIfTrue="1" operator="greaterThan">
      <formula>0</formula>
    </cfRule>
  </conditionalFormatting>
  <conditionalFormatting sqref="AG16">
    <cfRule type="cellIs" dxfId="53" priority="90" stopIfTrue="1" operator="greaterThan">
      <formula>0</formula>
    </cfRule>
  </conditionalFormatting>
  <conditionalFormatting sqref="AG21 AG17:AG18">
    <cfRule type="cellIs" dxfId="52" priority="88" stopIfTrue="1" operator="greaterThan">
      <formula>0</formula>
    </cfRule>
  </conditionalFormatting>
  <conditionalFormatting sqref="AG15">
    <cfRule type="cellIs" dxfId="51" priority="87" stopIfTrue="1" operator="greaterThan">
      <formula>0</formula>
    </cfRule>
  </conditionalFormatting>
  <conditionalFormatting sqref="AG14">
    <cfRule type="cellIs" dxfId="50" priority="86" stopIfTrue="1" operator="greaterThan">
      <formula>0</formula>
    </cfRule>
  </conditionalFormatting>
  <conditionalFormatting sqref="AG19">
    <cfRule type="cellIs" dxfId="49" priority="83" stopIfTrue="1" operator="greaterThan">
      <formula>0</formula>
    </cfRule>
  </conditionalFormatting>
  <conditionalFormatting sqref="AG16">
    <cfRule type="cellIs" dxfId="48" priority="81" stopIfTrue="1" operator="greaterThan">
      <formula>0</formula>
    </cfRule>
  </conditionalFormatting>
  <conditionalFormatting sqref="AF13">
    <cfRule type="cellIs" dxfId="47" priority="75" stopIfTrue="1" operator="greaterThan">
      <formula>0</formula>
    </cfRule>
  </conditionalFormatting>
  <conditionalFormatting sqref="AF19">
    <cfRule type="cellIs" dxfId="46" priority="74" stopIfTrue="1" operator="greaterThan">
      <formula>0</formula>
    </cfRule>
  </conditionalFormatting>
  <conditionalFormatting sqref="AF23:AF24">
    <cfRule type="cellIs" dxfId="45" priority="71" stopIfTrue="1" operator="greaterThan">
      <formula>0</formula>
    </cfRule>
  </conditionalFormatting>
  <conditionalFormatting sqref="AF21 AF17:AF18">
    <cfRule type="cellIs" dxfId="44" priority="79" stopIfTrue="1" operator="greaterThan">
      <formula>0</formula>
    </cfRule>
  </conditionalFormatting>
  <conditionalFormatting sqref="AF15">
    <cfRule type="cellIs" dxfId="43" priority="78" stopIfTrue="1" operator="greaterThan">
      <formula>0</formula>
    </cfRule>
  </conditionalFormatting>
  <conditionalFormatting sqref="AF14">
    <cfRule type="cellIs" dxfId="42" priority="77" stopIfTrue="1" operator="greaterThan">
      <formula>0</formula>
    </cfRule>
  </conditionalFormatting>
  <conditionalFormatting sqref="AF20">
    <cfRule type="cellIs" dxfId="41" priority="73" stopIfTrue="1" operator="greaterThan">
      <formula>0</formula>
    </cfRule>
  </conditionalFormatting>
  <conditionalFormatting sqref="AF16">
    <cfRule type="cellIs" dxfId="40" priority="72" stopIfTrue="1" operator="greaterThan">
      <formula>0</formula>
    </cfRule>
  </conditionalFormatting>
  <conditionalFormatting sqref="D25:I25 M25:Z25 AB25:AF25">
    <cfRule type="cellIs" dxfId="39" priority="70" stopIfTrue="1" operator="greaterThan">
      <formula>0</formula>
    </cfRule>
  </conditionalFormatting>
  <conditionalFormatting sqref="AG25">
    <cfRule type="cellIs" dxfId="38" priority="68" stopIfTrue="1" operator="greaterThan">
      <formula>0</formula>
    </cfRule>
  </conditionalFormatting>
  <conditionalFormatting sqref="AG25">
    <cfRule type="cellIs" dxfId="37" priority="67" stopIfTrue="1" operator="greaterThan">
      <formula>0</formula>
    </cfRule>
  </conditionalFormatting>
  <conditionalFormatting sqref="AF25">
    <cfRule type="cellIs" dxfId="36" priority="66" stopIfTrue="1" operator="greaterThan">
      <formula>0</formula>
    </cfRule>
  </conditionalFormatting>
  <conditionalFormatting sqref="O21">
    <cfRule type="cellIs" dxfId="35" priority="63" stopIfTrue="1" operator="greaterThan">
      <formula>0</formula>
    </cfRule>
  </conditionalFormatting>
  <conditionalFormatting sqref="AG22:AG24">
    <cfRule type="cellIs" dxfId="34" priority="62" stopIfTrue="1" operator="greaterThan">
      <formula>0</formula>
    </cfRule>
  </conditionalFormatting>
  <conditionalFormatting sqref="E21:F21">
    <cfRule type="cellIs" dxfId="33" priority="61" stopIfTrue="1" operator="greaterThan">
      <formula>0</formula>
    </cfRule>
  </conditionalFormatting>
  <conditionalFormatting sqref="E20:F20">
    <cfRule type="cellIs" dxfId="32" priority="60" stopIfTrue="1" operator="greaterThan">
      <formula>0</formula>
    </cfRule>
  </conditionalFormatting>
  <conditionalFormatting sqref="I20">
    <cfRule type="cellIs" dxfId="31" priority="59" stopIfTrue="1" operator="greaterThan">
      <formula>0</formula>
    </cfRule>
  </conditionalFormatting>
  <conditionalFormatting sqref="X20">
    <cfRule type="cellIs" dxfId="30" priority="57" stopIfTrue="1" operator="greaterThan">
      <formula>0</formula>
    </cfRule>
  </conditionalFormatting>
  <conditionalFormatting sqref="K38">
    <cfRule type="cellIs" dxfId="29" priority="56" stopIfTrue="1" operator="greaterThan">
      <formula>0</formula>
    </cfRule>
  </conditionalFormatting>
  <conditionalFormatting sqref="L38">
    <cfRule type="cellIs" dxfId="28" priority="55" stopIfTrue="1" operator="greaterThan">
      <formula>0</formula>
    </cfRule>
  </conditionalFormatting>
  <conditionalFormatting sqref="K22">
    <cfRule type="cellIs" dxfId="27" priority="48" stopIfTrue="1" operator="greaterThan">
      <formula>0</formula>
    </cfRule>
  </conditionalFormatting>
  <conditionalFormatting sqref="K25">
    <cfRule type="cellIs" dxfId="26" priority="47" stopIfTrue="1" operator="greaterThan">
      <formula>0</formula>
    </cfRule>
  </conditionalFormatting>
  <conditionalFormatting sqref="AH13:AH25">
    <cfRule type="cellIs" dxfId="25" priority="44" stopIfTrue="1" operator="greaterThan">
      <formula>0</formula>
    </cfRule>
  </conditionalFormatting>
  <conditionalFormatting sqref="AH13:AH25">
    <cfRule type="cellIs" dxfId="24" priority="43" stopIfTrue="1" operator="greaterThan">
      <formula>0</formula>
    </cfRule>
  </conditionalFormatting>
  <conditionalFormatting sqref="AL18">
    <cfRule type="cellIs" dxfId="23" priority="42" stopIfTrue="1" operator="greaterThan">
      <formula>0</formula>
    </cfRule>
  </conditionalFormatting>
  <conditionalFormatting sqref="AL18">
    <cfRule type="cellIs" dxfId="22" priority="41" stopIfTrue="1" operator="greaterThan">
      <formula>0</formula>
    </cfRule>
  </conditionalFormatting>
  <conditionalFormatting sqref="AA13:AA22 AA24:AA25">
    <cfRule type="cellIs" dxfId="21" priority="40" stopIfTrue="1" operator="greaterThan">
      <formula>0</formula>
    </cfRule>
  </conditionalFormatting>
  <conditionalFormatting sqref="AA23">
    <cfRule type="cellIs" dxfId="20" priority="38" stopIfTrue="1" operator="greaterThan">
      <formula>0</formula>
    </cfRule>
  </conditionalFormatting>
  <conditionalFormatting sqref="N13:N22">
    <cfRule type="cellIs" dxfId="19" priority="22" stopIfTrue="1" operator="greaterThan">
      <formula>0</formula>
    </cfRule>
  </conditionalFormatting>
  <conditionalFormatting sqref="D18">
    <cfRule type="cellIs" dxfId="18" priority="21" stopIfTrue="1" operator="greaterThan">
      <formula>0</formula>
    </cfRule>
  </conditionalFormatting>
  <conditionalFormatting sqref="D18">
    <cfRule type="cellIs" dxfId="17" priority="20" stopIfTrue="1" operator="greaterThan">
      <formula>0</formula>
    </cfRule>
  </conditionalFormatting>
  <conditionalFormatting sqref="D17">
    <cfRule type="cellIs" dxfId="16" priority="19" stopIfTrue="1" operator="greaterThan">
      <formula>0</formula>
    </cfRule>
  </conditionalFormatting>
  <conditionalFormatting sqref="G17">
    <cfRule type="cellIs" dxfId="15" priority="18" stopIfTrue="1" operator="greaterThan">
      <formula>0</formula>
    </cfRule>
  </conditionalFormatting>
  <conditionalFormatting sqref="H20:H23">
    <cfRule type="cellIs" dxfId="14" priority="17" stopIfTrue="1" operator="greaterThan">
      <formula>0</formula>
    </cfRule>
  </conditionalFormatting>
  <conditionalFormatting sqref="H20:H23">
    <cfRule type="cellIs" dxfId="13" priority="16" stopIfTrue="1" operator="greaterThan">
      <formula>0</formula>
    </cfRule>
  </conditionalFormatting>
  <conditionalFormatting sqref="J20:J25">
    <cfRule type="cellIs" dxfId="12" priority="15" stopIfTrue="1" operator="greaterThan">
      <formula>0</formula>
    </cfRule>
  </conditionalFormatting>
  <conditionalFormatting sqref="J20:J25">
    <cfRule type="cellIs" dxfId="11" priority="14" stopIfTrue="1" operator="greaterThan">
      <formula>0</formula>
    </cfRule>
  </conditionalFormatting>
  <conditionalFormatting sqref="L16:L25">
    <cfRule type="cellIs" dxfId="10" priority="13" stopIfTrue="1" operator="greaterThan">
      <formula>0</formula>
    </cfRule>
  </conditionalFormatting>
  <conditionalFormatting sqref="L16:L25">
    <cfRule type="cellIs" dxfId="9" priority="12" stopIfTrue="1" operator="greaterThan">
      <formula>0</formula>
    </cfRule>
  </conditionalFormatting>
  <conditionalFormatting sqref="R23">
    <cfRule type="cellIs" dxfId="8" priority="11" stopIfTrue="1" operator="greaterThan">
      <formula>0</formula>
    </cfRule>
  </conditionalFormatting>
  <conditionalFormatting sqref="R23">
    <cfRule type="cellIs" dxfId="7" priority="10" stopIfTrue="1" operator="greaterThan">
      <formula>0</formula>
    </cfRule>
  </conditionalFormatting>
  <conditionalFormatting sqref="T20">
    <cfRule type="cellIs" dxfId="6" priority="9" stopIfTrue="1" operator="greaterThan">
      <formula>0</formula>
    </cfRule>
  </conditionalFormatting>
  <conditionalFormatting sqref="T20">
    <cfRule type="cellIs" dxfId="5" priority="8" stopIfTrue="1" operator="greaterThan">
      <formula>0</formula>
    </cfRule>
  </conditionalFormatting>
  <conditionalFormatting sqref="AB17">
    <cfRule type="cellIs" dxfId="4" priority="7" stopIfTrue="1" operator="greaterThan">
      <formula>0</formula>
    </cfRule>
  </conditionalFormatting>
  <conditionalFormatting sqref="AB20">
    <cfRule type="cellIs" dxfId="3" priority="6" stopIfTrue="1" operator="greaterThan">
      <formula>0</formula>
    </cfRule>
  </conditionalFormatting>
  <conditionalFormatting sqref="AB20">
    <cfRule type="cellIs" dxfId="2" priority="5" stopIfTrue="1" operator="greaterThan">
      <formula>0</formula>
    </cfRule>
  </conditionalFormatting>
  <conditionalFormatting sqref="AG20">
    <cfRule type="cellIs" dxfId="1" priority="2" stopIfTrue="1" operator="greaterThan">
      <formula>0</formula>
    </cfRule>
  </conditionalFormatting>
  <conditionalFormatting sqref="AG20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2023-05-31T02:16:17Z</dcterms:modified>
</cp:coreProperties>
</file>