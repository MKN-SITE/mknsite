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60" windowWidth="15480" windowHeight="11280"/>
  </bookViews>
  <sheets>
    <sheet name="Avaibility TBTS" sheetId="11" r:id="rId1"/>
  </sheets>
  <definedNames>
    <definedName name="_xlnm.Print_Area" localSheetId="0">'Avaibility TBTS'!$A$1:$AH$42</definedName>
  </definedNames>
  <calcPr calcId="144525"/>
</workbook>
</file>

<file path=xl/calcChain.xml><?xml version="1.0" encoding="utf-8"?>
<calcChain xmlns="http://schemas.openxmlformats.org/spreadsheetml/2006/main">
  <c r="AF10" i="11" l="1"/>
  <c r="AG10" i="11" s="1"/>
  <c r="AH10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B32" i="11" l="1"/>
  <c r="B31" i="11"/>
  <c r="D32" i="11" l="1"/>
  <c r="D31" i="11"/>
  <c r="E31" i="11" l="1"/>
  <c r="C31" i="11" s="1"/>
  <c r="E32" i="11"/>
  <c r="C32" i="11" s="1"/>
  <c r="C37" i="11" l="1"/>
</calcChain>
</file>

<file path=xl/sharedStrings.xml><?xml version="1.0" encoding="utf-8"?>
<sst xmlns="http://schemas.openxmlformats.org/spreadsheetml/2006/main" count="60" uniqueCount="25">
  <si>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</si>
  <si>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</si>
  <si>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</si>
  <si>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</si>
  <si>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</si>
  <si>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</si>
  <si>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</si>
  <si>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</si>
  <si>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</si>
  <si>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</si>
  <si>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</si>
  <si>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</si>
  <si>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</si>
  <si>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</si>
  <si>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</si>
  <si>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</si>
  <si>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</si>
  <si>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</si>
  <si>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30</t>
  </si>
  <si>
    <t>Remaks</t>
  </si>
  <si>
    <t>Tower System</t>
  </si>
  <si>
    <t>Power System</t>
  </si>
  <si>
    <t>Galaxy TBTS</t>
  </si>
  <si>
    <t>TBTS galaxy</t>
  </si>
  <si>
    <t>ATS Problem ( Switch COS tidak bisa pindah saat genset berpindah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</si>
</sst>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02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64" fontId="0" fillId="0" borderId="15" xfId="0" applyBorder="1"/>
    <xf numFmtId="164" fontId="0" fillId="0" borderId="3" xfId="0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164" fontId="38" fillId="0" borderId="0" xfId="0" applyFont="1" applyAlignment="1">
      <alignment horizontal="center"/>
    </xf>
    <xf numFmtId="164" fontId="36" fillId="0" borderId="0" xfId="0" applyFont="1" applyBorder="1" applyAlignment="1">
      <alignment horizontal="center" vertical="center" wrapText="1"/>
    </xf>
    <xf numFmtId="165" fontId="37" fillId="0" borderId="0" xfId="0" applyNumberFormat="1" applyFont="1" applyBorder="1" applyAlignment="1">
      <alignment horizontal="center"/>
    </xf>
    <xf numFmtId="164" fontId="37" fillId="0" borderId="0" xfId="0" applyFont="1" applyBorder="1" applyAlignment="1">
      <alignment horizontal="left" vertical="center"/>
    </xf>
    <xf numFmtId="164" fontId="0" fillId="0" borderId="23" xfId="0" applyBorder="1"/>
    <xf numFmtId="164" fontId="0" fillId="0" borderId="1" xfId="0" applyBorder="1"/>
    <xf numFmtId="1" fontId="6" fillId="0" borderId="28" xfId="0" applyNumberFormat="1" applyFont="1" applyBorder="1" applyAlignment="1">
      <alignment horizontal="center" vertical="center"/>
    </xf>
    <xf numFmtId="164" fontId="36" fillId="0" borderId="28" xfId="0" applyFont="1" applyBorder="1" applyAlignment="1">
      <alignment vertical="center"/>
    </xf>
    <xf numFmtId="164" fontId="37" fillId="0" borderId="28" xfId="0" applyFont="1" applyBorder="1" applyAlignment="1">
      <alignment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8" fillId="0" borderId="1" xfId="0" applyFont="1" applyBorder="1" applyAlignment="1">
      <alignment horizontal="center"/>
    </xf>
    <xf numFmtId="16" fontId="8" fillId="33" borderId="18" xfId="0" applyNumberFormat="1" applyFont="1" applyFill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6" fillId="0" borderId="18" xfId="0" applyFont="1" applyBorder="1" applyAlignment="1">
      <alignment horizontal="left" vertical="center"/>
    </xf>
    <xf numFmtId="164" fontId="6" fillId="0" borderId="35" xfId="0" applyFont="1" applyBorder="1" applyAlignment="1">
      <alignment horizontal="left" vertical="center"/>
    </xf>
    <xf numFmtId="164" fontId="6" fillId="0" borderId="36" xfId="0" applyFont="1" applyBorder="1" applyAlignment="1">
      <alignment horizontal="left" vertical="center"/>
    </xf>
    <xf numFmtId="164" fontId="6" fillId="0" borderId="4" xfId="0" applyFont="1" applyBorder="1" applyAlignment="1">
      <alignment horizontal="left" vertical="center"/>
    </xf>
    <xf numFmtId="164" fontId="6" fillId="0" borderId="24" xfId="0" applyFont="1" applyBorder="1" applyAlignment="1">
      <alignment horizontal="left" vertical="center"/>
    </xf>
    <xf numFmtId="164" fontId="6" fillId="0" borderId="2" xfId="0" applyFont="1" applyBorder="1" applyAlignment="1">
      <alignment horizontal="left" vertical="center"/>
    </xf>
    <xf numFmtId="164" fontId="36" fillId="0" borderId="29" xfId="0" applyFont="1" applyBorder="1" applyAlignment="1">
      <alignment horizontal="center" vertical="center" wrapText="1"/>
    </xf>
    <xf numFmtId="164" fontId="36" fillId="0" borderId="30" xfId="0" applyFont="1" applyBorder="1" applyAlignment="1">
      <alignment horizontal="center" vertical="center" wrapText="1"/>
    </xf>
    <xf numFmtId="164" fontId="36" fillId="0" borderId="0" xfId="0" applyFont="1" applyBorder="1" applyAlignment="1">
      <alignment horizontal="center" vertical="center" wrapText="1"/>
    </xf>
    <xf numFmtId="164" fontId="36" fillId="0" borderId="22" xfId="0" applyFont="1" applyBorder="1" applyAlignment="1">
      <alignment horizontal="center" vertical="center" wrapText="1"/>
    </xf>
    <xf numFmtId="164" fontId="36" fillId="0" borderId="31" xfId="0" applyFont="1" applyBorder="1" applyAlignment="1">
      <alignment horizontal="center" vertical="center" wrapText="1"/>
    </xf>
    <xf numFmtId="164" fontId="36" fillId="0" borderId="32" xfId="0" applyFont="1" applyBorder="1" applyAlignment="1">
      <alignment horizontal="center" vertical="center" wrapText="1"/>
    </xf>
    <xf numFmtId="164" fontId="6" fillId="0" borderId="4" xfId="0" applyFont="1" applyBorder="1" applyAlignment="1">
      <alignment horizontal="center" vertical="center"/>
    </xf>
    <xf numFmtId="164" fontId="6" fillId="0" borderId="24" xfId="0" applyFont="1" applyBorder="1" applyAlignment="1">
      <alignment horizontal="center" vertical="center"/>
    </xf>
    <xf numFmtId="164" fontId="6" fillId="0" borderId="2" xfId="0" applyFont="1" applyBorder="1" applyAlignment="1">
      <alignment horizontal="center" vertical="center"/>
    </xf>
    <xf numFmtId="164" fontId="37" fillId="0" borderId="28" xfId="0" applyFont="1" applyBorder="1" applyAlignment="1">
      <alignment horizontal="center" vertical="center"/>
    </xf>
    <xf numFmtId="164" fontId="37" fillId="0" borderId="26" xfId="0" applyFont="1" applyBorder="1" applyAlignment="1">
      <alignment horizontal="center" vertic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6" fillId="0" borderId="15" xfId="0" applyFont="1" applyBorder="1" applyAlignment="1">
      <alignment horizontal="center" vertical="center"/>
    </xf>
    <xf numFmtId="164" fontId="6" fillId="0" borderId="33" xfId="0" applyFont="1" applyBorder="1" applyAlignment="1">
      <alignment horizontal="center" vertical="center"/>
    </xf>
    <xf numFmtId="164" fontId="6" fillId="0" borderId="34" xfId="0" applyFont="1" applyBorder="1" applyAlignment="1">
      <alignment horizontal="center" vertical="center"/>
    </xf>
    <xf numFmtId="164" fontId="6" fillId="0" borderId="27" xfId="0" applyFont="1" applyBorder="1" applyAlignment="1">
      <alignment horizontal="left" vertical="center"/>
    </xf>
    <xf numFmtId="164" fontId="6" fillId="0" borderId="25" xfId="0" applyFont="1" applyBorder="1" applyAlignment="1">
      <alignment horizontal="left" vertical="center"/>
    </xf>
    <xf numFmtId="164" fontId="6" fillId="0" borderId="23" xfId="0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53"/>
  <sheetViews>
    <sheetView tabSelected="1" zoomScale="80" zoomScaleNormal="80" workbookViewId="0">
      <selection activeCell="D20" sqref="D20:AH20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1" customWidth="1"/>
    <col min="16" max="32" width="10.5703125" customWidth="1"/>
    <col min="33" max="34" width="11.28515625" customWidth="1"/>
  </cols>
  <sheetData>
    <row r="1" spans="1:34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4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4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4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4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4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4" s="3" customFormat="1" x14ac:dyDescent="0.2">
      <c r="A7" s="5" t="s">
        <v>5</v>
      </c>
      <c r="B7" s="6"/>
      <c r="C7" s="38">
        <v>45047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4" s="3" customFormat="1" x14ac:dyDescent="0.2">
      <c r="A8" s="5" t="s">
        <v>6</v>
      </c>
      <c r="B8" s="8"/>
      <c r="C8" s="40" t="s">
        <v>18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4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4" s="3" customFormat="1" x14ac:dyDescent="0.2">
      <c r="A10" s="92" t="s">
        <v>2</v>
      </c>
      <c r="B10" s="94" t="s">
        <v>0</v>
      </c>
      <c r="C10" s="94" t="s">
        <v>8</v>
      </c>
      <c r="D10" s="68">
        <f>C7</f>
        <v>45047</v>
      </c>
      <c r="E10" s="68">
        <f>1+D10</f>
        <v>45048</v>
      </c>
      <c r="F10" s="68">
        <f t="shared" ref="F10:AH10" si="0">1+E10</f>
        <v>45049</v>
      </c>
      <c r="G10" s="68">
        <f t="shared" si="0"/>
        <v>45050</v>
      </c>
      <c r="H10" s="68">
        <f t="shared" si="0"/>
        <v>45051</v>
      </c>
      <c r="I10" s="68">
        <f t="shared" si="0"/>
        <v>45052</v>
      </c>
      <c r="J10" s="68">
        <f t="shared" si="0"/>
        <v>45053</v>
      </c>
      <c r="K10" s="68">
        <f t="shared" si="0"/>
        <v>45054</v>
      </c>
      <c r="L10" s="68">
        <f t="shared" si="0"/>
        <v>45055</v>
      </c>
      <c r="M10" s="68">
        <f t="shared" si="0"/>
        <v>45056</v>
      </c>
      <c r="N10" s="68">
        <f t="shared" si="0"/>
        <v>45057</v>
      </c>
      <c r="O10" s="68">
        <f t="shared" si="0"/>
        <v>45058</v>
      </c>
      <c r="P10" s="68">
        <f t="shared" si="0"/>
        <v>45059</v>
      </c>
      <c r="Q10" s="68">
        <f t="shared" si="0"/>
        <v>45060</v>
      </c>
      <c r="R10" s="68">
        <f t="shared" si="0"/>
        <v>45061</v>
      </c>
      <c r="S10" s="68">
        <f t="shared" si="0"/>
        <v>45062</v>
      </c>
      <c r="T10" s="68">
        <f t="shared" si="0"/>
        <v>45063</v>
      </c>
      <c r="U10" s="68">
        <f t="shared" si="0"/>
        <v>45064</v>
      </c>
      <c r="V10" s="68">
        <f t="shared" si="0"/>
        <v>45065</v>
      </c>
      <c r="W10" s="68">
        <f t="shared" si="0"/>
        <v>45066</v>
      </c>
      <c r="X10" s="68">
        <f t="shared" si="0"/>
        <v>45067</v>
      </c>
      <c r="Y10" s="68">
        <f t="shared" si="0"/>
        <v>45068</v>
      </c>
      <c r="Z10" s="68">
        <f t="shared" si="0"/>
        <v>45069</v>
      </c>
      <c r="AA10" s="68">
        <f t="shared" si="0"/>
        <v>45070</v>
      </c>
      <c r="AB10" s="68">
        <f t="shared" si="0"/>
        <v>45071</v>
      </c>
      <c r="AC10" s="68">
        <f t="shared" si="0"/>
        <v>45072</v>
      </c>
      <c r="AD10" s="68">
        <f t="shared" si="0"/>
        <v>45073</v>
      </c>
      <c r="AE10" s="68">
        <f t="shared" si="0"/>
        <v>45074</v>
      </c>
      <c r="AF10" s="68">
        <f t="shared" si="0"/>
        <v>45075</v>
      </c>
      <c r="AG10" s="68">
        <f t="shared" si="0"/>
        <v>45076</v>
      </c>
      <c r="AH10" s="68">
        <f t="shared" si="0"/>
        <v>45077</v>
      </c>
    </row>
    <row r="11" spans="1:34" s="1" customFormat="1" x14ac:dyDescent="0.2">
      <c r="A11" s="93"/>
      <c r="B11" s="95"/>
      <c r="C11" s="95"/>
      <c r="D11" s="69" t="s">
        <v>7</v>
      </c>
      <c r="E11" s="69" t="s">
        <v>7</v>
      </c>
      <c r="F11" s="69" t="s">
        <v>7</v>
      </c>
      <c r="G11" s="69" t="s">
        <v>7</v>
      </c>
      <c r="H11" s="69" t="s">
        <v>7</v>
      </c>
      <c r="I11" s="69" t="s">
        <v>7</v>
      </c>
      <c r="J11" s="69" t="s">
        <v>7</v>
      </c>
      <c r="K11" s="69" t="s">
        <v>7</v>
      </c>
      <c r="L11" s="69" t="s">
        <v>7</v>
      </c>
      <c r="M11" s="69" t="s">
        <v>7</v>
      </c>
      <c r="N11" s="69" t="s">
        <v>7</v>
      </c>
      <c r="O11" s="69" t="s">
        <v>7</v>
      </c>
      <c r="P11" s="69" t="s">
        <v>7</v>
      </c>
      <c r="Q11" s="69" t="s">
        <v>7</v>
      </c>
      <c r="R11" s="69" t="s">
        <v>7</v>
      </c>
      <c r="S11" s="69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  <c r="AH11" s="10" t="s">
        <v>7</v>
      </c>
    </row>
    <row r="12" spans="1:34" x14ac:dyDescent="0.2">
      <c r="A12" s="44"/>
      <c r="B12" s="33"/>
      <c r="C12" s="34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60"/>
      <c r="AH12" s="59"/>
    </row>
    <row r="13" spans="1:34" s="12" customFormat="1" ht="15.75" x14ac:dyDescent="0.25">
      <c r="A13" s="45" t="s">
        <v>17</v>
      </c>
      <c r="B13" s="32" t="s">
        <v>20</v>
      </c>
      <c r="C13" s="67" t="s">
        <v>22</v>
      </c>
      <c r="D13" s="35">
        <v>0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  <c r="X13" s="35">
        <v>0</v>
      </c>
      <c r="Y13" s="35">
        <v>0</v>
      </c>
      <c r="Z13" s="35">
        <v>0</v>
      </c>
      <c r="AA13" s="35">
        <v>0</v>
      </c>
      <c r="AB13" s="35">
        <v>0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  <c r="AH13" s="35">
        <v>0</v>
      </c>
    </row>
    <row r="14" spans="1:34" s="12" customFormat="1" ht="16.5" thickBot="1" x14ac:dyDescent="0.3">
      <c r="A14" s="45" t="s">
        <v>16</v>
      </c>
      <c r="B14" s="32" t="s">
        <v>21</v>
      </c>
      <c r="C14" s="67" t="s">
        <v>22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8.6805555555555566E-2</v>
      </c>
      <c r="W14" s="35">
        <v>0</v>
      </c>
      <c r="X14" s="35">
        <v>0</v>
      </c>
      <c r="Y14" s="35">
        <v>0</v>
      </c>
      <c r="Z14" s="35">
        <v>0</v>
      </c>
      <c r="AA14" s="35">
        <v>0</v>
      </c>
      <c r="AB14" s="35">
        <v>0</v>
      </c>
      <c r="AC14" s="35">
        <v>0</v>
      </c>
      <c r="AD14" s="35">
        <v>0</v>
      </c>
      <c r="AE14" s="35">
        <v>0</v>
      </c>
      <c r="AF14" s="35">
        <v>0</v>
      </c>
      <c r="AG14" s="35">
        <v>0</v>
      </c>
      <c r="AH14" s="35">
        <v>0</v>
      </c>
    </row>
    <row r="15" spans="1:34" s="12" customFormat="1" ht="16.5" customHeight="1" thickBot="1" x14ac:dyDescent="0.25">
      <c r="A15" s="61"/>
      <c r="B15" s="62"/>
      <c r="C15" s="63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1"/>
    </row>
    <row r="16" spans="1:34" s="12" customFormat="1" ht="16.5" customHeight="1" x14ac:dyDescent="0.2">
      <c r="A16" s="81" t="s">
        <v>19</v>
      </c>
      <c r="B16" s="82"/>
      <c r="C16" s="64">
        <v>45065</v>
      </c>
      <c r="D16" s="75" t="s">
        <v>24</v>
      </c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7"/>
    </row>
    <row r="17" spans="1:34" s="12" customFormat="1" ht="16.5" customHeight="1" x14ac:dyDescent="0.2">
      <c r="A17" s="83"/>
      <c r="B17" s="84"/>
      <c r="C17" s="64"/>
      <c r="D17" s="78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80"/>
    </row>
    <row r="18" spans="1:34" s="12" customFormat="1" ht="16.5" customHeight="1" x14ac:dyDescent="0.2">
      <c r="A18" s="83"/>
      <c r="B18" s="84"/>
      <c r="C18" s="65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80"/>
    </row>
    <row r="19" spans="1:34" s="12" customFormat="1" ht="16.5" customHeight="1" x14ac:dyDescent="0.2">
      <c r="A19" s="83"/>
      <c r="B19" s="84"/>
      <c r="C19" s="65"/>
      <c r="D19" s="78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80"/>
    </row>
    <row r="20" spans="1:34" s="12" customFormat="1" ht="16.5" customHeight="1" x14ac:dyDescent="0.2">
      <c r="A20" s="83"/>
      <c r="B20" s="84"/>
      <c r="C20" s="65"/>
      <c r="D20" s="78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80"/>
    </row>
    <row r="21" spans="1:34" s="12" customFormat="1" ht="16.5" customHeight="1" x14ac:dyDescent="0.2">
      <c r="A21" s="83"/>
      <c r="B21" s="84"/>
      <c r="C21" s="65"/>
      <c r="D21" s="99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1"/>
    </row>
    <row r="22" spans="1:34" s="12" customFormat="1" ht="16.5" customHeight="1" x14ac:dyDescent="0.2">
      <c r="A22" s="83"/>
      <c r="B22" s="84"/>
      <c r="C22" s="65"/>
      <c r="D22" s="87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9"/>
    </row>
    <row r="23" spans="1:34" s="12" customFormat="1" ht="16.5" customHeight="1" x14ac:dyDescent="0.2">
      <c r="A23" s="83"/>
      <c r="B23" s="84"/>
      <c r="C23" s="65"/>
      <c r="D23" s="96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8"/>
    </row>
    <row r="24" spans="1:34" s="12" customFormat="1" ht="16.5" customHeight="1" thickBot="1" x14ac:dyDescent="0.25">
      <c r="A24" s="85"/>
      <c r="B24" s="86"/>
      <c r="C24" s="65"/>
      <c r="D24" s="87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9"/>
    </row>
    <row r="25" spans="1:34" s="12" customFormat="1" ht="15" x14ac:dyDescent="0.2">
      <c r="A25" s="56"/>
      <c r="B25" s="56"/>
      <c r="C25" s="57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</row>
    <row r="26" spans="1:34" s="12" customFormat="1" ht="15" x14ac:dyDescent="0.2">
      <c r="A26" s="13"/>
      <c r="B26" s="41"/>
      <c r="C26" s="42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2"/>
    </row>
    <row r="27" spans="1:34" s="12" customFormat="1" x14ac:dyDescent="0.2">
      <c r="A27" s="13"/>
      <c r="D27" s="14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34" s="12" customFormat="1" x14ac:dyDescent="0.2">
      <c r="A28" s="23" t="s">
        <v>12</v>
      </c>
      <c r="D28" s="14"/>
      <c r="E28" s="15"/>
      <c r="F28" s="15"/>
      <c r="G28" s="15"/>
      <c r="H28" s="15"/>
      <c r="I28" s="15"/>
      <c r="J28" s="15"/>
      <c r="K28" s="50"/>
      <c r="L28" s="50"/>
      <c r="M28" s="15"/>
      <c r="O28" s="15"/>
      <c r="AB28" s="31"/>
    </row>
    <row r="29" spans="1:34" s="12" customFormat="1" x14ac:dyDescent="0.2">
      <c r="A29" s="71" t="s">
        <v>2</v>
      </c>
      <c r="B29" s="71" t="s">
        <v>9</v>
      </c>
      <c r="C29" s="71" t="s">
        <v>1</v>
      </c>
      <c r="D29" s="73" t="s">
        <v>7</v>
      </c>
      <c r="E29" s="74"/>
      <c r="F29" s="15"/>
      <c r="G29" s="15"/>
      <c r="H29" s="15"/>
      <c r="I29" s="15"/>
      <c r="J29" s="15"/>
      <c r="K29" s="51"/>
      <c r="L29" s="51"/>
      <c r="M29" s="15"/>
      <c r="O29" s="15"/>
      <c r="AB29" s="31"/>
    </row>
    <row r="30" spans="1:34" s="12" customFormat="1" x14ac:dyDescent="0.2">
      <c r="A30" s="72"/>
      <c r="B30" s="72"/>
      <c r="C30" s="72"/>
      <c r="D30" s="27" t="s">
        <v>10</v>
      </c>
      <c r="E30" s="22" t="s">
        <v>11</v>
      </c>
      <c r="F30" s="15"/>
      <c r="G30" s="15"/>
      <c r="H30" s="15"/>
      <c r="I30" s="15"/>
      <c r="J30" s="15"/>
      <c r="K30" s="15"/>
      <c r="L30" s="15"/>
      <c r="M30" s="15"/>
      <c r="O30" s="15"/>
      <c r="AB30" s="31"/>
    </row>
    <row r="31" spans="1:34" s="12" customFormat="1" ht="15.75" x14ac:dyDescent="0.25">
      <c r="A31" s="39" t="s">
        <v>17</v>
      </c>
      <c r="B31" s="32" t="str">
        <f>B13</f>
        <v>Tower System</v>
      </c>
      <c r="C31" s="36">
        <f t="shared" ref="C31:C32" si="1">1-(((D31*3600)+(LEFT(E31,2)*60)+RIGHT(E31,2))/((60*60*24)*$C$8))</f>
        <v>1</v>
      </c>
      <c r="D31" s="20" t="str">
        <f>TEXT(SUM(D13:AH13),"[h]")</f>
        <v>0</v>
      </c>
      <c r="E31" s="20" t="str">
        <f>TEXT(SUM(D13:AH13),"mm ss")</f>
        <v>00 00</v>
      </c>
      <c r="F31" s="15"/>
      <c r="G31" s="21"/>
      <c r="H31" s="15"/>
      <c r="I31" s="15"/>
      <c r="J31" s="15"/>
      <c r="K31" s="15"/>
      <c r="L31" s="15"/>
      <c r="M31" s="15"/>
      <c r="O31" s="15"/>
      <c r="AB31" s="31"/>
    </row>
    <row r="32" spans="1:34" s="12" customFormat="1" ht="15.75" x14ac:dyDescent="0.25">
      <c r="A32" s="39" t="s">
        <v>16</v>
      </c>
      <c r="B32" s="32" t="str">
        <f>B14</f>
        <v>Power System</v>
      </c>
      <c r="C32" s="70">
        <f t="shared" si="1"/>
        <v>0.99710648148148151</v>
      </c>
      <c r="D32" s="20" t="str">
        <f>TEXT(SUM(D14:AH14),"[h]")</f>
        <v>2</v>
      </c>
      <c r="E32" s="20" t="str">
        <f>TEXT(SUM(D14:AH14),"mm ss")</f>
        <v>05 00</v>
      </c>
      <c r="F32" s="15"/>
      <c r="G32" s="21"/>
      <c r="H32" s="15"/>
      <c r="I32" s="15"/>
      <c r="J32" s="15"/>
      <c r="K32" s="15"/>
      <c r="L32" s="15"/>
      <c r="M32" s="15"/>
      <c r="O32" s="15"/>
      <c r="AB32" s="31"/>
    </row>
    <row r="33" spans="1:34" ht="15.75" x14ac:dyDescent="0.25">
      <c r="A33" s="46"/>
      <c r="B33" s="47"/>
      <c r="C33" s="48"/>
      <c r="D33" s="49"/>
      <c r="E33" s="49"/>
      <c r="F33" s="15"/>
      <c r="G33" s="21"/>
      <c r="H33" s="15"/>
      <c r="I33" s="15"/>
      <c r="J33" s="15"/>
      <c r="K33" s="15"/>
      <c r="L33" s="52"/>
      <c r="M33" s="52"/>
      <c r="N33" s="52"/>
      <c r="O33" s="5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</row>
    <row r="34" spans="1:34" x14ac:dyDescent="0.2">
      <c r="A34" s="13"/>
      <c r="B34" s="12"/>
      <c r="C34" s="26"/>
      <c r="D34" s="25"/>
      <c r="E34" s="15"/>
      <c r="F34" s="15"/>
      <c r="G34" s="15"/>
      <c r="H34" s="15"/>
      <c r="I34" s="15"/>
      <c r="J34" s="15"/>
      <c r="K34" s="15"/>
      <c r="L34" s="52"/>
      <c r="M34" s="52"/>
      <c r="N34" s="52"/>
      <c r="O34" s="5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</row>
    <row r="35" spans="1:34" x14ac:dyDescent="0.2">
      <c r="A35" s="13"/>
      <c r="B35" s="12"/>
      <c r="C35" s="12"/>
      <c r="D35" s="14"/>
      <c r="E35" s="15"/>
      <c r="F35" s="15"/>
      <c r="G35" s="15"/>
      <c r="H35" s="15"/>
      <c r="I35" s="15"/>
      <c r="J35" s="15"/>
      <c r="K35" s="15"/>
      <c r="L35" s="52"/>
      <c r="M35" s="52"/>
      <c r="N35" s="52"/>
      <c r="O35" s="5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</row>
    <row r="36" spans="1:34" x14ac:dyDescent="0.2">
      <c r="A36" s="14"/>
      <c r="B36" s="24" t="s">
        <v>13</v>
      </c>
      <c r="C36" s="19"/>
      <c r="D36" s="18"/>
      <c r="E36" s="18"/>
      <c r="F36" s="18"/>
      <c r="G36" s="18"/>
      <c r="H36" s="18"/>
      <c r="I36" s="18"/>
      <c r="J36" s="18"/>
      <c r="K36" s="18"/>
      <c r="L36" s="53"/>
      <c r="M36" s="53"/>
      <c r="N36" s="53"/>
      <c r="O36" s="53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6"/>
    </row>
    <row r="37" spans="1:34" x14ac:dyDescent="0.2">
      <c r="A37"/>
      <c r="B37" s="12" t="s">
        <v>23</v>
      </c>
      <c r="C37" s="27">
        <f>(SUM(C31:C32))/(100%*2)</f>
        <v>0.9985532407407407</v>
      </c>
      <c r="G37" s="37"/>
      <c r="L37" s="54"/>
      <c r="M37" s="54"/>
      <c r="N37" s="54"/>
      <c r="O37" s="54"/>
    </row>
    <row r="38" spans="1:34" x14ac:dyDescent="0.2">
      <c r="L38" s="54"/>
      <c r="M38" s="54"/>
      <c r="N38" s="54"/>
      <c r="O38" s="54"/>
    </row>
    <row r="39" spans="1:34" x14ac:dyDescent="0.2">
      <c r="L39" s="54"/>
      <c r="M39" s="54"/>
      <c r="N39" s="54"/>
      <c r="O39" s="54"/>
    </row>
    <row r="40" spans="1:34" x14ac:dyDescent="0.2">
      <c r="L40" s="54"/>
      <c r="M40" s="54"/>
      <c r="N40" s="54"/>
      <c r="O40" s="54"/>
    </row>
    <row r="41" spans="1:34" x14ac:dyDescent="0.2">
      <c r="A41" s="55"/>
      <c r="B41" s="66"/>
    </row>
    <row r="42" spans="1:34" x14ac:dyDescent="0.2">
      <c r="A42"/>
      <c r="B42" s="12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</row>
    <row r="50" spans="1:33" x14ac:dyDescent="0.2">
      <c r="A50"/>
      <c r="E50" s="28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</row>
    <row r="51" spans="1:33" x14ac:dyDescent="0.2">
      <c r="A51"/>
      <c r="E51" s="28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</row>
    <row r="52" spans="1:33" x14ac:dyDescent="0.2">
      <c r="A52"/>
      <c r="E52" s="28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</row>
    <row r="53" spans="1:33" x14ac:dyDescent="0.2">
      <c r="A53"/>
      <c r="D53"/>
      <c r="E53" s="28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</row>
  </sheetData>
  <mergeCells count="18">
    <mergeCell ref="D15:AH15"/>
    <mergeCell ref="A10:A11"/>
    <mergeCell ref="B10:B11"/>
    <mergeCell ref="C10:C11"/>
    <mergeCell ref="D23:AH23"/>
    <mergeCell ref="D21:AH21"/>
    <mergeCell ref="D20:AH20"/>
    <mergeCell ref="D22:AH22"/>
    <mergeCell ref="A29:A30"/>
    <mergeCell ref="B29:B30"/>
    <mergeCell ref="C29:C30"/>
    <mergeCell ref="D29:E29"/>
    <mergeCell ref="D16:AH16"/>
    <mergeCell ref="D17:AH17"/>
    <mergeCell ref="D18:AH18"/>
    <mergeCell ref="D19:AH19"/>
    <mergeCell ref="A16:B24"/>
    <mergeCell ref="D24:AH24"/>
  </mergeCells>
  <phoneticPr fontId="9" type="noConversion"/>
  <conditionalFormatting sqref="D13:D14">
    <cfRule type="cellIs" dxfId="22" priority="284" stopIfTrue="1" operator="greaterThan">
      <formula>0</formula>
    </cfRule>
  </conditionalFormatting>
  <conditionalFormatting sqref="D13:F13">
    <cfRule type="cellIs" dxfId="21" priority="238" stopIfTrue="1" operator="greaterThan">
      <formula>0</formula>
    </cfRule>
  </conditionalFormatting>
  <conditionalFormatting sqref="D14:F14">
    <cfRule type="cellIs" dxfId="20" priority="254" stopIfTrue="1" operator="greaterThan">
      <formula>0</formula>
    </cfRule>
  </conditionalFormatting>
  <conditionalFormatting sqref="I14:M14">
    <cfRule type="cellIs" dxfId="19" priority="253" stopIfTrue="1" operator="greaterThan">
      <formula>0</formula>
    </cfRule>
  </conditionalFormatting>
  <conditionalFormatting sqref="O14:AD14">
    <cfRule type="cellIs" dxfId="18" priority="252" stopIfTrue="1" operator="greaterThan">
      <formula>0</formula>
    </cfRule>
  </conditionalFormatting>
  <conditionalFormatting sqref="G14">
    <cfRule type="cellIs" dxfId="17" priority="251" stopIfTrue="1" operator="greaterThan">
      <formula>0</formula>
    </cfRule>
  </conditionalFormatting>
  <conditionalFormatting sqref="N14">
    <cfRule type="cellIs" dxfId="16" priority="250" stopIfTrue="1" operator="greaterThan">
      <formula>0</formula>
    </cfRule>
  </conditionalFormatting>
  <conditionalFormatting sqref="H14">
    <cfRule type="cellIs" dxfId="15" priority="249" stopIfTrue="1" operator="greaterThan">
      <formula>0</formula>
    </cfRule>
  </conditionalFormatting>
  <conditionalFormatting sqref="I13:M13">
    <cfRule type="cellIs" dxfId="14" priority="237" stopIfTrue="1" operator="greaterThan">
      <formula>0</formula>
    </cfRule>
  </conditionalFormatting>
  <conditionalFormatting sqref="O13:AD13">
    <cfRule type="cellIs" dxfId="13" priority="236" stopIfTrue="1" operator="greaterThan">
      <formula>0</formula>
    </cfRule>
  </conditionalFormatting>
  <conditionalFormatting sqref="G13">
    <cfRule type="cellIs" dxfId="12" priority="235" stopIfTrue="1" operator="greaterThan">
      <formula>0</formula>
    </cfRule>
  </conditionalFormatting>
  <conditionalFormatting sqref="N13">
    <cfRule type="cellIs" dxfId="11" priority="234" stopIfTrue="1" operator="greaterThan">
      <formula>0</formula>
    </cfRule>
  </conditionalFormatting>
  <conditionalFormatting sqref="H13">
    <cfRule type="cellIs" dxfId="10" priority="233" stopIfTrue="1" operator="greaterThan">
      <formula>0</formula>
    </cfRule>
  </conditionalFormatting>
  <conditionalFormatting sqref="AE13:AF13">
    <cfRule type="cellIs" dxfId="9" priority="232" stopIfTrue="1" operator="greaterThan">
      <formula>0</formula>
    </cfRule>
  </conditionalFormatting>
  <conditionalFormatting sqref="AH13">
    <cfRule type="cellIs" dxfId="8" priority="123" stopIfTrue="1" operator="greaterThan">
      <formula>0</formula>
    </cfRule>
  </conditionalFormatting>
  <conditionalFormatting sqref="AH13">
    <cfRule type="cellIs" dxfId="7" priority="114" stopIfTrue="1" operator="greaterThan">
      <formula>0</formula>
    </cfRule>
  </conditionalFormatting>
  <conditionalFormatting sqref="AH14">
    <cfRule type="cellIs" dxfId="6" priority="125" stopIfTrue="1" operator="greaterThan">
      <formula>0</formula>
    </cfRule>
  </conditionalFormatting>
  <conditionalFormatting sqref="AH14">
    <cfRule type="cellIs" dxfId="5" priority="116" stopIfTrue="1" operator="greaterThan">
      <formula>0</formula>
    </cfRule>
  </conditionalFormatting>
  <conditionalFormatting sqref="K28">
    <cfRule type="cellIs" dxfId="4" priority="86" stopIfTrue="1" operator="greaterThan">
      <formula>0</formula>
    </cfRule>
  </conditionalFormatting>
  <conditionalFormatting sqref="L28">
    <cfRule type="cellIs" dxfId="3" priority="85" stopIfTrue="1" operator="greaterThan">
      <formula>0</formula>
    </cfRule>
  </conditionalFormatting>
  <conditionalFormatting sqref="AE14:AF14">
    <cfRule type="cellIs" dxfId="2" priority="68" stopIfTrue="1" operator="greaterThan">
      <formula>0</formula>
    </cfRule>
  </conditionalFormatting>
  <conditionalFormatting sqref="AG13">
    <cfRule type="cellIs" dxfId="1" priority="23" stopIfTrue="1" operator="greaterThan">
      <formula>0</formula>
    </cfRule>
  </conditionalFormatting>
  <conditionalFormatting sqref="AG14">
    <cfRule type="cellIs" dxfId="0" priority="22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TBTS</vt:lpstr>
      <vt:lpstr>'Avaibility TBTS'!Print_Area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AIO-04</cp:lastModifiedBy>
  <cp:lastPrinted>2022-07-04T01:07:16Z</cp:lastPrinted>
  <dcterms:created xsi:type="dcterms:W3CDTF">2006-10-16T02:50:45Z</dcterms:created>
  <dcterms:modified xsi:type="dcterms:W3CDTF">2023-06-26T05:35:48Z</dcterms:modified>
</cp:coreProperties>
</file>