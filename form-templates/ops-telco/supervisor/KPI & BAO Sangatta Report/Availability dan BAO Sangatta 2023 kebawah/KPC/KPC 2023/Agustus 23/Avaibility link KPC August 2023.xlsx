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3" i="11" l="1"/>
  <c r="D53" i="11"/>
  <c r="E52" i="11"/>
  <c r="D52" i="11"/>
  <c r="E51" i="11"/>
  <c r="D51" i="11"/>
  <c r="E50" i="11"/>
  <c r="D50" i="11"/>
  <c r="E49" i="11"/>
  <c r="E48" i="11"/>
  <c r="D49" i="11"/>
  <c r="E47" i="11"/>
  <c r="D47" i="11"/>
  <c r="D48" i="11"/>
  <c r="E46" i="11"/>
  <c r="D46" i="11"/>
  <c r="E44" i="11"/>
  <c r="E45" i="11"/>
  <c r="D44" i="11"/>
  <c r="D45" i="11"/>
  <c r="E43" i="11"/>
  <c r="D43" i="11"/>
  <c r="E42" i="11"/>
  <c r="D42" i="11"/>
  <c r="E41" i="11"/>
  <c r="D41" i="11"/>
  <c r="C53" i="11" l="1"/>
  <c r="C51" i="11" l="1"/>
  <c r="C52" i="11"/>
  <c r="C50" i="11"/>
  <c r="C41" i="11"/>
  <c r="C42" i="11"/>
  <c r="C45" i="11" l="1"/>
  <c r="C49" i="11"/>
  <c r="C47" i="11"/>
  <c r="C43" i="11"/>
  <c r="C48" i="11"/>
  <c r="C46" i="11"/>
  <c r="C44" i="11"/>
  <c r="C58" i="11" l="1"/>
</calcChain>
</file>

<file path=xl/sharedStrings.xml><?xml version="1.0" encoding="utf-8"?>
<sst xmlns="http://schemas.openxmlformats.org/spreadsheetml/2006/main" count="109" uniqueCount="56">
  <si>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</si>
  <si>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</si>
  <si>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</si>
  <si>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</si>
  <si>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</si>
  <si>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</si>
  <si>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</si>
  <si>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</si>
  <si>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</si>
  <si>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</si>
  <si>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</si>
  <si>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</si>
  <si>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</si>
  <si>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</si>
  <si>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</si>
  <si>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</si>
  <si>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</si>
  <si>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</si>
  <si>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</si>
  <si>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</si>
  <si>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</si>
  <si>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</si>
  <si>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</si>
  <si>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</si>
  <si>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</si>
  <si>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</si>
  <si>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</si>
  <si>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</si>
  <si>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</si>
  <si>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</si>
  <si>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</si>
  <si>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</si>
  <si>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</si>
  <si>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</si>
  <si>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</si>
  <si>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</si>
  <si>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</si>
  <si>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</si>
  <si>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</si>
  <si>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</si>
  <si>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</si>
  <si>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</si>
  <si>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</si>
  <si>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</si>
  <si>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</si>
  <si>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</si>
  <si>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</si>
  <si>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</si>
  <si>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</si>
  <si>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</si>
  <si>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>I</t>
  </si>
  <si>
    <t xml:space="preserve"> </t>
  </si>
  <si>
    <t>Remaks</t>
  </si>
  <si>
    <t>28 Agust 23</t>
  </si>
  <si>
    <t xml:space="preserve">       High BER / Low BER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</si>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</sst>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  <font>
      <sz val="10"/>
      <color rgb="FFFF0000"/>
      <name val="Tahoma"/>
      <family val="2"/>
    </font>
    <font>
      <b/>
      <sz val="11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2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4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9" fillId="0" borderId="25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5" xfId="0" applyFont="1" applyBorder="1" applyAlignment="1"/>
    <xf numFmtId="164" fontId="6" fillId="0" borderId="25" xfId="0" applyFont="1" applyBorder="1"/>
    <xf numFmtId="21" fontId="6" fillId="0" borderId="25" xfId="0" applyNumberFormat="1" applyFont="1" applyBorder="1"/>
    <xf numFmtId="164" fontId="6" fillId="0" borderId="22" xfId="0" applyFont="1" applyBorder="1"/>
    <xf numFmtId="165" fontId="39" fillId="0" borderId="4" xfId="0" applyNumberFormat="1" applyFon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36" fillId="0" borderId="0" xfId="0" applyFont="1" applyBorder="1" applyAlignment="1">
      <alignment vertical="center" wrapText="1"/>
    </xf>
    <xf numFmtId="164" fontId="36" fillId="0" borderId="26" xfId="0" applyFont="1" applyBorder="1" applyAlignment="1">
      <alignment vertical="center" wrapText="1"/>
    </xf>
    <xf numFmtId="164" fontId="41" fillId="0" borderId="0" xfId="0" applyFont="1" applyAlignment="1">
      <alignment horizontal="center"/>
    </xf>
    <xf numFmtId="164" fontId="41" fillId="0" borderId="0" xfId="0" applyFont="1"/>
    <xf numFmtId="164" fontId="41" fillId="0" borderId="0" xfId="0" applyFont="1" applyFill="1"/>
    <xf numFmtId="164" fontId="41" fillId="0" borderId="0" xfId="0" applyFont="1" applyFill="1" applyBorder="1"/>
    <xf numFmtId="16" fontId="8" fillId="0" borderId="27" xfId="0" applyNumberFormat="1" applyFont="1" applyBorder="1" applyAlignment="1">
      <alignment horizontal="center"/>
    </xf>
    <xf numFmtId="164" fontId="39" fillId="0" borderId="25" xfId="0" applyFont="1" applyBorder="1" applyAlignment="1">
      <alignment vertical="center"/>
    </xf>
    <xf numFmtId="164" fontId="38" fillId="0" borderId="25" xfId="0" applyFont="1" applyBorder="1" applyAlignment="1">
      <alignment horizontal="center" vertical="center"/>
    </xf>
    <xf numFmtId="164" fontId="36" fillId="0" borderId="23" xfId="0" applyFont="1" applyBorder="1" applyAlignment="1">
      <alignment wrapText="1"/>
    </xf>
    <xf numFmtId="1" fontId="6" fillId="0" borderId="15" xfId="0" applyNumberFormat="1" applyFont="1" applyBorder="1" applyAlignment="1">
      <alignment horizontal="center" vertical="center"/>
    </xf>
    <xf numFmtId="164" fontId="36" fillId="0" borderId="0" xfId="0" applyFont="1" applyBorder="1" applyAlignment="1">
      <alignment wrapText="1"/>
    </xf>
    <xf numFmtId="16" fontId="8" fillId="0" borderId="18" xfId="0" applyNumberFormat="1" applyFont="1" applyFill="1" applyBorder="1" applyAlignment="1">
      <alignment horizontal="center"/>
    </xf>
    <xf numFmtId="164" fontId="12" fillId="0" borderId="1" xfId="0" applyFont="1" applyFill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3" xfId="0" applyFont="1" applyBorder="1" applyAlignment="1">
      <alignment horizontal="center" vertical="center"/>
    </xf>
    <xf numFmtId="164" fontId="36" fillId="0" borderId="28" xfId="0" applyFont="1" applyBorder="1" applyAlignment="1">
      <alignment horizontal="center" vertical="center"/>
    </xf>
    <xf numFmtId="164" fontId="36" fillId="0" borderId="5" xfId="0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top"/>
    </xf>
    <xf numFmtId="164" fontId="39" fillId="0" borderId="25" xfId="0" applyFont="1" applyBorder="1" applyAlignment="1">
      <alignment horizontal="left" vertical="center"/>
    </xf>
    <xf numFmtId="164" fontId="42" fillId="0" borderId="23" xfId="0" applyFont="1" applyBorder="1" applyAlignment="1">
      <alignment horizontal="center" vertical="center"/>
    </xf>
    <xf numFmtId="164" fontId="42" fillId="0" borderId="0" xfId="0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4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9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7"/>
  <sheetViews>
    <sheetView tabSelected="1" zoomScale="90" zoomScaleNormal="90" workbookViewId="0">
      <pane xSplit="3" ySplit="11" topLeftCell="D27" activePane="bottomRight" state="frozen"/>
      <selection pane="topRight" activeCell="D1" sqref="D1"/>
      <selection pane="bottomLeft" activeCell="A12" sqref="A12"/>
      <selection pane="bottomRight" activeCell="F36" sqref="F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45139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5" t="s">
        <v>2</v>
      </c>
      <c r="B10" s="107" t="s">
        <v>0</v>
      </c>
      <c r="C10" s="107" t="s">
        <v>8</v>
      </c>
      <c r="D10" s="103">
        <v>44409</v>
      </c>
      <c r="E10" s="103">
        <v>44410</v>
      </c>
      <c r="F10" s="103">
        <v>44411</v>
      </c>
      <c r="G10" s="103">
        <v>44412</v>
      </c>
      <c r="H10" s="103">
        <v>44413</v>
      </c>
      <c r="I10" s="103">
        <v>44414</v>
      </c>
      <c r="J10" s="103">
        <v>44415</v>
      </c>
      <c r="K10" s="103">
        <v>44416</v>
      </c>
      <c r="L10" s="103">
        <v>44417</v>
      </c>
      <c r="M10" s="103">
        <v>44418</v>
      </c>
      <c r="N10" s="103">
        <v>44419</v>
      </c>
      <c r="O10" s="103">
        <v>44420</v>
      </c>
      <c r="P10" s="103">
        <v>44421</v>
      </c>
      <c r="Q10" s="103">
        <v>44422</v>
      </c>
      <c r="R10" s="103">
        <v>44423</v>
      </c>
      <c r="S10" s="103">
        <v>44424</v>
      </c>
      <c r="T10" s="103">
        <v>44425</v>
      </c>
      <c r="U10" s="103">
        <v>44426</v>
      </c>
      <c r="V10" s="45">
        <v>44427</v>
      </c>
      <c r="W10" s="45">
        <v>44428</v>
      </c>
      <c r="X10" s="45">
        <v>44429</v>
      </c>
      <c r="Y10" s="45">
        <v>44430</v>
      </c>
      <c r="Z10" s="45">
        <v>44431</v>
      </c>
      <c r="AA10" s="45">
        <v>44432</v>
      </c>
      <c r="AB10" s="45">
        <v>44433</v>
      </c>
      <c r="AC10" s="45">
        <v>44434</v>
      </c>
      <c r="AD10" s="45">
        <v>44435</v>
      </c>
      <c r="AE10" s="45">
        <v>44436</v>
      </c>
      <c r="AF10" s="45">
        <v>44437</v>
      </c>
      <c r="AG10" s="45">
        <v>44438</v>
      </c>
      <c r="AH10" s="97">
        <v>44439</v>
      </c>
    </row>
    <row r="11" spans="1:34" s="1" customFormat="1" x14ac:dyDescent="0.2">
      <c r="A11" s="106"/>
      <c r="B11" s="108"/>
      <c r="C11" s="108"/>
      <c r="D11" s="104" t="s">
        <v>7</v>
      </c>
      <c r="E11" s="104" t="s">
        <v>7</v>
      </c>
      <c r="F11" s="104" t="s">
        <v>7</v>
      </c>
      <c r="G11" s="104" t="s">
        <v>7</v>
      </c>
      <c r="H11" s="104" t="s">
        <v>7</v>
      </c>
      <c r="I11" s="104" t="s">
        <v>7</v>
      </c>
      <c r="J11" s="104" t="s">
        <v>7</v>
      </c>
      <c r="K11" s="104" t="s">
        <v>7</v>
      </c>
      <c r="L11" s="104" t="s">
        <v>7</v>
      </c>
      <c r="M11" s="104" t="s">
        <v>7</v>
      </c>
      <c r="N11" s="104" t="s">
        <v>7</v>
      </c>
      <c r="O11" s="104" t="s">
        <v>7</v>
      </c>
      <c r="P11" s="104" t="s">
        <v>7</v>
      </c>
      <c r="Q11" s="104" t="s">
        <v>7</v>
      </c>
      <c r="R11" s="104" t="s">
        <v>7</v>
      </c>
      <c r="S11" s="104" t="s">
        <v>7</v>
      </c>
      <c r="T11" s="104" t="s">
        <v>7</v>
      </c>
      <c r="U11" s="104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5"/>
      <c r="AG12" s="64"/>
      <c r="AH12" s="65"/>
    </row>
    <row r="13" spans="1:34" s="12" customFormat="1" ht="15.75" x14ac:dyDescent="0.25">
      <c r="A13" s="47" t="s">
        <v>37</v>
      </c>
      <c r="B13" s="32" t="s">
        <v>17</v>
      </c>
      <c r="C13" s="36"/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0</v>
      </c>
      <c r="AC13" s="88">
        <v>0</v>
      </c>
      <c r="AD13" s="88">
        <v>0</v>
      </c>
      <c r="AE13" s="88">
        <v>0</v>
      </c>
      <c r="AF13" s="88">
        <v>0</v>
      </c>
      <c r="AG13" s="88">
        <v>0</v>
      </c>
      <c r="AH13" s="88">
        <v>0</v>
      </c>
    </row>
    <row r="14" spans="1:34" s="12" customFormat="1" ht="15.75" x14ac:dyDescent="0.25">
      <c r="A14" s="47" t="s">
        <v>28</v>
      </c>
      <c r="B14" s="32" t="s">
        <v>25</v>
      </c>
      <c r="C14" s="36"/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0</v>
      </c>
      <c r="AF14" s="88">
        <v>0</v>
      </c>
      <c r="AG14" s="88">
        <v>0</v>
      </c>
      <c r="AH14" s="88">
        <v>0</v>
      </c>
    </row>
    <row r="15" spans="1:34" s="12" customFormat="1" ht="15.75" x14ac:dyDescent="0.25">
      <c r="A15" s="47" t="s">
        <v>29</v>
      </c>
      <c r="B15" s="32" t="s">
        <v>18</v>
      </c>
      <c r="C15" s="36"/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0</v>
      </c>
      <c r="AC15" s="88">
        <v>0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</row>
    <row r="16" spans="1:34" s="12" customFormat="1" ht="15.75" x14ac:dyDescent="0.25">
      <c r="A16" s="47" t="s">
        <v>30</v>
      </c>
      <c r="B16" s="32" t="s">
        <v>19</v>
      </c>
      <c r="C16" s="36"/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8">
        <v>0</v>
      </c>
      <c r="AA16" s="88">
        <v>0</v>
      </c>
      <c r="AB16" s="88">
        <v>0</v>
      </c>
      <c r="AC16" s="88">
        <v>0</v>
      </c>
      <c r="AD16" s="88">
        <v>0</v>
      </c>
      <c r="AE16" s="88">
        <v>0</v>
      </c>
      <c r="AF16" s="88">
        <v>0</v>
      </c>
      <c r="AG16" s="88">
        <v>0</v>
      </c>
      <c r="AH16" s="88">
        <v>0</v>
      </c>
    </row>
    <row r="17" spans="1:38" s="12" customFormat="1" ht="15.75" x14ac:dyDescent="0.25">
      <c r="A17" s="47" t="s">
        <v>31</v>
      </c>
      <c r="B17" s="32" t="s">
        <v>20</v>
      </c>
      <c r="C17" s="36"/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  <c r="Z17" s="88">
        <v>0</v>
      </c>
      <c r="AA17" s="88">
        <v>0</v>
      </c>
      <c r="AB17" s="88">
        <v>0</v>
      </c>
      <c r="AC17" s="88">
        <v>0</v>
      </c>
      <c r="AD17" s="88">
        <v>0</v>
      </c>
      <c r="AE17" s="88">
        <v>0</v>
      </c>
      <c r="AF17" s="88">
        <v>0</v>
      </c>
      <c r="AG17" s="88">
        <v>0</v>
      </c>
      <c r="AH17" s="88">
        <v>0</v>
      </c>
    </row>
    <row r="18" spans="1:38" s="12" customFormat="1" ht="15.75" x14ac:dyDescent="0.25">
      <c r="A18" s="47" t="s">
        <v>32</v>
      </c>
      <c r="B18" s="32" t="s">
        <v>21</v>
      </c>
      <c r="C18" s="36"/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  <c r="AC18" s="88">
        <v>0</v>
      </c>
      <c r="AD18" s="88">
        <v>0</v>
      </c>
      <c r="AE18" s="88">
        <v>0</v>
      </c>
      <c r="AF18" s="88">
        <v>0</v>
      </c>
      <c r="AG18" s="88">
        <v>0</v>
      </c>
      <c r="AH18" s="88">
        <v>0</v>
      </c>
      <c r="AL18" s="72"/>
    </row>
    <row r="19" spans="1:38" s="12" customFormat="1" ht="15.75" x14ac:dyDescent="0.25">
      <c r="A19" s="47" t="s">
        <v>33</v>
      </c>
      <c r="B19" s="32" t="s">
        <v>22</v>
      </c>
      <c r="C19" s="36"/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Z19" s="88">
        <v>0</v>
      </c>
      <c r="AA19" s="88">
        <v>0</v>
      </c>
      <c r="AB19" s="88">
        <v>0</v>
      </c>
      <c r="AC19" s="88">
        <v>0</v>
      </c>
      <c r="AD19" s="88">
        <v>0</v>
      </c>
      <c r="AE19" s="88">
        <v>0.24692129629629631</v>
      </c>
      <c r="AF19" s="88">
        <v>0</v>
      </c>
      <c r="AG19" s="88">
        <v>0</v>
      </c>
      <c r="AH19" s="88">
        <v>0</v>
      </c>
    </row>
    <row r="20" spans="1:38" s="12" customFormat="1" ht="15.75" x14ac:dyDescent="0.25">
      <c r="A20" s="47" t="s">
        <v>34</v>
      </c>
      <c r="B20" s="32" t="s">
        <v>26</v>
      </c>
      <c r="C20" s="36"/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  <c r="AC20" s="88">
        <v>0</v>
      </c>
      <c r="AD20" s="88">
        <v>0</v>
      </c>
      <c r="AE20" s="88">
        <v>0</v>
      </c>
      <c r="AF20" s="88">
        <v>0</v>
      </c>
      <c r="AG20" s="88">
        <v>0</v>
      </c>
      <c r="AH20" s="88">
        <v>0</v>
      </c>
    </row>
    <row r="21" spans="1:38" s="12" customFormat="1" ht="15.75" x14ac:dyDescent="0.25">
      <c r="A21" s="47" t="s">
        <v>35</v>
      </c>
      <c r="B21" s="32" t="s">
        <v>24</v>
      </c>
      <c r="C21" s="36"/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8">
        <v>0</v>
      </c>
      <c r="AA21" s="88">
        <v>0</v>
      </c>
      <c r="AB21" s="88">
        <v>0</v>
      </c>
      <c r="AC21" s="88">
        <v>0</v>
      </c>
      <c r="AD21" s="88">
        <v>0</v>
      </c>
      <c r="AE21" s="88">
        <v>0</v>
      </c>
      <c r="AF21" s="88">
        <v>0</v>
      </c>
      <c r="AG21" s="88">
        <v>0</v>
      </c>
      <c r="AH21" s="88">
        <v>0</v>
      </c>
    </row>
    <row r="22" spans="1:38" s="12" customFormat="1" ht="15.75" x14ac:dyDescent="0.25">
      <c r="A22" s="47" t="s">
        <v>36</v>
      </c>
      <c r="B22" s="48" t="s">
        <v>23</v>
      </c>
      <c r="C22" s="36"/>
      <c r="D22" s="89">
        <v>0</v>
      </c>
      <c r="E22" s="89">
        <v>0</v>
      </c>
      <c r="F22" s="89">
        <v>0</v>
      </c>
      <c r="G22" s="89">
        <v>0</v>
      </c>
      <c r="H22" s="88">
        <v>0</v>
      </c>
      <c r="I22" s="89">
        <v>0</v>
      </c>
      <c r="J22" s="89">
        <v>0</v>
      </c>
      <c r="K22" s="88">
        <v>0</v>
      </c>
      <c r="L22" s="88">
        <v>0</v>
      </c>
      <c r="M22" s="89">
        <v>0</v>
      </c>
      <c r="N22" s="88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8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8">
        <v>0</v>
      </c>
    </row>
    <row r="23" spans="1:38" s="12" customFormat="1" ht="15.75" x14ac:dyDescent="0.25">
      <c r="A23" s="47" t="s">
        <v>38</v>
      </c>
      <c r="B23" s="48" t="s">
        <v>39</v>
      </c>
      <c r="C23" s="54"/>
      <c r="D23" s="89">
        <v>0</v>
      </c>
      <c r="E23" s="89">
        <v>0</v>
      </c>
      <c r="F23" s="89">
        <v>0</v>
      </c>
      <c r="G23" s="89">
        <v>0</v>
      </c>
      <c r="H23" s="88">
        <v>0</v>
      </c>
      <c r="I23" s="88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8">
        <v>0</v>
      </c>
      <c r="S23" s="88">
        <v>0</v>
      </c>
      <c r="T23" s="89">
        <v>0</v>
      </c>
      <c r="U23" s="89">
        <v>0</v>
      </c>
      <c r="V23" s="89">
        <v>0</v>
      </c>
      <c r="W23" s="89">
        <v>0</v>
      </c>
      <c r="X23" s="88">
        <v>0</v>
      </c>
      <c r="Y23" s="89">
        <v>0</v>
      </c>
      <c r="Z23" s="89">
        <v>0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</v>
      </c>
      <c r="AG23" s="89">
        <v>0</v>
      </c>
      <c r="AH23" s="88">
        <v>0</v>
      </c>
    </row>
    <row r="24" spans="1:38" s="12" customFormat="1" ht="15.75" x14ac:dyDescent="0.25">
      <c r="A24" s="47" t="s">
        <v>41</v>
      </c>
      <c r="B24" s="48" t="s">
        <v>40</v>
      </c>
      <c r="C24" s="49"/>
      <c r="D24" s="89">
        <v>0</v>
      </c>
      <c r="E24" s="89">
        <v>0</v>
      </c>
      <c r="F24" s="89">
        <v>0</v>
      </c>
      <c r="G24" s="89">
        <v>0</v>
      </c>
      <c r="H24" s="89">
        <v>0</v>
      </c>
      <c r="I24" s="89">
        <v>0</v>
      </c>
      <c r="J24" s="89">
        <v>0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0</v>
      </c>
      <c r="Z24" s="89">
        <v>0</v>
      </c>
      <c r="AA24" s="88">
        <v>0</v>
      </c>
      <c r="AB24" s="89">
        <v>0</v>
      </c>
      <c r="AC24" s="89">
        <v>0</v>
      </c>
      <c r="AD24" s="89">
        <v>0</v>
      </c>
      <c r="AE24" s="89">
        <v>0</v>
      </c>
      <c r="AF24" s="89">
        <v>0</v>
      </c>
      <c r="AG24" s="89">
        <v>0</v>
      </c>
      <c r="AH24" s="88">
        <v>0</v>
      </c>
    </row>
    <row r="25" spans="1:38" s="12" customFormat="1" ht="12.75" customHeight="1" x14ac:dyDescent="0.25">
      <c r="A25" s="47" t="s">
        <v>42</v>
      </c>
      <c r="B25" s="56" t="s">
        <v>45</v>
      </c>
      <c r="C25" s="69"/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  <c r="Z25" s="88">
        <v>0</v>
      </c>
      <c r="AA25" s="88">
        <v>0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</v>
      </c>
      <c r="AH25" s="88">
        <v>0</v>
      </c>
    </row>
    <row r="26" spans="1:38" s="12" customFormat="1" ht="16.5" customHeight="1" x14ac:dyDescent="0.2">
      <c r="A26" s="55"/>
      <c r="B26" s="68"/>
      <c r="C26" s="57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66"/>
    </row>
    <row r="27" spans="1:38" s="12" customFormat="1" ht="16.5" customHeight="1" x14ac:dyDescent="0.2">
      <c r="A27" s="101"/>
      <c r="B27" s="111" t="s">
        <v>52</v>
      </c>
      <c r="C27" s="76" t="s">
        <v>53</v>
      </c>
      <c r="D27" s="115" t="s">
        <v>54</v>
      </c>
      <c r="E27" s="115"/>
      <c r="F27" s="115"/>
      <c r="G27" s="115"/>
      <c r="H27" s="115"/>
      <c r="I27" s="115"/>
      <c r="J27" s="115"/>
      <c r="K27" s="115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66"/>
    </row>
    <row r="28" spans="1:38" s="12" customFormat="1" ht="16.5" customHeight="1" x14ac:dyDescent="0.2">
      <c r="A28" s="102"/>
      <c r="B28" s="112"/>
      <c r="C28" s="76"/>
      <c r="D28" s="121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67"/>
    </row>
    <row r="29" spans="1:38" s="12" customFormat="1" ht="16.5" customHeight="1" x14ac:dyDescent="0.2">
      <c r="A29" s="100"/>
      <c r="B29" s="112"/>
      <c r="C29" s="76"/>
      <c r="D29" s="121" t="s">
        <v>55</v>
      </c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66"/>
    </row>
    <row r="30" spans="1:38" s="12" customFormat="1" ht="16.5" customHeight="1" x14ac:dyDescent="0.2">
      <c r="A30" s="100"/>
      <c r="B30" s="112"/>
      <c r="C30" s="76"/>
      <c r="D30" s="121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67"/>
    </row>
    <row r="31" spans="1:38" s="12" customFormat="1" ht="15" customHeight="1" x14ac:dyDescent="0.2">
      <c r="A31" s="100"/>
      <c r="B31" s="112"/>
      <c r="C31" s="76"/>
      <c r="D31" s="121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66"/>
    </row>
    <row r="32" spans="1:38" s="12" customFormat="1" ht="15" customHeight="1" x14ac:dyDescent="0.2">
      <c r="A32" s="91"/>
      <c r="B32" s="112"/>
      <c r="C32" s="87"/>
      <c r="D32" s="114"/>
      <c r="E32" s="114"/>
      <c r="F32" s="114"/>
      <c r="G32" s="114"/>
      <c r="H32" s="114"/>
      <c r="I32" s="114"/>
      <c r="J32" s="114"/>
      <c r="K32" s="114"/>
      <c r="L32" s="114"/>
      <c r="M32" s="82"/>
      <c r="N32" s="82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H32" s="86"/>
    </row>
    <row r="33" spans="1:34" s="12" customFormat="1" ht="15" customHeight="1" x14ac:dyDescent="0.2">
      <c r="A33" s="91"/>
      <c r="B33" s="112"/>
      <c r="C33" s="87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79"/>
      <c r="O33" s="83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66"/>
    </row>
    <row r="34" spans="1:34" s="12" customFormat="1" ht="15" x14ac:dyDescent="0.2">
      <c r="A34" s="92"/>
      <c r="B34" s="113"/>
      <c r="C34" s="87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66"/>
      <c r="AA34" s="84"/>
      <c r="AB34" s="85"/>
      <c r="AC34" s="84"/>
      <c r="AD34" s="84"/>
      <c r="AE34" s="84"/>
      <c r="AF34" s="84"/>
      <c r="AG34" s="84"/>
      <c r="AH34" s="66"/>
    </row>
    <row r="35" spans="1:34" s="12" customFormat="1" ht="15" x14ac:dyDescent="0.2">
      <c r="A35" s="80"/>
      <c r="B35" s="80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15"/>
      <c r="AB35" s="31"/>
    </row>
    <row r="36" spans="1:34" s="12" customFormat="1" ht="15" x14ac:dyDescent="0.2">
      <c r="A36" s="13"/>
      <c r="B36" s="42"/>
      <c r="C36" s="43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15"/>
      <c r="AB36" s="31"/>
    </row>
    <row r="37" spans="1:34" s="12" customFormat="1" x14ac:dyDescent="0.2">
      <c r="A37" s="13"/>
      <c r="D37" s="77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AB37" s="31"/>
    </row>
    <row r="38" spans="1:34" s="12" customFormat="1" x14ac:dyDescent="0.2">
      <c r="A38" s="23" t="s">
        <v>12</v>
      </c>
      <c r="D38" s="14"/>
      <c r="E38" s="15"/>
      <c r="F38" s="15"/>
      <c r="G38" s="15"/>
      <c r="H38" s="15"/>
      <c r="I38" s="15"/>
      <c r="J38" s="15"/>
      <c r="K38" s="58"/>
      <c r="L38" s="58"/>
      <c r="M38" s="15"/>
      <c r="O38" s="15"/>
      <c r="AB38" s="31"/>
    </row>
    <row r="39" spans="1:34" s="12" customFormat="1" x14ac:dyDescent="0.2">
      <c r="A39" s="109" t="s">
        <v>2</v>
      </c>
      <c r="B39" s="109" t="s">
        <v>9</v>
      </c>
      <c r="C39" s="109" t="s">
        <v>1</v>
      </c>
      <c r="D39" s="119" t="s">
        <v>7</v>
      </c>
      <c r="E39" s="120"/>
      <c r="F39" s="15"/>
      <c r="G39" s="15"/>
      <c r="H39" s="15"/>
      <c r="I39" s="15"/>
      <c r="J39" s="15"/>
      <c r="K39" s="59"/>
      <c r="L39" s="59"/>
      <c r="M39" s="15"/>
      <c r="O39" s="15"/>
      <c r="T39" s="12" t="s">
        <v>50</v>
      </c>
      <c r="AB39" s="31"/>
    </row>
    <row r="40" spans="1:34" s="12" customFormat="1" x14ac:dyDescent="0.2">
      <c r="A40" s="110"/>
      <c r="B40" s="110"/>
      <c r="C40" s="110"/>
      <c r="D40" s="27" t="s">
        <v>10</v>
      </c>
      <c r="E40" s="22" t="s">
        <v>11</v>
      </c>
      <c r="F40" s="15"/>
      <c r="G40" s="15"/>
      <c r="H40" s="15"/>
      <c r="I40" s="15"/>
      <c r="J40" s="15"/>
      <c r="K40" s="15"/>
      <c r="L40" s="15"/>
      <c r="M40" s="15"/>
      <c r="O40" s="15"/>
      <c r="AB40" s="31"/>
    </row>
    <row r="41" spans="1:34" s="12" customFormat="1" ht="15.75" x14ac:dyDescent="0.25">
      <c r="A41" s="40" t="s">
        <v>37</v>
      </c>
      <c r="B41" s="32" t="s">
        <v>47</v>
      </c>
      <c r="C41" s="37">
        <f t="shared" ref="C41:C49" si="0">1-(((D41*3600)+(LEFT(E41,2)*60)+RIGHT(E41,2))/((60*60*24)*$C$8))</f>
        <v>1</v>
      </c>
      <c r="D41" s="20" t="str">
        <f t="shared" ref="D41:D53" si="1">TEXT(SUM(D13:AH13),"[h]")</f>
        <v>0</v>
      </c>
      <c r="E41" s="20" t="str">
        <f t="shared" ref="E41:E53" si="2">TEXT(SUM(D13:AH13),"mm ss")</f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34" s="12" customFormat="1" ht="15.75" x14ac:dyDescent="0.25">
      <c r="A42" s="40" t="s">
        <v>28</v>
      </c>
      <c r="B42" s="32" t="s">
        <v>25</v>
      </c>
      <c r="C42" s="37">
        <f t="shared" si="0"/>
        <v>1</v>
      </c>
      <c r="D42" s="20" t="str">
        <f t="shared" si="1"/>
        <v>0</v>
      </c>
      <c r="E42" s="20" t="str">
        <f t="shared" si="2"/>
        <v>00 00</v>
      </c>
      <c r="F42" s="116"/>
      <c r="G42" s="117"/>
      <c r="H42" s="117"/>
      <c r="I42" s="117"/>
      <c r="J42" s="117"/>
      <c r="K42" s="117"/>
      <c r="L42" s="117"/>
      <c r="M42" s="117"/>
      <c r="N42" s="117"/>
      <c r="O42" s="15"/>
    </row>
    <row r="43" spans="1:34" s="12" customFormat="1" ht="15.75" x14ac:dyDescent="0.25">
      <c r="A43" s="40" t="s">
        <v>29</v>
      </c>
      <c r="B43" s="51" t="s">
        <v>18</v>
      </c>
      <c r="C43" s="37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70"/>
      <c r="I43" s="15"/>
      <c r="J43" s="15"/>
      <c r="K43" s="15"/>
      <c r="L43" s="15"/>
      <c r="M43" s="15"/>
      <c r="O43" s="15"/>
    </row>
    <row r="44" spans="1:34" s="16" customFormat="1" ht="15.75" x14ac:dyDescent="0.25">
      <c r="A44" s="40" t="s">
        <v>30</v>
      </c>
      <c r="B44" s="32" t="s">
        <v>19</v>
      </c>
      <c r="C44" s="37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15"/>
      <c r="L44" s="15"/>
      <c r="M44" s="15"/>
      <c r="N44" s="12"/>
      <c r="O44" s="1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spans="1:34" ht="15.75" x14ac:dyDescent="0.25">
      <c r="A45" s="40" t="s">
        <v>31</v>
      </c>
      <c r="B45" s="32" t="s">
        <v>20</v>
      </c>
      <c r="C45" s="37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N45" s="12"/>
      <c r="O45" s="15"/>
      <c r="P45" s="12"/>
      <c r="Q45" s="12"/>
      <c r="R45" s="12"/>
      <c r="S45" s="12" t="s">
        <v>51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spans="1:34" ht="15.75" x14ac:dyDescent="0.25">
      <c r="A46" s="40" t="s">
        <v>32</v>
      </c>
      <c r="B46" s="32" t="s">
        <v>21</v>
      </c>
      <c r="C46" s="37">
        <f t="shared" si="0"/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71"/>
      <c r="K46" s="15"/>
      <c r="L46" s="15"/>
      <c r="M46" s="15"/>
      <c r="N46" s="12"/>
      <c r="O46" s="1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spans="1:34" ht="15.75" x14ac:dyDescent="0.25">
      <c r="A47" s="40" t="s">
        <v>33</v>
      </c>
      <c r="B47" s="32" t="s">
        <v>27</v>
      </c>
      <c r="C47" s="37">
        <f t="shared" si="0"/>
        <v>0.99203479689366791</v>
      </c>
      <c r="D47" s="20" t="str">
        <f t="shared" si="1"/>
        <v>5</v>
      </c>
      <c r="E47" s="20" t="str">
        <f t="shared" si="2"/>
        <v>55 34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spans="1:34" ht="15.75" x14ac:dyDescent="0.25">
      <c r="A48" s="40" t="s">
        <v>34</v>
      </c>
      <c r="B48" s="32" t="s">
        <v>26</v>
      </c>
      <c r="C48" s="37">
        <f t="shared" si="0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15"/>
      <c r="M48" s="15"/>
      <c r="N48" s="15"/>
      <c r="O48" s="61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spans="1:34" ht="15.75" x14ac:dyDescent="0.25">
      <c r="A49" s="40" t="s">
        <v>35</v>
      </c>
      <c r="B49" s="32" t="s">
        <v>24</v>
      </c>
      <c r="C49" s="37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61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spans="1:34" ht="15.75" x14ac:dyDescent="0.25">
      <c r="A50" s="40" t="s">
        <v>36</v>
      </c>
      <c r="B50" s="32" t="s">
        <v>23</v>
      </c>
      <c r="C50" s="33">
        <f>1-(((D50*3600)+(LEFT(E50,2)*60)+RIGHT(E50,2))/((60*60*24)*$C$8))</f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61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ht="15.75" x14ac:dyDescent="0.25">
      <c r="A51" s="40" t="s">
        <v>38</v>
      </c>
      <c r="B51" s="32" t="s">
        <v>43</v>
      </c>
      <c r="C51" s="33">
        <f t="shared" ref="C51:C53" si="3">1-(((D51*3600)+(LEFT(E51,2)*60)+RIGHT(E51,2))/((60*60*24)*$C$8))</f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61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ht="15.75" x14ac:dyDescent="0.25">
      <c r="A52" s="40" t="s">
        <v>41</v>
      </c>
      <c r="B52" s="32" t="s">
        <v>44</v>
      </c>
      <c r="C52" s="33">
        <f t="shared" si="3"/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62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6"/>
      <c r="AH52" s="16"/>
    </row>
    <row r="53" spans="1:34" ht="15.75" x14ac:dyDescent="0.25">
      <c r="A53" s="60" t="s">
        <v>42</v>
      </c>
      <c r="B53" s="32" t="s">
        <v>46</v>
      </c>
      <c r="C53" s="33">
        <f t="shared" si="3"/>
        <v>1</v>
      </c>
      <c r="D53" s="20" t="str">
        <f t="shared" si="1"/>
        <v>0</v>
      </c>
      <c r="E53" s="20" t="str">
        <f t="shared" si="2"/>
        <v>00 00</v>
      </c>
      <c r="F53" s="15"/>
      <c r="G53" s="21"/>
      <c r="H53" s="15"/>
      <c r="I53" s="15"/>
      <c r="J53" s="15"/>
      <c r="K53" s="15"/>
      <c r="L53" s="61"/>
      <c r="M53" s="61"/>
      <c r="N53" s="61"/>
      <c r="O53" s="63"/>
    </row>
    <row r="54" spans="1:34" ht="15.75" x14ac:dyDescent="0.25">
      <c r="A54" s="50"/>
      <c r="B54" s="51"/>
      <c r="C54" s="52"/>
      <c r="D54" s="53"/>
      <c r="E54" s="53"/>
      <c r="F54" s="15"/>
      <c r="G54" s="21"/>
      <c r="H54" s="15"/>
      <c r="I54" s="15"/>
      <c r="J54" s="15"/>
      <c r="K54" s="15"/>
      <c r="L54" s="61"/>
      <c r="M54" s="61"/>
      <c r="N54" s="61"/>
      <c r="O54" s="63"/>
    </row>
    <row r="55" spans="1:34" x14ac:dyDescent="0.2">
      <c r="A55" s="13"/>
      <c r="B55" s="12"/>
      <c r="C55" s="26"/>
      <c r="D55" s="25"/>
      <c r="E55" s="15"/>
      <c r="F55" s="15"/>
      <c r="G55" s="15"/>
      <c r="H55" s="15"/>
      <c r="I55" s="15"/>
      <c r="J55" s="15"/>
      <c r="K55" s="15"/>
      <c r="L55" s="61"/>
      <c r="M55" s="61"/>
      <c r="N55" s="61"/>
      <c r="O55" s="63"/>
    </row>
    <row r="56" spans="1:34" x14ac:dyDescent="0.2">
      <c r="A56" s="13"/>
      <c r="B56" s="12"/>
      <c r="C56" s="12"/>
      <c r="D56" s="14"/>
      <c r="E56" s="15"/>
      <c r="F56" s="15"/>
      <c r="G56" s="15"/>
      <c r="H56" s="15"/>
      <c r="I56" s="15"/>
      <c r="J56" s="15"/>
      <c r="K56" s="15"/>
      <c r="L56" s="61"/>
      <c r="M56" s="61"/>
      <c r="N56" s="61"/>
      <c r="O56" s="63"/>
    </row>
    <row r="57" spans="1:34" x14ac:dyDescent="0.2">
      <c r="A57" s="14"/>
      <c r="B57" s="24" t="s">
        <v>13</v>
      </c>
      <c r="C57" s="19"/>
      <c r="D57" s="18"/>
      <c r="E57" s="18"/>
      <c r="F57" s="18"/>
      <c r="G57" s="18"/>
      <c r="H57" s="18"/>
      <c r="I57" s="18"/>
      <c r="J57" s="18"/>
      <c r="K57" s="18"/>
      <c r="L57" s="62"/>
      <c r="M57" s="62"/>
      <c r="N57" s="62"/>
      <c r="O57" s="63"/>
    </row>
    <row r="58" spans="1:34" x14ac:dyDescent="0.2">
      <c r="A58"/>
      <c r="B58" s="12" t="s">
        <v>16</v>
      </c>
      <c r="C58" s="27">
        <f>(SUM(C41:C53))/(100%*13)</f>
        <v>0.99938729206874366</v>
      </c>
      <c r="G58" s="38"/>
      <c r="L58" s="63"/>
      <c r="M58" s="63"/>
      <c r="N58" s="63"/>
      <c r="O58" s="63"/>
    </row>
    <row r="59" spans="1:34" x14ac:dyDescent="0.2">
      <c r="C59" s="73"/>
      <c r="L59" s="63"/>
      <c r="M59" s="63"/>
      <c r="N59" s="63"/>
    </row>
    <row r="60" spans="1:34" x14ac:dyDescent="0.2">
      <c r="A60" s="93"/>
      <c r="B60" s="94"/>
      <c r="C60" s="95"/>
      <c r="L60" s="63"/>
      <c r="M60" s="63"/>
      <c r="N60" s="63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4" x14ac:dyDescent="0.2">
      <c r="A61" s="93"/>
      <c r="B61" s="96"/>
      <c r="C61" s="95"/>
      <c r="L61" s="63"/>
      <c r="M61" s="63"/>
      <c r="N61" s="63"/>
    </row>
    <row r="62" spans="1:34" x14ac:dyDescent="0.2">
      <c r="A62" s="93"/>
      <c r="B62" s="94"/>
      <c r="C62" s="95"/>
      <c r="L62" s="63"/>
      <c r="M62" s="63"/>
      <c r="N62" s="63"/>
    </row>
    <row r="63" spans="1:34" x14ac:dyDescent="0.2">
      <c r="A63" s="93"/>
      <c r="B63" s="94"/>
      <c r="C63" s="95"/>
      <c r="L63" s="63"/>
      <c r="M63" s="63"/>
      <c r="N63" s="63"/>
    </row>
    <row r="64" spans="1:34" x14ac:dyDescent="0.2">
      <c r="B64" s="90"/>
      <c r="C64" s="73"/>
      <c r="D64" s="75"/>
      <c r="E64" s="74" t="s">
        <v>49</v>
      </c>
    </row>
    <row r="65" spans="1:32" x14ac:dyDescent="0.2">
      <c r="A65"/>
      <c r="B65" s="90"/>
      <c r="C65" s="73"/>
      <c r="D65" s="75"/>
    </row>
    <row r="66" spans="1:32" x14ac:dyDescent="0.2">
      <c r="B66" s="90"/>
      <c r="C66" s="73"/>
      <c r="D66" s="75"/>
    </row>
    <row r="67" spans="1:32" x14ac:dyDescent="0.2">
      <c r="B67" s="90"/>
      <c r="C67" s="73"/>
      <c r="D67" s="75"/>
    </row>
    <row r="68" spans="1:32" x14ac:dyDescent="0.2">
      <c r="B68" s="90"/>
      <c r="C68" s="73"/>
      <c r="D68" s="75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B69" s="73"/>
      <c r="C69" s="73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x14ac:dyDescent="0.2">
      <c r="B70" s="90"/>
      <c r="C70" s="73"/>
      <c r="O70" s="29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x14ac:dyDescent="0.2">
      <c r="B71" s="90"/>
      <c r="C71" s="73"/>
      <c r="O71" s="29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B72" s="90"/>
      <c r="C72" s="73"/>
    </row>
    <row r="73" spans="1:32" x14ac:dyDescent="0.2">
      <c r="A73"/>
      <c r="B73" s="90"/>
      <c r="C73" s="73"/>
      <c r="E73" s="28"/>
      <c r="F73" s="29"/>
      <c r="G73" s="29"/>
      <c r="H73" s="29"/>
      <c r="I73" s="29"/>
      <c r="J73" s="29"/>
      <c r="K73" s="29"/>
      <c r="L73" s="29"/>
      <c r="M73" s="29"/>
      <c r="N73" s="29"/>
    </row>
    <row r="74" spans="1:32" x14ac:dyDescent="0.2">
      <c r="A74"/>
      <c r="B74" s="90"/>
      <c r="C74" s="73"/>
      <c r="E74" s="28"/>
      <c r="F74" s="29"/>
      <c r="G74" s="29"/>
      <c r="H74" s="29"/>
      <c r="I74" s="29"/>
      <c r="J74" s="29"/>
      <c r="K74" s="29"/>
      <c r="L74" s="29"/>
      <c r="M74" s="29"/>
      <c r="N74" s="29"/>
    </row>
    <row r="75" spans="1:32" x14ac:dyDescent="0.2">
      <c r="A75"/>
      <c r="B75" s="90"/>
      <c r="C75" s="73"/>
      <c r="E75" s="28"/>
      <c r="F75" s="29"/>
      <c r="G75" s="29"/>
      <c r="H75" s="29"/>
      <c r="I75" s="29"/>
      <c r="J75" s="29"/>
      <c r="K75" s="29"/>
      <c r="L75" s="29"/>
      <c r="M75" s="29"/>
      <c r="N75" s="29"/>
    </row>
    <row r="76" spans="1:32" x14ac:dyDescent="0.2">
      <c r="A76"/>
      <c r="B76" s="90"/>
      <c r="C76" s="73"/>
      <c r="D76"/>
      <c r="E76" s="28"/>
      <c r="F76" s="29"/>
      <c r="G76" s="29"/>
      <c r="H76" s="29"/>
      <c r="I76" s="29"/>
      <c r="J76" s="29"/>
      <c r="K76" s="29"/>
      <c r="L76" s="29"/>
      <c r="M76" s="29"/>
      <c r="N76" s="29"/>
    </row>
    <row r="77" spans="1:32" x14ac:dyDescent="0.2">
      <c r="B77" s="78"/>
    </row>
  </sheetData>
  <mergeCells count="17">
    <mergeCell ref="D32:L32"/>
    <mergeCell ref="D33:M33"/>
    <mergeCell ref="F42:N42"/>
    <mergeCell ref="D26:AG26"/>
    <mergeCell ref="D39:E39"/>
    <mergeCell ref="D28:AG28"/>
    <mergeCell ref="D29:AG29"/>
    <mergeCell ref="D30:AG30"/>
    <mergeCell ref="D31:AG31"/>
    <mergeCell ref="D27:K27"/>
    <mergeCell ref="A10:A11"/>
    <mergeCell ref="B10:B11"/>
    <mergeCell ref="C10:C11"/>
    <mergeCell ref="A39:A40"/>
    <mergeCell ref="B39:B40"/>
    <mergeCell ref="C39:C40"/>
    <mergeCell ref="B27:B34"/>
  </mergeCells>
  <phoneticPr fontId="9" type="noConversion"/>
  <conditionalFormatting sqref="D15:F15 G21 AE21:AF21 P21:Z21 AB21:AC21 D13:D21 R17:T17 D18:K18 I21:M21 D17:F17 H17:K17 M17:M18">
    <cfRule type="cellIs" dxfId="97" priority="286" stopIfTrue="1" operator="greaterThan">
      <formula>0</formula>
    </cfRule>
  </conditionalFormatting>
  <conditionalFormatting sqref="I15:M15">
    <cfRule type="cellIs" dxfId="96" priority="285" stopIfTrue="1" operator="greaterThan">
      <formula>0</formula>
    </cfRule>
  </conditionalFormatting>
  <conditionalFormatting sqref="O15:Z15 R18:T18 AB15:AD15">
    <cfRule type="cellIs" dxfId="95" priority="284" stopIfTrue="1" operator="greaterThan">
      <formula>0</formula>
    </cfRule>
  </conditionalFormatting>
  <conditionalFormatting sqref="G15">
    <cfRule type="cellIs" dxfId="94" priority="278" stopIfTrue="1" operator="greaterThan">
      <formula>0</formula>
    </cfRule>
  </conditionalFormatting>
  <conditionalFormatting sqref="H15">
    <cfRule type="cellIs" dxfId="93" priority="271" stopIfTrue="1" operator="greaterThan">
      <formula>0</formula>
    </cfRule>
  </conditionalFormatting>
  <conditionalFormatting sqref="AE15:AF15">
    <cfRule type="cellIs" dxfId="92" priority="262" stopIfTrue="1" operator="greaterThan">
      <formula>0</formula>
    </cfRule>
  </conditionalFormatting>
  <conditionalFormatting sqref="D14:F14">
    <cfRule type="cellIs" dxfId="91" priority="256" stopIfTrue="1" operator="greaterThan">
      <formula>0</formula>
    </cfRule>
  </conditionalFormatting>
  <conditionalFormatting sqref="I14:M14">
    <cfRule type="cellIs" dxfId="90" priority="255" stopIfTrue="1" operator="greaterThan">
      <formula>0</formula>
    </cfRule>
  </conditionalFormatting>
  <conditionalFormatting sqref="O14:Z14 AB14:AD14">
    <cfRule type="cellIs" dxfId="89" priority="254" stopIfTrue="1" operator="greaterThan">
      <formula>0</formula>
    </cfRule>
  </conditionalFormatting>
  <conditionalFormatting sqref="G14">
    <cfRule type="cellIs" dxfId="88" priority="253" stopIfTrue="1" operator="greaterThan">
      <formula>0</formula>
    </cfRule>
  </conditionalFormatting>
  <conditionalFormatting sqref="H14">
    <cfRule type="cellIs" dxfId="87" priority="251" stopIfTrue="1" operator="greaterThan">
      <formula>0</formula>
    </cfRule>
  </conditionalFormatting>
  <conditionalFormatting sqref="AE14:AF14">
    <cfRule type="cellIs" dxfId="86" priority="250" stopIfTrue="1" operator="greaterThan">
      <formula>0</formula>
    </cfRule>
  </conditionalFormatting>
  <conditionalFormatting sqref="D13:F13">
    <cfRule type="cellIs" dxfId="85" priority="240" stopIfTrue="1" operator="greaterThan">
      <formula>0</formula>
    </cfRule>
  </conditionalFormatting>
  <conditionalFormatting sqref="D16:F16">
    <cfRule type="cellIs" dxfId="84" priority="232" stopIfTrue="1" operator="greaterThan">
      <formula>0</formula>
    </cfRule>
  </conditionalFormatting>
  <conditionalFormatting sqref="I13:M13">
    <cfRule type="cellIs" dxfId="83" priority="239" stopIfTrue="1" operator="greaterThan">
      <formula>0</formula>
    </cfRule>
  </conditionalFormatting>
  <conditionalFormatting sqref="O13:Z13 AB13:AD13">
    <cfRule type="cellIs" dxfId="82" priority="238" stopIfTrue="1" operator="greaterThan">
      <formula>0</formula>
    </cfRule>
  </conditionalFormatting>
  <conditionalFormatting sqref="G13">
    <cfRule type="cellIs" dxfId="81" priority="237" stopIfTrue="1" operator="greaterThan">
      <formula>0</formula>
    </cfRule>
  </conditionalFormatting>
  <conditionalFormatting sqref="H13">
    <cfRule type="cellIs" dxfId="80" priority="235" stopIfTrue="1" operator="greaterThan">
      <formula>0</formula>
    </cfRule>
  </conditionalFormatting>
  <conditionalFormatting sqref="AE13:AF13">
    <cfRule type="cellIs" dxfId="79" priority="234" stopIfTrue="1" operator="greaterThan">
      <formula>0</formula>
    </cfRule>
  </conditionalFormatting>
  <conditionalFormatting sqref="I16:K16 M16">
    <cfRule type="cellIs" dxfId="78" priority="231" stopIfTrue="1" operator="greaterThan">
      <formula>0</formula>
    </cfRule>
  </conditionalFormatting>
  <conditionalFormatting sqref="G16">
    <cfRule type="cellIs" dxfId="77" priority="229" stopIfTrue="1" operator="greaterThan">
      <formula>0</formula>
    </cfRule>
  </conditionalFormatting>
  <conditionalFormatting sqref="H16">
    <cfRule type="cellIs" dxfId="76" priority="227" stopIfTrue="1" operator="greaterThan">
      <formula>0</formula>
    </cfRule>
  </conditionalFormatting>
  <conditionalFormatting sqref="D19:F19">
    <cfRule type="cellIs" dxfId="75" priority="212" stopIfTrue="1" operator="greaterThan">
      <formula>0</formula>
    </cfRule>
  </conditionalFormatting>
  <conditionalFormatting sqref="I19:K19 M19">
    <cfRule type="cellIs" dxfId="74" priority="211" stopIfTrue="1" operator="greaterThan">
      <formula>0</formula>
    </cfRule>
  </conditionalFormatting>
  <conditionalFormatting sqref="R19:T19 AB19">
    <cfRule type="cellIs" dxfId="73" priority="210" stopIfTrue="1" operator="greaterThan">
      <formula>0</formula>
    </cfRule>
  </conditionalFormatting>
  <conditionalFormatting sqref="G19">
    <cfRule type="cellIs" dxfId="72" priority="209" stopIfTrue="1" operator="greaterThan">
      <formula>0</formula>
    </cfRule>
  </conditionalFormatting>
  <conditionalFormatting sqref="H19">
    <cfRule type="cellIs" dxfId="71" priority="207" stopIfTrue="1" operator="greaterThan">
      <formula>0</formula>
    </cfRule>
  </conditionalFormatting>
  <conditionalFormatting sqref="D20">
    <cfRule type="cellIs" dxfId="70" priority="198" stopIfTrue="1" operator="greaterThan">
      <formula>0</formula>
    </cfRule>
  </conditionalFormatting>
  <conditionalFormatting sqref="K20 M20 R20:S20">
    <cfRule type="cellIs" dxfId="69" priority="201" stopIfTrue="1" operator="greaterThan">
      <formula>0</formula>
    </cfRule>
  </conditionalFormatting>
  <conditionalFormatting sqref="AD21">
    <cfRule type="cellIs" dxfId="68" priority="196" stopIfTrue="1" operator="greaterThan">
      <formula>0</formula>
    </cfRule>
  </conditionalFormatting>
  <conditionalFormatting sqref="R16">
    <cfRule type="cellIs" dxfId="67" priority="190" stopIfTrue="1" operator="greaterThan">
      <formula>0</formula>
    </cfRule>
  </conditionalFormatting>
  <conditionalFormatting sqref="S16">
    <cfRule type="cellIs" dxfId="66" priority="189" stopIfTrue="1" operator="greaterThan">
      <formula>0</formula>
    </cfRule>
  </conditionalFormatting>
  <conditionalFormatting sqref="T16">
    <cfRule type="cellIs" dxfId="65" priority="188" stopIfTrue="1" operator="greaterThan">
      <formula>0</formula>
    </cfRule>
  </conditionalFormatting>
  <conditionalFormatting sqref="AB16">
    <cfRule type="cellIs" dxfId="64" priority="180" stopIfTrue="1" operator="greaterThan">
      <formula>0</formula>
    </cfRule>
  </conditionalFormatting>
  <conditionalFormatting sqref="M22 AB22:AF24 O22:Z22 D24:Z24 D22:G23 I22:J22 T23:W23 J23:Q23 Y23:Z23">
    <cfRule type="cellIs" dxfId="63" priority="135" stopIfTrue="1" operator="greaterThan">
      <formula>0</formula>
    </cfRule>
  </conditionalFormatting>
  <conditionalFormatting sqref="AG13">
    <cfRule type="cellIs" dxfId="62" priority="125" stopIfTrue="1" operator="greaterThan">
      <formula>0</formula>
    </cfRule>
  </conditionalFormatting>
  <conditionalFormatting sqref="AG13">
    <cfRule type="cellIs" dxfId="61" priority="116" stopIfTrue="1" operator="greaterThan">
      <formula>0</formula>
    </cfRule>
  </conditionalFormatting>
  <conditionalFormatting sqref="AG21">
    <cfRule type="cellIs" dxfId="60" priority="129" stopIfTrue="1" operator="greaterThan">
      <formula>0</formula>
    </cfRule>
  </conditionalFormatting>
  <conditionalFormatting sqref="AG15">
    <cfRule type="cellIs" dxfId="59" priority="128" stopIfTrue="1" operator="greaterThan">
      <formula>0</formula>
    </cfRule>
  </conditionalFormatting>
  <conditionalFormatting sqref="AG14">
    <cfRule type="cellIs" dxfId="58" priority="127" stopIfTrue="1" operator="greaterThan">
      <formula>0</formula>
    </cfRule>
  </conditionalFormatting>
  <conditionalFormatting sqref="AG21">
    <cfRule type="cellIs" dxfId="57" priority="120" stopIfTrue="1" operator="greaterThan">
      <formula>0</formula>
    </cfRule>
  </conditionalFormatting>
  <conditionalFormatting sqref="AG15">
    <cfRule type="cellIs" dxfId="56" priority="119" stopIfTrue="1" operator="greaterThan">
      <formula>0</formula>
    </cfRule>
  </conditionalFormatting>
  <conditionalFormatting sqref="AG14">
    <cfRule type="cellIs" dxfId="55" priority="118" stopIfTrue="1" operator="greaterThan">
      <formula>0</formula>
    </cfRule>
  </conditionalFormatting>
  <conditionalFormatting sqref="AF13">
    <cfRule type="cellIs" dxfId="54" priority="107" stopIfTrue="1" operator="greaterThan">
      <formula>0</formula>
    </cfRule>
  </conditionalFormatting>
  <conditionalFormatting sqref="AF23:AF24">
    <cfRule type="cellIs" dxfId="53" priority="103" stopIfTrue="1" operator="greaterThan">
      <formula>0</formula>
    </cfRule>
  </conditionalFormatting>
  <conditionalFormatting sqref="AF21">
    <cfRule type="cellIs" dxfId="52" priority="111" stopIfTrue="1" operator="greaterThan">
      <formula>0</formula>
    </cfRule>
  </conditionalFormatting>
  <conditionalFormatting sqref="AF15">
    <cfRule type="cellIs" dxfId="51" priority="110" stopIfTrue="1" operator="greaterThan">
      <formula>0</formula>
    </cfRule>
  </conditionalFormatting>
  <conditionalFormatting sqref="AF14">
    <cfRule type="cellIs" dxfId="50" priority="109" stopIfTrue="1" operator="greaterThan">
      <formula>0</formula>
    </cfRule>
  </conditionalFormatting>
  <conditionalFormatting sqref="D25 M25:U25 AB25:AF25 W25:Z25 F25:I25">
    <cfRule type="cellIs" dxfId="49" priority="102" stopIfTrue="1" operator="greaterThan">
      <formula>0</formula>
    </cfRule>
  </conditionalFormatting>
  <conditionalFormatting sqref="AG25">
    <cfRule type="cellIs" dxfId="48" priority="100" stopIfTrue="1" operator="greaterThan">
      <formula>0</formula>
    </cfRule>
  </conditionalFormatting>
  <conditionalFormatting sqref="AG25">
    <cfRule type="cellIs" dxfId="47" priority="99" stopIfTrue="1" operator="greaterThan">
      <formula>0</formula>
    </cfRule>
  </conditionalFormatting>
  <conditionalFormatting sqref="AF25">
    <cfRule type="cellIs" dxfId="46" priority="98" stopIfTrue="1" operator="greaterThan">
      <formula>0</formula>
    </cfRule>
  </conditionalFormatting>
  <conditionalFormatting sqref="O21">
    <cfRule type="cellIs" dxfId="45" priority="95" stopIfTrue="1" operator="greaterThan">
      <formula>0</formula>
    </cfRule>
  </conditionalFormatting>
  <conditionalFormatting sqref="AG22:AG24">
    <cfRule type="cellIs" dxfId="44" priority="94" stopIfTrue="1" operator="greaterThan">
      <formula>0</formula>
    </cfRule>
  </conditionalFormatting>
  <conditionalFormatting sqref="E21:F21">
    <cfRule type="cellIs" dxfId="43" priority="93" stopIfTrue="1" operator="greaterThan">
      <formula>0</formula>
    </cfRule>
  </conditionalFormatting>
  <conditionalFormatting sqref="F20">
    <cfRule type="cellIs" dxfId="42" priority="92" stopIfTrue="1" operator="greaterThan">
      <formula>0</formula>
    </cfRule>
  </conditionalFormatting>
  <conditionalFormatting sqref="I20">
    <cfRule type="cellIs" dxfId="41" priority="91" stopIfTrue="1" operator="greaterThan">
      <formula>0</formula>
    </cfRule>
  </conditionalFormatting>
  <conditionalFormatting sqref="K38">
    <cfRule type="cellIs" dxfId="40" priority="88" stopIfTrue="1" operator="greaterThan">
      <formula>0</formula>
    </cfRule>
  </conditionalFormatting>
  <conditionalFormatting sqref="L38">
    <cfRule type="cellIs" dxfId="39" priority="87" stopIfTrue="1" operator="greaterThan">
      <formula>0</formula>
    </cfRule>
  </conditionalFormatting>
  <conditionalFormatting sqref="K22">
    <cfRule type="cellIs" dxfId="38" priority="80" stopIfTrue="1" operator="greaterThan">
      <formula>0</formula>
    </cfRule>
  </conditionalFormatting>
  <conditionalFormatting sqref="K25">
    <cfRule type="cellIs" dxfId="37" priority="79" stopIfTrue="1" operator="greaterThan">
      <formula>0</formula>
    </cfRule>
  </conditionalFormatting>
  <conditionalFormatting sqref="L22">
    <cfRule type="cellIs" dxfId="36" priority="78" stopIfTrue="1" operator="greaterThan">
      <formula>0</formula>
    </cfRule>
  </conditionalFormatting>
  <conditionalFormatting sqref="AH13:AH15 AH21:AH25">
    <cfRule type="cellIs" dxfId="35" priority="76" stopIfTrue="1" operator="greaterThan">
      <formula>0</formula>
    </cfRule>
  </conditionalFormatting>
  <conditionalFormatting sqref="AH13:AH15 AH21:AH25">
    <cfRule type="cellIs" dxfId="34" priority="75" stopIfTrue="1" operator="greaterThan">
      <formula>0</formula>
    </cfRule>
  </conditionalFormatting>
  <conditionalFormatting sqref="AL18">
    <cfRule type="cellIs" dxfId="33" priority="74" stopIfTrue="1" operator="greaterThan">
      <formula>0</formula>
    </cfRule>
  </conditionalFormatting>
  <conditionalFormatting sqref="AL18">
    <cfRule type="cellIs" dxfId="32" priority="73" stopIfTrue="1" operator="greaterThan">
      <formula>0</formula>
    </cfRule>
  </conditionalFormatting>
  <conditionalFormatting sqref="AA24:AA25 AA13:AA19 AA21:AA22">
    <cfRule type="cellIs" dxfId="31" priority="72" stopIfTrue="1" operator="greaterThan">
      <formula>0</formula>
    </cfRule>
  </conditionalFormatting>
  <conditionalFormatting sqref="AA23">
    <cfRule type="cellIs" dxfId="30" priority="70" stopIfTrue="1" operator="greaterThan">
      <formula>0</formula>
    </cfRule>
  </conditionalFormatting>
  <conditionalFormatting sqref="N13:N19 N21:N22">
    <cfRule type="cellIs" dxfId="29" priority="54" stopIfTrue="1" operator="greaterThan">
      <formula>0</formula>
    </cfRule>
  </conditionalFormatting>
  <conditionalFormatting sqref="D17">
    <cfRule type="cellIs" dxfId="28" priority="53" stopIfTrue="1" operator="greaterThan">
      <formula>0</formula>
    </cfRule>
  </conditionalFormatting>
  <conditionalFormatting sqref="G17">
    <cfRule type="cellIs" dxfId="27" priority="45" stopIfTrue="1" operator="greaterThan">
      <formula>0</formula>
    </cfRule>
  </conditionalFormatting>
  <conditionalFormatting sqref="H20:H23">
    <cfRule type="cellIs" dxfId="26" priority="44" stopIfTrue="1" operator="greaterThan">
      <formula>0</formula>
    </cfRule>
  </conditionalFormatting>
  <conditionalFormatting sqref="J20">
    <cfRule type="cellIs" dxfId="25" priority="43" stopIfTrue="1" operator="greaterThan">
      <formula>0</formula>
    </cfRule>
  </conditionalFormatting>
  <conditionalFormatting sqref="J25">
    <cfRule type="cellIs" dxfId="24" priority="42" stopIfTrue="1" operator="greaterThan">
      <formula>0</formula>
    </cfRule>
  </conditionalFormatting>
  <conditionalFormatting sqref="L25">
    <cfRule type="cellIs" dxfId="23" priority="41" stopIfTrue="1" operator="greaterThan">
      <formula>0</formula>
    </cfRule>
  </conditionalFormatting>
  <conditionalFormatting sqref="L16:L20">
    <cfRule type="cellIs" dxfId="22" priority="39" stopIfTrue="1" operator="greaterThan">
      <formula>0</formula>
    </cfRule>
  </conditionalFormatting>
  <conditionalFormatting sqref="AB17">
    <cfRule type="cellIs" dxfId="21" priority="36" stopIfTrue="1" operator="greaterThan">
      <formula>0</formula>
    </cfRule>
  </conditionalFormatting>
  <conditionalFormatting sqref="AB17">
    <cfRule type="cellIs" dxfId="20" priority="35" stopIfTrue="1" operator="greaterThan">
      <formula>0</formula>
    </cfRule>
  </conditionalFormatting>
  <conditionalFormatting sqref="AB20">
    <cfRule type="cellIs" dxfId="19" priority="34" stopIfTrue="1" operator="greaterThan">
      <formula>0</formula>
    </cfRule>
  </conditionalFormatting>
  <conditionalFormatting sqref="AB20">
    <cfRule type="cellIs" dxfId="18" priority="33" stopIfTrue="1" operator="greaterThan">
      <formula>0</formula>
    </cfRule>
  </conditionalFormatting>
  <conditionalFormatting sqref="T20">
    <cfRule type="cellIs" dxfId="17" priority="32" stopIfTrue="1" operator="greaterThan">
      <formula>0</formula>
    </cfRule>
  </conditionalFormatting>
  <conditionalFormatting sqref="T20">
    <cfRule type="cellIs" dxfId="16" priority="31" stopIfTrue="1" operator="greaterThan">
      <formula>0</formula>
    </cfRule>
  </conditionalFormatting>
  <conditionalFormatting sqref="R23">
    <cfRule type="cellIs" dxfId="15" priority="28" stopIfTrue="1" operator="greaterThan">
      <formula>0</formula>
    </cfRule>
  </conditionalFormatting>
  <conditionalFormatting sqref="R23">
    <cfRule type="cellIs" dxfId="14" priority="27" stopIfTrue="1" operator="greaterThan">
      <formula>0</formula>
    </cfRule>
  </conditionalFormatting>
  <conditionalFormatting sqref="V25">
    <cfRule type="cellIs" dxfId="13" priority="22" stopIfTrue="1" operator="greaterThan">
      <formula>0</formula>
    </cfRule>
  </conditionalFormatting>
  <conditionalFormatting sqref="E20">
    <cfRule type="cellIs" dxfId="12" priority="21" stopIfTrue="1" operator="greaterThan">
      <formula>0</formula>
    </cfRule>
  </conditionalFormatting>
  <conditionalFormatting sqref="E25">
    <cfRule type="cellIs" dxfId="11" priority="19" stopIfTrue="1" operator="greaterThan">
      <formula>0</formula>
    </cfRule>
  </conditionalFormatting>
  <conditionalFormatting sqref="AA20">
    <cfRule type="cellIs" dxfId="10" priority="15" stopIfTrue="1" operator="greaterThan">
      <formula>0</formula>
    </cfRule>
  </conditionalFormatting>
  <conditionalFormatting sqref="I23">
    <cfRule type="cellIs" dxfId="9" priority="14" stopIfTrue="1" operator="greaterThan">
      <formula>0</formula>
    </cfRule>
  </conditionalFormatting>
  <conditionalFormatting sqref="S23">
    <cfRule type="cellIs" dxfId="8" priority="13" stopIfTrue="1" operator="greaterThan">
      <formula>0</formula>
    </cfRule>
  </conditionalFormatting>
  <conditionalFormatting sqref="X23">
    <cfRule type="cellIs" dxfId="7" priority="11" stopIfTrue="1" operator="greaterThan">
      <formula>0</formula>
    </cfRule>
  </conditionalFormatting>
  <conditionalFormatting sqref="G20">
    <cfRule type="cellIs" dxfId="6" priority="10" stopIfTrue="1" operator="greaterThan">
      <formula>0</formula>
    </cfRule>
  </conditionalFormatting>
  <conditionalFormatting sqref="N20">
    <cfRule type="cellIs" dxfId="5" priority="9" stopIfTrue="1" operator="greaterThan">
      <formula>0</formula>
    </cfRule>
  </conditionalFormatting>
  <conditionalFormatting sqref="O16:Q20">
    <cfRule type="cellIs" dxfId="4" priority="8" stopIfTrue="1" operator="greaterThan">
      <formula>0</formula>
    </cfRule>
  </conditionalFormatting>
  <conditionalFormatting sqref="U16:Z20">
    <cfRule type="cellIs" dxfId="3" priority="7" stopIfTrue="1" operator="greaterThan">
      <formula>0</formula>
    </cfRule>
  </conditionalFormatting>
  <conditionalFormatting sqref="AC16:AH20">
    <cfRule type="cellIs" dxfId="2" priority="5" stopIfTrue="1" operator="greaterThan">
      <formula>0</formula>
    </cfRule>
  </conditionalFormatting>
  <conditionalFormatting sqref="AB18">
    <cfRule type="cellIs" dxfId="1" priority="2" stopIfTrue="1" operator="greaterThan">
      <formula>0</formula>
    </cfRule>
  </conditionalFormatting>
  <conditionalFormatting sqref="AB18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2023-09-01T01:30:21Z</dcterms:modified>
</cp:coreProperties>
</file>