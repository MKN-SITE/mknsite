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420" windowWidth="15480" windowHeight="11220"/>
  </bookViews>
  <sheets>
    <sheet name="Avaibility ALU" sheetId="11" r:id="rId1"/>
  </sheets>
  <definedNames>
    <definedName name="_xlnm.Print_Area" localSheetId="0">'Avaibility ALU'!$A$1:$AG$64</definedName>
  </definedNames>
  <calcPr calcId="144525"/>
</workbook>
</file>

<file path=xl/calcChain.xml><?xml version="1.0" encoding="utf-8"?>
<calcChain xmlns="http://schemas.openxmlformats.org/spreadsheetml/2006/main">
  <c r="E54" i="11" l="1"/>
  <c r="D54" i="11"/>
  <c r="C54" i="11" l="1"/>
  <c r="D53" i="11"/>
  <c r="D52" i="11"/>
  <c r="D43" i="11"/>
  <c r="D42" i="11"/>
  <c r="E52" i="11" l="1"/>
  <c r="E53" i="11"/>
  <c r="E51" i="11"/>
  <c r="C52" i="11" l="1"/>
  <c r="C53" i="11"/>
  <c r="D51" i="11"/>
  <c r="C51" i="11" s="1"/>
  <c r="E42" i="11"/>
  <c r="C42" i="11" s="1"/>
  <c r="E43" i="11"/>
  <c r="C43" i="11" s="1"/>
  <c r="D44" i="11"/>
  <c r="E44" i="11"/>
  <c r="D45" i="11"/>
  <c r="E45" i="11"/>
  <c r="D46" i="11"/>
  <c r="E46" i="11"/>
  <c r="D47" i="11"/>
  <c r="E47" i="11"/>
  <c r="D48" i="11"/>
  <c r="E48" i="11"/>
  <c r="D49" i="11"/>
  <c r="E49" i="11"/>
  <c r="D50" i="11"/>
  <c r="E50" i="11"/>
  <c r="C46" i="11" l="1"/>
  <c r="C50" i="11"/>
  <c r="C48" i="11"/>
  <c r="C44" i="11"/>
  <c r="C49" i="11"/>
  <c r="C47" i="11"/>
  <c r="C45" i="11"/>
  <c r="C59" i="11" l="1"/>
</calcChain>
</file>

<file path=xl/sharedStrings.xml><?xml version="1.0" encoding="utf-8"?>
<sst xmlns="http://schemas.openxmlformats.org/spreadsheetml/2006/main" count="110" uniqueCount="58">
  <si>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</si>
  <si>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</si>
  <si>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</si>
  <si>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</si>
  <si>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</si>
  <si>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</si>
  <si>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</si>
  <si>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</si>
  <si>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</si>
  <si>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</si>
  <si>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</si>
  <si>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</si>
  <si>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</si>
  <si>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</si>
  <si>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</si>
  <si>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</si>
  <si>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KPC BACKBONE ALCATEL-LUCENT</t>
  </si>
  <si>
    <t>M5 to SURYA ODU 1</t>
  </si>
  <si>
    <t>M5 to HATARI</t>
  </si>
  <si>
    <t>SURYA to BINTANG</t>
  </si>
  <si>
    <t>BINTANG to AB</t>
  </si>
  <si>
    <t>AB to FARNORTH</t>
  </si>
  <si>
    <t>HATARI to AB</t>
  </si>
  <si>
    <t>FARNORTH to 15000</t>
  </si>
  <si>
    <t>P11 to PTH</t>
  </si>
  <si>
    <t>M5 to PTH</t>
  </si>
  <si>
    <t>PTH to LBTT</t>
  </si>
  <si>
    <t xml:space="preserve"> HATARI to AB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</si>
  <si>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</si>
  <si>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</si>
  <si>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</si>
  <si>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</si>
  <si>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</si>
  <si>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</si>
  <si>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</si>
  <si>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</si>
  <si>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</si>
  <si>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</si>
  <si>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</si>
  <si>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FARNORTH to HT Middle</t>
  </si>
  <si>
    <t>FARNORTH to Lignit</t>
  </si>
  <si>
    <t>12</t>
  </si>
  <si>
    <t>13</t>
  </si>
  <si>
    <t>FARNORTH to HT MIDDLE</t>
  </si>
  <si>
    <t>FARNORTH to LIGNIT</t>
  </si>
  <si>
    <t>LBTT to 15K</t>
  </si>
  <si>
    <t>LBTT to 15000</t>
  </si>
  <si>
    <t>30</t>
  </si>
  <si>
    <t xml:space="preserve">M5 to SURYA ODU </t>
  </si>
  <si>
    <t>Remaks</t>
  </si>
  <si>
    <t xml:space="preserve">      Area Bintang Mati Lampu</t>
  </si>
  <si>
    <t xml:space="preserve">      Migrasi Data Centre </t>
  </si>
  <si>
    <t>15 Juni 23</t>
  </si>
  <si>
    <t xml:space="preserve">      Low BER ( pengaruh Hujan Lebat )</t>
  </si>
  <si>
    <t>10 Juni 23</t>
  </si>
  <si>
    <t xml:space="preserve"> 3  Juni 23</t>
  </si>
  <si>
    <t xml:space="preserve">      Penggantian router M5</t>
  </si>
  <si>
    <t>16 Juni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</si>
</sst>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[$-409]d\-mmm\-yy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113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11" fillId="0" borderId="0" xfId="0" applyFont="1" applyBorder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 applyAlignment="1"/>
    <xf numFmtId="164" fontId="6" fillId="0" borderId="0" xfId="0" applyFont="1"/>
    <xf numFmtId="164" fontId="6" fillId="0" borderId="0" xfId="0" applyFont="1" applyBorder="1" applyAlignment="1">
      <alignment horizontal="center"/>
    </xf>
    <xf numFmtId="164" fontId="6" fillId="0" borderId="0" xfId="0" applyFont="1" applyAlignment="1">
      <alignment horizontal="center"/>
    </xf>
    <xf numFmtId="164" fontId="6" fillId="0" borderId="0" xfId="0" applyFont="1" applyAlignment="1"/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Border="1" applyAlignment="1">
      <alignment horizontal="left"/>
    </xf>
    <xf numFmtId="164" fontId="8" fillId="0" borderId="0" xfId="0" applyFont="1" applyBorder="1"/>
    <xf numFmtId="164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164" fontId="9" fillId="0" borderId="0" xfId="0" applyFont="1" applyAlignme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Border="1" applyAlignment="1">
      <alignment horizontal="left" vertical="center"/>
    </xf>
    <xf numFmtId="164" fontId="36" fillId="0" borderId="0" xfId="0" applyFont="1" applyBorder="1" applyAlignment="1">
      <alignment horizontal="left" vertical="center"/>
    </xf>
    <xf numFmtId="164" fontId="6" fillId="0" borderId="0" xfId="0" applyFont="1" applyBorder="1"/>
    <xf numFmtId="0" fontId="6" fillId="0" borderId="0" xfId="0" applyNumberFormat="1" applyFont="1" applyBorder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46" fontId="0" fillId="0" borderId="3" xfId="0" applyNumberFormat="1" applyBorder="1"/>
    <xf numFmtId="0" fontId="6" fillId="0" borderId="0" xfId="0" applyNumberFormat="1" applyFont="1" applyBorder="1" applyAlignment="1">
      <alignment horizontal="center"/>
    </xf>
    <xf numFmtId="164" fontId="35" fillId="0" borderId="0" xfId="0" applyFont="1" applyBorder="1"/>
    <xf numFmtId="10" fontId="6" fillId="0" borderId="0" xfId="0" applyNumberFormat="1" applyFont="1" applyBorder="1" applyAlignment="1">
      <alignment horizontal="center"/>
    </xf>
    <xf numFmtId="46" fontId="0" fillId="0" borderId="0" xfId="0" applyNumberFormat="1" applyBorder="1" applyAlignment="1">
      <alignment horizontal="center"/>
    </xf>
    <xf numFmtId="46" fontId="0" fillId="33" borderId="0" xfId="0" applyNumberFormat="1" applyFill="1" applyBorder="1"/>
    <xf numFmtId="164" fontId="6" fillId="0" borderId="0" xfId="0" applyFont="1" applyBorder="1" applyAlignment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 applyAlignment="1"/>
    <xf numFmtId="1" fontId="11" fillId="0" borderId="0" xfId="0" applyNumberFormat="1" applyFont="1" applyBorder="1" applyAlignment="1">
      <alignment horizontal="center"/>
    </xf>
    <xf numFmtId="1" fontId="13" fillId="0" borderId="0" xfId="0" applyNumberFormat="1" applyFont="1" applyAlignment="1"/>
    <xf numFmtId="46" fontId="0" fillId="0" borderId="0" xfId="0" applyNumberFormat="1" applyBorder="1"/>
    <xf numFmtId="164" fontId="38" fillId="0" borderId="0" xfId="0" applyFont="1" applyAlignment="1">
      <alignment horizontal="center"/>
    </xf>
    <xf numFmtId="164" fontId="36" fillId="0" borderId="0" xfId="0" applyFont="1" applyBorder="1" applyAlignment="1">
      <alignment horizontal="center" vertical="center" wrapText="1"/>
    </xf>
    <xf numFmtId="165" fontId="37" fillId="0" borderId="0" xfId="0" applyNumberFormat="1" applyFont="1" applyBorder="1" applyAlignment="1">
      <alignment horizontal="center"/>
    </xf>
    <xf numFmtId="164" fontId="37" fillId="0" borderId="0" xfId="0" applyFont="1" applyBorder="1" applyAlignment="1">
      <alignment horizontal="left" vertical="center"/>
    </xf>
    <xf numFmtId="164" fontId="0" fillId="0" borderId="23" xfId="0" applyBorder="1"/>
    <xf numFmtId="164" fontId="0" fillId="0" borderId="1" xfId="0" applyBorder="1"/>
    <xf numFmtId="49" fontId="6" fillId="0" borderId="26" xfId="0" applyNumberFormat="1" applyFont="1" applyBorder="1" applyAlignment="1">
      <alignment horizontal="center"/>
    </xf>
    <xf numFmtId="164" fontId="35" fillId="0" borderId="27" xfId="0" applyFont="1" applyFill="1" applyBorder="1"/>
    <xf numFmtId="164" fontId="37" fillId="0" borderId="27" xfId="0" applyFont="1" applyBorder="1" applyAlignment="1">
      <alignment vertical="center"/>
    </xf>
    <xf numFmtId="46" fontId="0" fillId="0" borderId="27" xfId="0" applyNumberFormat="1" applyBorder="1"/>
    <xf numFmtId="1" fontId="6" fillId="0" borderId="30" xfId="0" applyNumberFormat="1" applyFont="1" applyBorder="1" applyAlignment="1">
      <alignment horizontal="center" vertical="center"/>
    </xf>
    <xf numFmtId="164" fontId="36" fillId="0" borderId="30" xfId="0" applyFont="1" applyBorder="1" applyAlignment="1">
      <alignment vertical="center"/>
    </xf>
    <xf numFmtId="164" fontId="37" fillId="0" borderId="30" xfId="0" applyFont="1" applyBorder="1" applyAlignment="1">
      <alignment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6" fillId="33" borderId="0" xfId="0" applyFont="1" applyFill="1"/>
    <xf numFmtId="16" fontId="8" fillId="0" borderId="39" xfId="0" applyNumberFormat="1" applyFont="1" applyBorder="1" applyAlignment="1">
      <alignment horizontal="center"/>
    </xf>
    <xf numFmtId="16" fontId="8" fillId="0" borderId="18" xfId="0" applyNumberFormat="1" applyFont="1" applyFill="1" applyBorder="1" applyAlignment="1">
      <alignment horizontal="center"/>
    </xf>
    <xf numFmtId="164" fontId="12" fillId="0" borderId="1" xfId="0" applyFont="1" applyFill="1" applyBorder="1" applyAlignment="1">
      <alignment horizontal="center" vertical="center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6" fillId="0" borderId="18" xfId="0" applyFont="1" applyBorder="1" applyAlignment="1">
      <alignment horizontal="left" vertical="center"/>
    </xf>
    <xf numFmtId="164" fontId="6" fillId="0" borderId="37" xfId="0" applyFont="1" applyBorder="1" applyAlignment="1">
      <alignment horizontal="left" vertical="center"/>
    </xf>
    <xf numFmtId="164" fontId="6" fillId="0" borderId="38" xfId="0" applyFont="1" applyBorder="1" applyAlignment="1">
      <alignment horizontal="left" vertical="center"/>
    </xf>
    <xf numFmtId="164" fontId="6" fillId="0" borderId="4" xfId="0" applyFont="1" applyBorder="1" applyAlignment="1">
      <alignment horizontal="left" vertical="center"/>
    </xf>
    <xf numFmtId="164" fontId="6" fillId="0" borderId="24" xfId="0" applyFont="1" applyBorder="1" applyAlignment="1">
      <alignment horizontal="left" vertical="center"/>
    </xf>
    <xf numFmtId="164" fontId="6" fillId="0" borderId="2" xfId="0" applyFont="1" applyBorder="1" applyAlignment="1">
      <alignment horizontal="left" vertical="center"/>
    </xf>
    <xf numFmtId="164" fontId="36" fillId="0" borderId="31" xfId="0" applyFont="1" applyBorder="1" applyAlignment="1">
      <alignment horizontal="center" vertical="center" wrapText="1"/>
    </xf>
    <xf numFmtId="164" fontId="36" fillId="0" borderId="32" xfId="0" applyFont="1" applyBorder="1" applyAlignment="1">
      <alignment horizontal="center" vertical="center" wrapText="1"/>
    </xf>
    <xf numFmtId="164" fontId="36" fillId="0" borderId="0" xfId="0" applyFont="1" applyBorder="1" applyAlignment="1">
      <alignment horizontal="center" vertical="center" wrapText="1"/>
    </xf>
    <xf numFmtId="164" fontId="36" fillId="0" borderId="22" xfId="0" applyFont="1" applyBorder="1" applyAlignment="1">
      <alignment horizontal="center" vertical="center" wrapText="1"/>
    </xf>
    <xf numFmtId="164" fontId="36" fillId="0" borderId="33" xfId="0" applyFont="1" applyBorder="1" applyAlignment="1">
      <alignment horizontal="center" vertical="center" wrapText="1"/>
    </xf>
    <xf numFmtId="164" fontId="36" fillId="0" borderId="34" xfId="0" applyFont="1" applyBorder="1" applyAlignment="1">
      <alignment horizontal="center" vertical="center" wrapText="1"/>
    </xf>
    <xf numFmtId="164" fontId="6" fillId="0" borderId="4" xfId="0" applyFont="1" applyBorder="1" applyAlignment="1">
      <alignment horizontal="center" vertical="center"/>
    </xf>
    <xf numFmtId="164" fontId="6" fillId="0" borderId="24" xfId="0" applyFont="1" applyBorder="1" applyAlignment="1">
      <alignment horizontal="center" vertical="center"/>
    </xf>
    <xf numFmtId="164" fontId="6" fillId="0" borderId="2" xfId="0" applyFont="1" applyBorder="1" applyAlignment="1">
      <alignment horizontal="center" vertical="center"/>
    </xf>
    <xf numFmtId="164" fontId="37" fillId="0" borderId="30" xfId="0" applyFont="1" applyBorder="1" applyAlignment="1">
      <alignment horizontal="center" vertical="center"/>
    </xf>
    <xf numFmtId="164" fontId="37" fillId="0" borderId="28" xfId="0" applyFont="1" applyBorder="1" applyAlignment="1">
      <alignment horizontal="center" vertic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6" fillId="0" borderId="15" xfId="0" applyFont="1" applyBorder="1" applyAlignment="1">
      <alignment horizontal="center" vertical="center"/>
    </xf>
    <xf numFmtId="164" fontId="6" fillId="0" borderId="35" xfId="0" applyFont="1" applyBorder="1" applyAlignment="1">
      <alignment horizontal="center" vertical="center"/>
    </xf>
    <xf numFmtId="164" fontId="6" fillId="0" borderId="36" xfId="0" applyFont="1" applyBorder="1" applyAlignment="1">
      <alignment horizontal="center" vertical="center"/>
    </xf>
    <xf numFmtId="164" fontId="6" fillId="0" borderId="29" xfId="0" applyFont="1" applyBorder="1" applyAlignment="1">
      <alignment horizontal="left" vertical="center"/>
    </xf>
    <xf numFmtId="164" fontId="6" fillId="0" borderId="25" xfId="0" applyFont="1" applyBorder="1" applyAlignment="1">
      <alignment horizontal="left" vertical="center"/>
    </xf>
    <xf numFmtId="164" fontId="6" fillId="0" borderId="23" xfId="0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3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5"/>
  <sheetViews>
    <sheetView tabSelected="1" topLeftCell="A22" zoomScale="80" zoomScaleNormal="80" workbookViewId="0">
      <selection activeCell="N40" sqref="N40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1" customWidth="1"/>
    <col min="16" max="31" width="10.5703125" customWidth="1"/>
    <col min="32" max="33" width="11.28515625" customWidth="1"/>
  </cols>
  <sheetData>
    <row r="1" spans="1:33" s="3" customFormat="1" ht="14.25" x14ac:dyDescent="0.2">
      <c r="A1" s="4" t="s">
        <v>14</v>
      </c>
      <c r="B1" s="5"/>
      <c r="C1" s="6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33" s="3" customFormat="1" ht="14.25" x14ac:dyDescent="0.2">
      <c r="A2" s="4" t="s">
        <v>15</v>
      </c>
      <c r="B2" s="5"/>
      <c r="C2" s="6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33" s="3" customFormat="1" x14ac:dyDescent="0.2">
      <c r="A3" s="6"/>
      <c r="B3" s="6"/>
      <c r="C3" s="7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33" s="3" customFormat="1" x14ac:dyDescent="0.2">
      <c r="A4" s="5" t="s">
        <v>4</v>
      </c>
      <c r="B4" s="5"/>
      <c r="C4" s="7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33" s="3" customFormat="1" x14ac:dyDescent="0.2">
      <c r="A5" s="5" t="s">
        <v>3</v>
      </c>
      <c r="B5" s="5"/>
      <c r="C5" s="7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33" s="3" customFormat="1" x14ac:dyDescent="0.2">
      <c r="A6" s="6"/>
      <c r="B6" s="6"/>
      <c r="C6" s="7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33" s="3" customFormat="1" x14ac:dyDescent="0.2">
      <c r="A7" s="5" t="s">
        <v>5</v>
      </c>
      <c r="B7" s="6"/>
      <c r="C7" s="40">
        <v>45078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33" s="3" customFormat="1" x14ac:dyDescent="0.2">
      <c r="A8" s="5" t="s">
        <v>6</v>
      </c>
      <c r="B8" s="8"/>
      <c r="C8" s="42" t="s">
        <v>47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33" s="3" customFormat="1" ht="13.5" thickBot="1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33" s="3" customFormat="1" x14ac:dyDescent="0.2">
      <c r="A10" s="103" t="s">
        <v>2</v>
      </c>
      <c r="B10" s="105" t="s">
        <v>0</v>
      </c>
      <c r="C10" s="105" t="s">
        <v>8</v>
      </c>
      <c r="D10" s="80">
        <v>44348</v>
      </c>
      <c r="E10" s="80">
        <v>44349</v>
      </c>
      <c r="F10" s="80">
        <v>44350</v>
      </c>
      <c r="G10" s="80">
        <v>44351</v>
      </c>
      <c r="H10" s="80">
        <v>44352</v>
      </c>
      <c r="I10" s="80">
        <v>44353</v>
      </c>
      <c r="J10" s="80">
        <v>44354</v>
      </c>
      <c r="K10" s="80">
        <v>44355</v>
      </c>
      <c r="L10" s="80">
        <v>44356</v>
      </c>
      <c r="M10" s="80">
        <v>44357</v>
      </c>
      <c r="N10" s="80">
        <v>44358</v>
      </c>
      <c r="O10" s="80">
        <v>44359</v>
      </c>
      <c r="P10" s="80">
        <v>44360</v>
      </c>
      <c r="Q10" s="80">
        <v>44361</v>
      </c>
      <c r="R10" s="80">
        <v>44362</v>
      </c>
      <c r="S10" s="80">
        <v>44363</v>
      </c>
      <c r="T10" s="46">
        <v>44364</v>
      </c>
      <c r="U10" s="46">
        <v>44365</v>
      </c>
      <c r="V10" s="46">
        <v>44366</v>
      </c>
      <c r="W10" s="46">
        <v>44367</v>
      </c>
      <c r="X10" s="46">
        <v>44368</v>
      </c>
      <c r="Y10" s="46">
        <v>44369</v>
      </c>
      <c r="Z10" s="46">
        <v>44370</v>
      </c>
      <c r="AA10" s="46">
        <v>44371</v>
      </c>
      <c r="AB10" s="46">
        <v>44372</v>
      </c>
      <c r="AC10" s="46">
        <v>44373</v>
      </c>
      <c r="AD10" s="46">
        <v>44374</v>
      </c>
      <c r="AE10" s="46">
        <v>44375</v>
      </c>
      <c r="AF10" s="46">
        <v>44376</v>
      </c>
      <c r="AG10" s="79">
        <v>44377</v>
      </c>
    </row>
    <row r="11" spans="1:33" s="1" customFormat="1" x14ac:dyDescent="0.2">
      <c r="A11" s="104"/>
      <c r="B11" s="106"/>
      <c r="C11" s="106"/>
      <c r="D11" s="81" t="s">
        <v>7</v>
      </c>
      <c r="E11" s="81" t="s">
        <v>7</v>
      </c>
      <c r="F11" s="81" t="s">
        <v>7</v>
      </c>
      <c r="G11" s="81" t="s">
        <v>7</v>
      </c>
      <c r="H11" s="81" t="s">
        <v>7</v>
      </c>
      <c r="I11" s="81" t="s">
        <v>7</v>
      </c>
      <c r="J11" s="81" t="s">
        <v>7</v>
      </c>
      <c r="K11" s="81" t="s">
        <v>7</v>
      </c>
      <c r="L11" s="81" t="s">
        <v>7</v>
      </c>
      <c r="M11" s="81" t="s">
        <v>7</v>
      </c>
      <c r="N11" s="81" t="s">
        <v>7</v>
      </c>
      <c r="O11" s="81" t="s">
        <v>7</v>
      </c>
      <c r="P11" s="81" t="s">
        <v>7</v>
      </c>
      <c r="Q11" s="81" t="s">
        <v>7</v>
      </c>
      <c r="R11" s="81" t="s">
        <v>7</v>
      </c>
      <c r="S11" s="81" t="s">
        <v>7</v>
      </c>
      <c r="T11" s="10" t="s">
        <v>7</v>
      </c>
      <c r="U11" s="10" t="s">
        <v>7</v>
      </c>
      <c r="V11" s="10" t="s">
        <v>7</v>
      </c>
      <c r="W11" s="10" t="s">
        <v>7</v>
      </c>
      <c r="X11" s="10" t="s">
        <v>7</v>
      </c>
      <c r="Y11" s="10" t="s">
        <v>7</v>
      </c>
      <c r="Z11" s="10" t="s">
        <v>7</v>
      </c>
      <c r="AA11" s="10" t="s">
        <v>7</v>
      </c>
      <c r="AB11" s="10" t="s">
        <v>7</v>
      </c>
      <c r="AC11" s="10" t="s">
        <v>7</v>
      </c>
      <c r="AD11" s="10" t="s">
        <v>7</v>
      </c>
      <c r="AE11" s="10" t="s">
        <v>7</v>
      </c>
      <c r="AF11" s="10" t="s">
        <v>7</v>
      </c>
      <c r="AG11" s="10" t="s">
        <v>7</v>
      </c>
    </row>
    <row r="12" spans="1:33" x14ac:dyDescent="0.2">
      <c r="A12" s="47"/>
      <c r="B12" s="34"/>
      <c r="C12" s="35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68"/>
      <c r="AG12" s="67"/>
    </row>
    <row r="13" spans="1:33" s="12" customFormat="1" ht="15.75" x14ac:dyDescent="0.25">
      <c r="A13" s="48" t="s">
        <v>37</v>
      </c>
      <c r="B13" s="32" t="s">
        <v>17</v>
      </c>
      <c r="C13" s="36"/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</v>
      </c>
      <c r="N13" s="37">
        <v>0</v>
      </c>
      <c r="O13" s="37">
        <v>0</v>
      </c>
      <c r="P13" s="37">
        <v>0</v>
      </c>
      <c r="Q13" s="37">
        <v>0</v>
      </c>
      <c r="R13" s="37">
        <v>0</v>
      </c>
      <c r="S13" s="37">
        <v>0</v>
      </c>
      <c r="T13" s="37">
        <v>0</v>
      </c>
      <c r="U13" s="37">
        <v>0</v>
      </c>
      <c r="V13" s="37">
        <v>0</v>
      </c>
      <c r="W13" s="37">
        <v>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D13" s="37">
        <v>0</v>
      </c>
      <c r="AE13" s="37">
        <v>0</v>
      </c>
      <c r="AF13" s="37">
        <v>0</v>
      </c>
      <c r="AG13" s="37">
        <v>0</v>
      </c>
    </row>
    <row r="14" spans="1:33" s="12" customFormat="1" ht="15.75" x14ac:dyDescent="0.25">
      <c r="A14" s="48" t="s">
        <v>28</v>
      </c>
      <c r="B14" s="32" t="s">
        <v>25</v>
      </c>
      <c r="C14" s="36"/>
      <c r="D14" s="37">
        <v>0</v>
      </c>
      <c r="E14" s="37">
        <v>0</v>
      </c>
      <c r="F14" s="37">
        <v>0</v>
      </c>
      <c r="G14" s="37">
        <v>0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</v>
      </c>
      <c r="N14" s="37">
        <v>0</v>
      </c>
      <c r="O14" s="37">
        <v>0</v>
      </c>
      <c r="P14" s="37">
        <v>0</v>
      </c>
      <c r="Q14" s="37">
        <v>0</v>
      </c>
      <c r="R14" s="37">
        <v>0</v>
      </c>
      <c r="S14" s="37">
        <v>0</v>
      </c>
      <c r="T14" s="37">
        <v>0</v>
      </c>
      <c r="U14" s="37">
        <v>0</v>
      </c>
      <c r="V14" s="37">
        <v>0</v>
      </c>
      <c r="W14" s="37">
        <v>0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37">
        <v>0</v>
      </c>
      <c r="AD14" s="37">
        <v>0</v>
      </c>
      <c r="AE14" s="37">
        <v>0</v>
      </c>
      <c r="AF14" s="37">
        <v>0</v>
      </c>
      <c r="AG14" s="37">
        <v>0</v>
      </c>
    </row>
    <row r="15" spans="1:33" s="12" customFormat="1" ht="15.75" x14ac:dyDescent="0.25">
      <c r="A15" s="48" t="s">
        <v>29</v>
      </c>
      <c r="B15" s="32" t="s">
        <v>18</v>
      </c>
      <c r="C15" s="36"/>
      <c r="D15" s="37">
        <v>0</v>
      </c>
      <c r="E15" s="37">
        <v>0</v>
      </c>
      <c r="F15" s="37">
        <v>0</v>
      </c>
      <c r="G15" s="37">
        <v>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0</v>
      </c>
      <c r="N15" s="37">
        <v>0</v>
      </c>
      <c r="O15" s="37">
        <v>0</v>
      </c>
      <c r="P15" s="37">
        <v>0</v>
      </c>
      <c r="Q15" s="37">
        <v>0</v>
      </c>
      <c r="R15" s="37">
        <v>3.1944444444444442E-3</v>
      </c>
      <c r="S15" s="37">
        <v>0</v>
      </c>
      <c r="T15" s="37">
        <v>0</v>
      </c>
      <c r="U15" s="37">
        <v>0</v>
      </c>
      <c r="V15" s="37">
        <v>0</v>
      </c>
      <c r="W15" s="37">
        <v>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  <c r="AC15" s="37">
        <v>0</v>
      </c>
      <c r="AD15" s="37">
        <v>0</v>
      </c>
      <c r="AE15" s="37">
        <v>0</v>
      </c>
      <c r="AF15" s="37">
        <v>0</v>
      </c>
      <c r="AG15" s="37">
        <v>0</v>
      </c>
    </row>
    <row r="16" spans="1:33" s="12" customFormat="1" ht="15.75" x14ac:dyDescent="0.25">
      <c r="A16" s="48" t="s">
        <v>30</v>
      </c>
      <c r="B16" s="32" t="s">
        <v>19</v>
      </c>
      <c r="C16" s="36"/>
      <c r="D16" s="37">
        <v>0</v>
      </c>
      <c r="E16" s="37">
        <v>0</v>
      </c>
      <c r="F16" s="37">
        <v>0</v>
      </c>
      <c r="G16" s="37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7">
        <v>0</v>
      </c>
    </row>
    <row r="17" spans="1:33" s="12" customFormat="1" ht="15.75" x14ac:dyDescent="0.25">
      <c r="A17" s="48" t="s">
        <v>31</v>
      </c>
      <c r="B17" s="32" t="s">
        <v>20</v>
      </c>
      <c r="C17" s="36"/>
      <c r="D17" s="37">
        <v>0</v>
      </c>
      <c r="E17" s="37">
        <v>0</v>
      </c>
      <c r="F17" s="37">
        <v>0.17895833333333333</v>
      </c>
      <c r="G17" s="37">
        <v>0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0</v>
      </c>
      <c r="O17" s="37">
        <v>0</v>
      </c>
      <c r="P17" s="37">
        <v>0</v>
      </c>
      <c r="Q17" s="37">
        <v>0</v>
      </c>
      <c r="R17" s="37">
        <v>0</v>
      </c>
      <c r="S17" s="37">
        <v>0</v>
      </c>
      <c r="T17" s="37">
        <v>0</v>
      </c>
      <c r="U17" s="37">
        <v>0</v>
      </c>
      <c r="V17" s="37">
        <v>0</v>
      </c>
      <c r="W17" s="37">
        <v>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D17" s="37">
        <v>0</v>
      </c>
      <c r="AE17" s="37">
        <v>0</v>
      </c>
      <c r="AF17" s="37">
        <v>0</v>
      </c>
      <c r="AG17" s="37">
        <v>0</v>
      </c>
    </row>
    <row r="18" spans="1:33" s="12" customFormat="1" ht="15.75" x14ac:dyDescent="0.25">
      <c r="A18" s="48" t="s">
        <v>32</v>
      </c>
      <c r="B18" s="32" t="s">
        <v>21</v>
      </c>
      <c r="C18" s="36"/>
      <c r="D18" s="37">
        <v>0</v>
      </c>
      <c r="E18" s="37">
        <v>0</v>
      </c>
      <c r="F18" s="37">
        <v>0</v>
      </c>
      <c r="G18" s="37">
        <v>0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0</v>
      </c>
      <c r="O18" s="37">
        <v>0</v>
      </c>
      <c r="P18" s="37">
        <v>0</v>
      </c>
      <c r="Q18" s="37">
        <v>0</v>
      </c>
      <c r="R18" s="37">
        <v>0</v>
      </c>
      <c r="S18" s="37">
        <v>0</v>
      </c>
      <c r="T18" s="37">
        <v>0</v>
      </c>
      <c r="U18" s="37">
        <v>0</v>
      </c>
      <c r="V18" s="37">
        <v>0</v>
      </c>
      <c r="W18" s="37">
        <v>0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D18" s="37">
        <v>0</v>
      </c>
      <c r="AE18" s="37">
        <v>0</v>
      </c>
      <c r="AF18" s="37">
        <v>0</v>
      </c>
      <c r="AG18" s="37">
        <v>0</v>
      </c>
    </row>
    <row r="19" spans="1:33" s="12" customFormat="1" ht="15.75" x14ac:dyDescent="0.25">
      <c r="A19" s="48" t="s">
        <v>33</v>
      </c>
      <c r="B19" s="32" t="s">
        <v>22</v>
      </c>
      <c r="C19" s="36"/>
      <c r="D19" s="37">
        <v>0</v>
      </c>
      <c r="E19" s="37">
        <v>0</v>
      </c>
      <c r="F19" s="37">
        <v>0</v>
      </c>
      <c r="G19" s="37">
        <v>0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8.5763888888888886E-3</v>
      </c>
      <c r="N19" s="37">
        <v>0</v>
      </c>
      <c r="O19" s="37">
        <v>0</v>
      </c>
      <c r="P19" s="37">
        <v>0</v>
      </c>
      <c r="Q19" s="37">
        <v>0</v>
      </c>
      <c r="R19" s="37">
        <v>0</v>
      </c>
      <c r="S19" s="37">
        <v>1.6828703703703703E-2</v>
      </c>
      <c r="T19" s="37">
        <v>0</v>
      </c>
      <c r="U19" s="37">
        <v>0</v>
      </c>
      <c r="V19" s="37">
        <v>0</v>
      </c>
      <c r="W19" s="37">
        <v>0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  <c r="AD19" s="37">
        <v>0</v>
      </c>
      <c r="AE19" s="37">
        <v>0</v>
      </c>
      <c r="AF19" s="37">
        <v>0</v>
      </c>
      <c r="AG19" s="37">
        <v>0</v>
      </c>
    </row>
    <row r="20" spans="1:33" s="12" customFormat="1" ht="15.75" x14ac:dyDescent="0.25">
      <c r="A20" s="48" t="s">
        <v>34</v>
      </c>
      <c r="B20" s="32" t="s">
        <v>26</v>
      </c>
      <c r="C20" s="36"/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0</v>
      </c>
      <c r="N20" s="37">
        <v>0</v>
      </c>
      <c r="O20" s="37">
        <v>0</v>
      </c>
      <c r="P20" s="37">
        <v>0</v>
      </c>
      <c r="Q20" s="37">
        <v>0</v>
      </c>
      <c r="R20" s="37">
        <v>0</v>
      </c>
      <c r="S20" s="37">
        <v>0</v>
      </c>
      <c r="T20" s="37">
        <v>0</v>
      </c>
      <c r="U20" s="37">
        <v>0</v>
      </c>
      <c r="V20" s="37">
        <v>0</v>
      </c>
      <c r="W20" s="37">
        <v>0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D20" s="37">
        <v>0</v>
      </c>
      <c r="AE20" s="37">
        <v>0</v>
      </c>
      <c r="AF20" s="37">
        <v>0</v>
      </c>
      <c r="AG20" s="37">
        <v>0</v>
      </c>
    </row>
    <row r="21" spans="1:33" s="12" customFormat="1" ht="15.75" x14ac:dyDescent="0.25">
      <c r="A21" s="48" t="s">
        <v>35</v>
      </c>
      <c r="B21" s="32" t="s">
        <v>24</v>
      </c>
      <c r="C21" s="36"/>
      <c r="D21" s="37">
        <v>0</v>
      </c>
      <c r="E21" s="37">
        <v>0</v>
      </c>
      <c r="F21" s="37">
        <v>0</v>
      </c>
      <c r="G21" s="37">
        <v>0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0</v>
      </c>
      <c r="N21" s="37">
        <v>0</v>
      </c>
      <c r="O21" s="37">
        <v>0</v>
      </c>
      <c r="P21" s="37">
        <v>0</v>
      </c>
      <c r="Q21" s="37">
        <v>0</v>
      </c>
      <c r="R21" s="37">
        <v>0</v>
      </c>
      <c r="S21" s="37">
        <v>0</v>
      </c>
      <c r="T21" s="37">
        <v>0</v>
      </c>
      <c r="U21" s="37">
        <v>0</v>
      </c>
      <c r="V21" s="37">
        <v>0</v>
      </c>
      <c r="W21" s="37">
        <v>0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D21" s="37">
        <v>0</v>
      </c>
      <c r="AE21" s="37">
        <v>0</v>
      </c>
      <c r="AF21" s="37">
        <v>0</v>
      </c>
      <c r="AG21" s="37">
        <v>0</v>
      </c>
    </row>
    <row r="22" spans="1:33" s="12" customFormat="1" ht="15.75" x14ac:dyDescent="0.25">
      <c r="A22" s="48" t="s">
        <v>36</v>
      </c>
      <c r="B22" s="49" t="s">
        <v>23</v>
      </c>
      <c r="C22" s="50"/>
      <c r="D22" s="51">
        <v>0</v>
      </c>
      <c r="E22" s="51">
        <v>0</v>
      </c>
      <c r="F22" s="51">
        <v>0</v>
      </c>
      <c r="G22" s="51">
        <v>0</v>
      </c>
      <c r="H22" s="51">
        <v>0</v>
      </c>
      <c r="I22" s="51">
        <v>0</v>
      </c>
      <c r="J22" s="51">
        <v>0</v>
      </c>
      <c r="K22" s="37">
        <v>0</v>
      </c>
      <c r="L22" s="37">
        <v>0</v>
      </c>
      <c r="M22" s="51">
        <v>0</v>
      </c>
      <c r="N22" s="51">
        <v>0</v>
      </c>
      <c r="O22" s="51">
        <v>0</v>
      </c>
      <c r="P22" s="51">
        <v>0</v>
      </c>
      <c r="Q22" s="51">
        <v>0</v>
      </c>
      <c r="R22" s="51">
        <v>0</v>
      </c>
      <c r="S22" s="51">
        <v>0</v>
      </c>
      <c r="T22" s="51">
        <v>0</v>
      </c>
      <c r="U22" s="51">
        <v>0</v>
      </c>
      <c r="V22" s="51">
        <v>0</v>
      </c>
      <c r="W22" s="51">
        <v>0</v>
      </c>
      <c r="X22" s="51">
        <v>0</v>
      </c>
      <c r="Y22" s="51">
        <v>0</v>
      </c>
      <c r="Z22" s="51">
        <v>0</v>
      </c>
      <c r="AA22" s="51">
        <v>0</v>
      </c>
      <c r="AB22" s="37">
        <v>0</v>
      </c>
      <c r="AC22" s="37">
        <v>0</v>
      </c>
      <c r="AD22" s="51">
        <v>0</v>
      </c>
      <c r="AE22" s="37">
        <v>0</v>
      </c>
      <c r="AF22" s="37">
        <v>0</v>
      </c>
      <c r="AG22" s="37">
        <v>0</v>
      </c>
    </row>
    <row r="23" spans="1:33" s="12" customFormat="1" ht="15.75" x14ac:dyDescent="0.25">
      <c r="A23" s="48" t="s">
        <v>38</v>
      </c>
      <c r="B23" s="49" t="s">
        <v>39</v>
      </c>
      <c r="C23" s="36"/>
      <c r="D23" s="51">
        <v>0</v>
      </c>
      <c r="E23" s="51">
        <v>0</v>
      </c>
      <c r="F23" s="51">
        <v>0</v>
      </c>
      <c r="G23" s="37">
        <v>0</v>
      </c>
      <c r="H23" s="51">
        <v>0</v>
      </c>
      <c r="I23" s="51">
        <v>0</v>
      </c>
      <c r="J23" s="51">
        <v>0</v>
      </c>
      <c r="K23" s="37">
        <v>0</v>
      </c>
      <c r="L23" s="37">
        <v>0</v>
      </c>
      <c r="M23" s="51">
        <v>0</v>
      </c>
      <c r="N23" s="51">
        <v>0</v>
      </c>
      <c r="O23" s="51">
        <v>0</v>
      </c>
      <c r="P23" s="51">
        <v>0</v>
      </c>
      <c r="Q23" s="51">
        <v>0</v>
      </c>
      <c r="R23" s="51">
        <v>0</v>
      </c>
      <c r="S23" s="51">
        <v>0</v>
      </c>
      <c r="T23" s="51">
        <v>0</v>
      </c>
      <c r="U23" s="51">
        <v>0</v>
      </c>
      <c r="V23" s="51">
        <v>0</v>
      </c>
      <c r="W23" s="51">
        <v>0</v>
      </c>
      <c r="X23" s="51">
        <v>0</v>
      </c>
      <c r="Y23" s="51">
        <v>0</v>
      </c>
      <c r="Z23" s="51">
        <v>0</v>
      </c>
      <c r="AA23" s="51">
        <v>0</v>
      </c>
      <c r="AB23" s="37">
        <v>0</v>
      </c>
      <c r="AC23" s="37">
        <v>0</v>
      </c>
      <c r="AD23" s="51">
        <v>0</v>
      </c>
      <c r="AE23" s="37">
        <v>0</v>
      </c>
      <c r="AF23" s="37">
        <v>0</v>
      </c>
      <c r="AG23" s="51">
        <v>0</v>
      </c>
    </row>
    <row r="24" spans="1:33" s="12" customFormat="1" ht="15.75" x14ac:dyDescent="0.25">
      <c r="A24" s="48" t="s">
        <v>41</v>
      </c>
      <c r="B24" s="49" t="s">
        <v>40</v>
      </c>
      <c r="C24" s="50"/>
      <c r="D24" s="51">
        <v>0</v>
      </c>
      <c r="E24" s="51">
        <v>0</v>
      </c>
      <c r="F24" s="51">
        <v>0</v>
      </c>
      <c r="G24" s="51">
        <v>0</v>
      </c>
      <c r="H24" s="51">
        <v>0</v>
      </c>
      <c r="I24" s="37">
        <v>0</v>
      </c>
      <c r="J24" s="51">
        <v>0</v>
      </c>
      <c r="K24" s="37">
        <v>0</v>
      </c>
      <c r="L24" s="37">
        <v>0</v>
      </c>
      <c r="M24" s="51">
        <v>0</v>
      </c>
      <c r="N24" s="51">
        <v>0</v>
      </c>
      <c r="O24" s="51">
        <v>0</v>
      </c>
      <c r="P24" s="51">
        <v>0</v>
      </c>
      <c r="Q24" s="51">
        <v>0</v>
      </c>
      <c r="R24" s="51">
        <v>0</v>
      </c>
      <c r="S24" s="51">
        <v>0</v>
      </c>
      <c r="T24" s="51">
        <v>0</v>
      </c>
      <c r="U24" s="51">
        <v>0</v>
      </c>
      <c r="V24" s="51">
        <v>0</v>
      </c>
      <c r="W24" s="51">
        <v>0</v>
      </c>
      <c r="X24" s="51">
        <v>0</v>
      </c>
      <c r="Y24" s="51">
        <v>0</v>
      </c>
      <c r="Z24" s="51">
        <v>0</v>
      </c>
      <c r="AA24" s="51">
        <v>0</v>
      </c>
      <c r="AB24" s="37">
        <v>0</v>
      </c>
      <c r="AC24" s="37">
        <v>0</v>
      </c>
      <c r="AD24" s="51">
        <v>0</v>
      </c>
      <c r="AE24" s="37">
        <v>0</v>
      </c>
      <c r="AF24" s="37">
        <v>0</v>
      </c>
      <c r="AG24" s="51">
        <v>0</v>
      </c>
    </row>
    <row r="25" spans="1:33" s="12" customFormat="1" ht="14.25" customHeight="1" thickBot="1" x14ac:dyDescent="0.3">
      <c r="A25" s="69" t="s">
        <v>42</v>
      </c>
      <c r="B25" s="70" t="s">
        <v>45</v>
      </c>
      <c r="C25" s="71"/>
      <c r="D25" s="72">
        <v>0</v>
      </c>
      <c r="E25" s="72">
        <v>0</v>
      </c>
      <c r="F25" s="72">
        <v>0</v>
      </c>
      <c r="G25" s="72">
        <v>0</v>
      </c>
      <c r="H25" s="72">
        <v>0</v>
      </c>
      <c r="I25" s="72">
        <v>0</v>
      </c>
      <c r="J25" s="72">
        <v>0</v>
      </c>
      <c r="K25" s="72">
        <v>0</v>
      </c>
      <c r="L25" s="72">
        <v>0</v>
      </c>
      <c r="M25" s="72">
        <v>0</v>
      </c>
      <c r="N25" s="37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</v>
      </c>
      <c r="V25" s="72">
        <v>0</v>
      </c>
      <c r="W25" s="72">
        <v>0</v>
      </c>
      <c r="X25" s="72">
        <v>0</v>
      </c>
      <c r="Y25" s="72">
        <v>0</v>
      </c>
      <c r="Z25" s="72">
        <v>0</v>
      </c>
      <c r="AA25" s="72">
        <v>0</v>
      </c>
      <c r="AB25" s="72">
        <v>0</v>
      </c>
      <c r="AC25" s="72">
        <v>0</v>
      </c>
      <c r="AD25" s="72">
        <v>0</v>
      </c>
      <c r="AE25" s="72">
        <v>0</v>
      </c>
      <c r="AF25" s="72">
        <v>0</v>
      </c>
      <c r="AG25" s="72">
        <v>0</v>
      </c>
    </row>
    <row r="26" spans="1:33" s="12" customFormat="1" ht="16.5" customHeight="1" thickBot="1" x14ac:dyDescent="0.25">
      <c r="A26" s="73"/>
      <c r="B26" s="74"/>
      <c r="C26" s="75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2"/>
    </row>
    <row r="27" spans="1:33" s="12" customFormat="1" ht="16.5" customHeight="1" x14ac:dyDescent="0.2">
      <c r="A27" s="92" t="s">
        <v>49</v>
      </c>
      <c r="B27" s="93"/>
      <c r="C27" s="76" t="s">
        <v>55</v>
      </c>
      <c r="D27" s="86" t="s">
        <v>50</v>
      </c>
      <c r="E27" s="87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8"/>
    </row>
    <row r="28" spans="1:33" s="12" customFormat="1" ht="16.5" customHeight="1" x14ac:dyDescent="0.2">
      <c r="A28" s="94"/>
      <c r="B28" s="95"/>
      <c r="C28" s="76" t="s">
        <v>54</v>
      </c>
      <c r="D28" s="89" t="s">
        <v>51</v>
      </c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  <c r="AD28" s="90"/>
      <c r="AE28" s="90"/>
      <c r="AF28" s="90"/>
      <c r="AG28" s="91"/>
    </row>
    <row r="29" spans="1:33" s="12" customFormat="1" ht="16.5" customHeight="1" x14ac:dyDescent="0.2">
      <c r="A29" s="94"/>
      <c r="B29" s="95"/>
      <c r="C29" s="77" t="s">
        <v>52</v>
      </c>
      <c r="D29" s="90" t="s">
        <v>56</v>
      </c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  <c r="AD29" s="90"/>
      <c r="AE29" s="90"/>
      <c r="AF29" s="90"/>
      <c r="AG29" s="91"/>
    </row>
    <row r="30" spans="1:33" s="12" customFormat="1" ht="16.5" customHeight="1" x14ac:dyDescent="0.2">
      <c r="A30" s="94"/>
      <c r="B30" s="95"/>
      <c r="C30" s="77" t="s">
        <v>57</v>
      </c>
      <c r="D30" s="89" t="s">
        <v>53</v>
      </c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  <c r="AD30" s="90"/>
      <c r="AE30" s="90"/>
      <c r="AF30" s="90"/>
      <c r="AG30" s="91"/>
    </row>
    <row r="31" spans="1:33" s="12" customFormat="1" ht="16.5" customHeight="1" x14ac:dyDescent="0.2">
      <c r="A31" s="94"/>
      <c r="B31" s="95"/>
      <c r="C31" s="77"/>
      <c r="D31" s="89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1"/>
    </row>
    <row r="32" spans="1:33" s="12" customFormat="1" ht="16.5" customHeight="1" x14ac:dyDescent="0.2">
      <c r="A32" s="94"/>
      <c r="B32" s="95"/>
      <c r="C32" s="77"/>
      <c r="D32" s="110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2"/>
    </row>
    <row r="33" spans="1:33" s="12" customFormat="1" ht="16.5" customHeight="1" x14ac:dyDescent="0.2">
      <c r="A33" s="94"/>
      <c r="B33" s="95"/>
      <c r="C33" s="77"/>
      <c r="D33" s="98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100"/>
    </row>
    <row r="34" spans="1:33" s="12" customFormat="1" ht="16.5" customHeight="1" x14ac:dyDescent="0.2">
      <c r="A34" s="94"/>
      <c r="B34" s="95"/>
      <c r="C34" s="77"/>
      <c r="D34" s="107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9"/>
    </row>
    <row r="35" spans="1:33" s="12" customFormat="1" ht="16.5" customHeight="1" thickBot="1" x14ac:dyDescent="0.25">
      <c r="A35" s="96"/>
      <c r="B35" s="97"/>
      <c r="C35" s="77"/>
      <c r="D35" s="98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100"/>
    </row>
    <row r="36" spans="1:33" s="12" customFormat="1" ht="15" x14ac:dyDescent="0.2">
      <c r="A36" s="64"/>
      <c r="B36" s="64"/>
      <c r="C36" s="65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</row>
    <row r="37" spans="1:33" s="12" customFormat="1" ht="15" x14ac:dyDescent="0.2">
      <c r="A37" s="13"/>
      <c r="B37" s="43"/>
      <c r="C37" s="44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4"/>
    </row>
    <row r="38" spans="1:33" s="12" customFormat="1" x14ac:dyDescent="0.2">
      <c r="A38" s="13"/>
      <c r="D38" s="14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 spans="1:33" s="12" customFormat="1" x14ac:dyDescent="0.2">
      <c r="A39" s="23" t="s">
        <v>12</v>
      </c>
      <c r="D39" s="14"/>
      <c r="E39" s="15"/>
      <c r="F39" s="15"/>
      <c r="G39" s="15"/>
      <c r="H39" s="15"/>
      <c r="I39" s="15"/>
      <c r="J39" s="15"/>
      <c r="K39" s="56"/>
      <c r="L39" s="56"/>
      <c r="M39" s="15"/>
      <c r="O39" s="15"/>
      <c r="AB39" s="31"/>
    </row>
    <row r="40" spans="1:33" s="12" customFormat="1" x14ac:dyDescent="0.2">
      <c r="A40" s="82" t="s">
        <v>2</v>
      </c>
      <c r="B40" s="82" t="s">
        <v>9</v>
      </c>
      <c r="C40" s="82" t="s">
        <v>1</v>
      </c>
      <c r="D40" s="84" t="s">
        <v>7</v>
      </c>
      <c r="E40" s="85"/>
      <c r="F40" s="15"/>
      <c r="G40" s="15"/>
      <c r="H40" s="15"/>
      <c r="I40" s="15"/>
      <c r="J40" s="15"/>
      <c r="K40" s="57"/>
      <c r="L40" s="57"/>
      <c r="M40" s="15"/>
      <c r="O40" s="15"/>
      <c r="AB40" s="31"/>
    </row>
    <row r="41" spans="1:33" s="12" customFormat="1" x14ac:dyDescent="0.2">
      <c r="A41" s="83"/>
      <c r="B41" s="83"/>
      <c r="C41" s="83"/>
      <c r="D41" s="27" t="s">
        <v>10</v>
      </c>
      <c r="E41" s="22" t="s">
        <v>11</v>
      </c>
      <c r="F41" s="15"/>
      <c r="G41" s="15"/>
      <c r="H41" s="15"/>
      <c r="I41" s="15"/>
      <c r="J41" s="15"/>
      <c r="K41" s="15"/>
      <c r="L41" s="15"/>
      <c r="M41" s="15"/>
      <c r="O41" s="15"/>
      <c r="AB41" s="31"/>
    </row>
    <row r="42" spans="1:33" s="12" customFormat="1" ht="15.75" x14ac:dyDescent="0.25">
      <c r="A42" s="41" t="s">
        <v>37</v>
      </c>
      <c r="B42" s="32" t="s">
        <v>48</v>
      </c>
      <c r="C42" s="38">
        <f t="shared" ref="C42:C50" si="0">1-(((D42*3600)+(LEFT(E42,2)*60)+RIGHT(E42,2))/((60*60*24)*$C$8))</f>
        <v>1</v>
      </c>
      <c r="D42" s="20" t="str">
        <f t="shared" ref="D42:D54" si="1">TEXT(SUM(D13:AG13),"[h]")</f>
        <v>0</v>
      </c>
      <c r="E42" s="20" t="str">
        <f t="shared" ref="E42:E54" si="2">TEXT(SUM(D13:AG13),"mm ss")</f>
        <v>00 00</v>
      </c>
      <c r="F42" s="15"/>
      <c r="G42" s="21"/>
      <c r="H42" s="15"/>
      <c r="I42" s="15"/>
      <c r="J42" s="15"/>
      <c r="K42" s="15"/>
      <c r="L42" s="15"/>
      <c r="M42" s="15"/>
      <c r="O42" s="15"/>
      <c r="AB42" s="31"/>
    </row>
    <row r="43" spans="1:33" s="12" customFormat="1" ht="15.75" x14ac:dyDescent="0.25">
      <c r="A43" s="41" t="s">
        <v>28</v>
      </c>
      <c r="B43" s="32" t="s">
        <v>25</v>
      </c>
      <c r="C43" s="38">
        <f t="shared" si="0"/>
        <v>1</v>
      </c>
      <c r="D43" s="20" t="str">
        <f t="shared" si="1"/>
        <v>0</v>
      </c>
      <c r="E43" s="20" t="str">
        <f t="shared" si="2"/>
        <v>00 00</v>
      </c>
      <c r="F43" s="15"/>
      <c r="G43" s="21"/>
      <c r="H43" s="15"/>
      <c r="I43" s="15"/>
      <c r="J43" s="15"/>
      <c r="K43" s="15"/>
      <c r="L43" s="15"/>
      <c r="M43" s="15"/>
      <c r="O43" s="15"/>
      <c r="AB43" s="31"/>
    </row>
    <row r="44" spans="1:33" s="12" customFormat="1" ht="15.75" x14ac:dyDescent="0.25">
      <c r="A44" s="41" t="s">
        <v>29</v>
      </c>
      <c r="B44" s="53" t="s">
        <v>18</v>
      </c>
      <c r="C44" s="38">
        <f t="shared" si="0"/>
        <v>0.99989351851851849</v>
      </c>
      <c r="D44" s="20" t="str">
        <f t="shared" si="1"/>
        <v>0</v>
      </c>
      <c r="E44" s="20" t="str">
        <f t="shared" si="2"/>
        <v>04 36</v>
      </c>
      <c r="F44" s="15"/>
      <c r="G44" s="21"/>
      <c r="H44" s="15"/>
      <c r="I44" s="15"/>
      <c r="J44" s="15"/>
      <c r="K44" s="62"/>
      <c r="L44" s="15"/>
      <c r="M44" s="15"/>
      <c r="O44" s="15"/>
      <c r="AB44" s="31"/>
    </row>
    <row r="45" spans="1:33" s="12" customFormat="1" ht="15.75" x14ac:dyDescent="0.25">
      <c r="A45" s="41" t="s">
        <v>30</v>
      </c>
      <c r="B45" s="32" t="s">
        <v>19</v>
      </c>
      <c r="C45" s="38">
        <f t="shared" si="0"/>
        <v>1</v>
      </c>
      <c r="D45" s="20" t="str">
        <f t="shared" si="1"/>
        <v>0</v>
      </c>
      <c r="E45" s="20" t="str">
        <f t="shared" si="2"/>
        <v>00 00</v>
      </c>
      <c r="F45" s="15"/>
      <c r="G45" s="21"/>
      <c r="H45" s="15"/>
      <c r="I45" s="15"/>
      <c r="J45" s="15"/>
      <c r="K45" s="15"/>
      <c r="L45" s="15"/>
      <c r="M45" s="15"/>
      <c r="O45" s="15"/>
      <c r="AB45" s="31"/>
    </row>
    <row r="46" spans="1:33" s="12" customFormat="1" ht="15.75" x14ac:dyDescent="0.25">
      <c r="A46" s="41" t="s">
        <v>31</v>
      </c>
      <c r="B46" s="32" t="s">
        <v>20</v>
      </c>
      <c r="C46" s="38">
        <f t="shared" si="0"/>
        <v>0.99403472222222222</v>
      </c>
      <c r="D46" s="20" t="str">
        <f t="shared" si="1"/>
        <v>4</v>
      </c>
      <c r="E46" s="20" t="str">
        <f t="shared" si="2"/>
        <v>17 42</v>
      </c>
      <c r="F46" s="15"/>
      <c r="G46" s="21"/>
      <c r="H46" s="15"/>
      <c r="I46" s="15"/>
      <c r="J46" s="15"/>
      <c r="K46" s="15"/>
      <c r="L46" s="15"/>
      <c r="M46" s="15"/>
      <c r="O46" s="15"/>
      <c r="AB46" s="31"/>
    </row>
    <row r="47" spans="1:33" s="12" customFormat="1" ht="15.75" x14ac:dyDescent="0.25">
      <c r="A47" s="41" t="s">
        <v>32</v>
      </c>
      <c r="B47" s="32" t="s">
        <v>21</v>
      </c>
      <c r="C47" s="38">
        <f t="shared" si="0"/>
        <v>1</v>
      </c>
      <c r="D47" s="20" t="str">
        <f t="shared" si="1"/>
        <v>0</v>
      </c>
      <c r="E47" s="20" t="str">
        <f t="shared" si="2"/>
        <v>00 00</v>
      </c>
      <c r="F47" s="15"/>
      <c r="G47" s="21"/>
      <c r="H47" s="15"/>
      <c r="I47" s="15"/>
      <c r="J47" s="15"/>
      <c r="K47" s="15"/>
      <c r="L47" s="15"/>
      <c r="M47" s="15"/>
      <c r="O47" s="15"/>
      <c r="AB47" s="31"/>
    </row>
    <row r="48" spans="1:33" s="12" customFormat="1" ht="15.75" x14ac:dyDescent="0.25">
      <c r="A48" s="41" t="s">
        <v>33</v>
      </c>
      <c r="B48" s="32" t="s">
        <v>27</v>
      </c>
      <c r="C48" s="38">
        <f t="shared" si="0"/>
        <v>0.99915316358024686</v>
      </c>
      <c r="D48" s="20" t="str">
        <f t="shared" si="1"/>
        <v>0</v>
      </c>
      <c r="E48" s="20" t="str">
        <f t="shared" si="2"/>
        <v>36 35</v>
      </c>
      <c r="F48" s="15"/>
      <c r="G48" s="21"/>
      <c r="H48" s="15"/>
      <c r="I48" s="15"/>
      <c r="J48" s="15"/>
      <c r="K48" s="15"/>
      <c r="L48" s="15"/>
      <c r="M48" s="15"/>
      <c r="N48" s="15"/>
      <c r="O48" s="15"/>
    </row>
    <row r="49" spans="1:33" s="12" customFormat="1" ht="15.75" x14ac:dyDescent="0.25">
      <c r="A49" s="41" t="s">
        <v>34</v>
      </c>
      <c r="B49" s="32" t="s">
        <v>26</v>
      </c>
      <c r="C49" s="38">
        <f t="shared" si="0"/>
        <v>1</v>
      </c>
      <c r="D49" s="20" t="str">
        <f t="shared" si="1"/>
        <v>0</v>
      </c>
      <c r="E49" s="20" t="str">
        <f t="shared" si="2"/>
        <v>00 00</v>
      </c>
      <c r="F49" s="15"/>
      <c r="G49" s="21"/>
      <c r="H49" s="15"/>
      <c r="I49" s="15"/>
      <c r="J49" s="15"/>
      <c r="K49" s="15"/>
      <c r="L49" s="15"/>
      <c r="M49" s="15"/>
      <c r="N49" s="15"/>
      <c r="O49" s="15"/>
    </row>
    <row r="50" spans="1:33" s="12" customFormat="1" ht="15.75" x14ac:dyDescent="0.25">
      <c r="A50" s="41" t="s">
        <v>35</v>
      </c>
      <c r="B50" s="32" t="s">
        <v>24</v>
      </c>
      <c r="C50" s="38">
        <f t="shared" si="0"/>
        <v>1</v>
      </c>
      <c r="D50" s="20" t="str">
        <f t="shared" si="1"/>
        <v>0</v>
      </c>
      <c r="E50" s="20" t="str">
        <f t="shared" si="2"/>
        <v>00 00</v>
      </c>
      <c r="F50" s="15"/>
      <c r="G50" s="21"/>
      <c r="H50" s="15"/>
      <c r="I50" s="15"/>
      <c r="J50" s="15"/>
      <c r="K50" s="15"/>
      <c r="L50" s="15"/>
      <c r="M50" s="15"/>
      <c r="N50" s="15"/>
      <c r="O50" s="15"/>
    </row>
    <row r="51" spans="1:33" s="12" customFormat="1" ht="15.75" x14ac:dyDescent="0.25">
      <c r="A51" s="41" t="s">
        <v>36</v>
      </c>
      <c r="B51" s="32" t="s">
        <v>23</v>
      </c>
      <c r="C51" s="33">
        <f>1-(((D51*3600)+(LEFT(E51,2)*60)+RIGHT(E51,2))/((60*60*24)*$C$8))</f>
        <v>1</v>
      </c>
      <c r="D51" s="20" t="str">
        <f t="shared" si="1"/>
        <v>0</v>
      </c>
      <c r="E51" s="20" t="str">
        <f t="shared" si="2"/>
        <v>00 00</v>
      </c>
      <c r="F51" s="15"/>
      <c r="G51" s="21"/>
      <c r="H51" s="15"/>
      <c r="I51" s="15"/>
      <c r="J51" s="15"/>
      <c r="K51" s="15"/>
      <c r="L51" s="15"/>
      <c r="M51" s="15"/>
      <c r="N51" s="15"/>
      <c r="O51" s="15"/>
    </row>
    <row r="52" spans="1:33" s="12" customFormat="1" ht="15.75" x14ac:dyDescent="0.25">
      <c r="A52" s="41" t="s">
        <v>38</v>
      </c>
      <c r="B52" s="32" t="s">
        <v>43</v>
      </c>
      <c r="C52" s="33">
        <f t="shared" ref="C52:C54" si="3">1-(((D52*3600)+(LEFT(E52,2)*60)+RIGHT(E52,2))/((60*60*24)*$C$8))</f>
        <v>1</v>
      </c>
      <c r="D52" s="20" t="str">
        <f t="shared" si="1"/>
        <v>0</v>
      </c>
      <c r="E52" s="20" t="str">
        <f t="shared" si="2"/>
        <v>00 00</v>
      </c>
      <c r="F52" s="15"/>
      <c r="G52" s="21"/>
      <c r="H52" s="15"/>
      <c r="I52" s="15"/>
      <c r="J52" s="15"/>
      <c r="K52" s="15"/>
      <c r="L52" s="15"/>
      <c r="M52" s="15"/>
      <c r="N52" s="15"/>
      <c r="O52" s="15"/>
    </row>
    <row r="53" spans="1:33" s="16" customFormat="1" ht="15.75" x14ac:dyDescent="0.25">
      <c r="A53" s="41" t="s">
        <v>41</v>
      </c>
      <c r="B53" s="32" t="s">
        <v>44</v>
      </c>
      <c r="C53" s="33">
        <f t="shared" si="3"/>
        <v>1</v>
      </c>
      <c r="D53" s="20" t="str">
        <f t="shared" si="1"/>
        <v>0</v>
      </c>
      <c r="E53" s="20" t="str">
        <f t="shared" si="2"/>
        <v>00 00</v>
      </c>
      <c r="F53" s="15"/>
      <c r="G53" s="21"/>
      <c r="H53" s="15"/>
      <c r="I53" s="15"/>
      <c r="J53" s="15"/>
      <c r="K53" s="15"/>
      <c r="L53" s="15"/>
      <c r="M53" s="15"/>
      <c r="N53" s="15"/>
      <c r="O53" s="15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 spans="1:33" ht="15.75" x14ac:dyDescent="0.25">
      <c r="A54" s="58" t="s">
        <v>42</v>
      </c>
      <c r="B54" s="32" t="s">
        <v>46</v>
      </c>
      <c r="C54" s="33">
        <f t="shared" si="3"/>
        <v>1</v>
      </c>
      <c r="D54" s="20" t="str">
        <f t="shared" si="1"/>
        <v>0</v>
      </c>
      <c r="E54" s="20" t="str">
        <f t="shared" si="2"/>
        <v>00 00</v>
      </c>
      <c r="F54" s="15"/>
      <c r="G54" s="21"/>
      <c r="H54" s="15"/>
      <c r="I54" s="15"/>
      <c r="J54" s="15"/>
      <c r="K54" s="15"/>
      <c r="L54" s="59"/>
      <c r="M54" s="59"/>
      <c r="N54" s="59"/>
      <c r="O54" s="59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 spans="1:33" ht="15.75" x14ac:dyDescent="0.25">
      <c r="A55" s="52"/>
      <c r="B55" s="53"/>
      <c r="C55" s="54"/>
      <c r="D55" s="55"/>
      <c r="E55" s="55"/>
      <c r="F55" s="15"/>
      <c r="G55" s="21"/>
      <c r="H55" s="15"/>
      <c r="I55" s="15"/>
      <c r="J55" s="15"/>
      <c r="K55" s="15"/>
      <c r="L55" s="59"/>
      <c r="M55" s="59"/>
      <c r="N55" s="59"/>
      <c r="O55" s="59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 spans="1:33" x14ac:dyDescent="0.2">
      <c r="A56" s="13"/>
      <c r="B56" s="12"/>
      <c r="C56" s="26"/>
      <c r="D56" s="25"/>
      <c r="E56" s="15"/>
      <c r="F56" s="15"/>
      <c r="G56" s="15"/>
      <c r="H56" s="15"/>
      <c r="I56" s="15"/>
      <c r="J56" s="15"/>
      <c r="K56" s="15"/>
      <c r="L56" s="59"/>
      <c r="M56" s="59"/>
      <c r="N56" s="59"/>
      <c r="O56" s="59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 spans="1:33" x14ac:dyDescent="0.2">
      <c r="A57" s="13"/>
      <c r="B57" s="12"/>
      <c r="C57" s="12"/>
      <c r="D57" s="14"/>
      <c r="E57" s="15"/>
      <c r="F57" s="15"/>
      <c r="G57" s="15"/>
      <c r="H57" s="15"/>
      <c r="I57" s="15"/>
      <c r="J57" s="15"/>
      <c r="K57" s="15"/>
      <c r="L57" s="59"/>
      <c r="M57" s="59"/>
      <c r="N57" s="59"/>
      <c r="O57" s="59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 spans="1:33" x14ac:dyDescent="0.2">
      <c r="A58" s="14"/>
      <c r="B58" s="24" t="s">
        <v>13</v>
      </c>
      <c r="C58" s="19"/>
      <c r="D58" s="18"/>
      <c r="E58" s="18"/>
      <c r="F58" s="18"/>
      <c r="G58" s="18"/>
      <c r="H58" s="18"/>
      <c r="I58" s="18"/>
      <c r="J58" s="18"/>
      <c r="K58" s="18"/>
      <c r="L58" s="60"/>
      <c r="M58" s="60"/>
      <c r="N58" s="60"/>
      <c r="O58" s="60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6"/>
    </row>
    <row r="59" spans="1:33" x14ac:dyDescent="0.2">
      <c r="A59"/>
      <c r="B59" s="12" t="s">
        <v>16</v>
      </c>
      <c r="C59" s="27">
        <f>(SUM(C42:C54))/(100%*13)</f>
        <v>0.99946780033238369</v>
      </c>
      <c r="G59" s="39"/>
      <c r="L59" s="61"/>
      <c r="M59" s="61"/>
      <c r="N59" s="61"/>
      <c r="O59" s="61"/>
    </row>
    <row r="60" spans="1:33" x14ac:dyDescent="0.2">
      <c r="L60" s="61"/>
      <c r="M60" s="61"/>
      <c r="N60" s="61"/>
      <c r="O60" s="61"/>
    </row>
    <row r="61" spans="1:33" x14ac:dyDescent="0.2">
      <c r="L61" s="61"/>
      <c r="M61" s="61"/>
      <c r="N61" s="61"/>
      <c r="O61" s="61"/>
    </row>
    <row r="62" spans="1:33" x14ac:dyDescent="0.2">
      <c r="L62" s="61"/>
      <c r="M62" s="61"/>
      <c r="N62" s="61"/>
      <c r="O62" s="61"/>
    </row>
    <row r="63" spans="1:33" x14ac:dyDescent="0.2">
      <c r="A63" s="63"/>
      <c r="B63" s="78"/>
    </row>
    <row r="64" spans="1:33" x14ac:dyDescent="0.2">
      <c r="A64"/>
      <c r="B64" s="12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</row>
    <row r="72" spans="1:32" x14ac:dyDescent="0.2">
      <c r="A72"/>
      <c r="E72" s="28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</row>
    <row r="73" spans="1:32" x14ac:dyDescent="0.2">
      <c r="A73"/>
      <c r="E73" s="28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</row>
    <row r="74" spans="1:32" x14ac:dyDescent="0.2">
      <c r="A74"/>
      <c r="E74" s="28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</row>
    <row r="75" spans="1:32" x14ac:dyDescent="0.2">
      <c r="A75"/>
      <c r="D75"/>
      <c r="E75" s="28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</row>
  </sheetData>
  <mergeCells count="18">
    <mergeCell ref="D26:AG26"/>
    <mergeCell ref="A10:A11"/>
    <mergeCell ref="B10:B11"/>
    <mergeCell ref="C10:C11"/>
    <mergeCell ref="D34:AG34"/>
    <mergeCell ref="D32:AG32"/>
    <mergeCell ref="D31:AG31"/>
    <mergeCell ref="D33:AG33"/>
    <mergeCell ref="A40:A41"/>
    <mergeCell ref="B40:B41"/>
    <mergeCell ref="C40:C41"/>
    <mergeCell ref="D40:E40"/>
    <mergeCell ref="D27:AG27"/>
    <mergeCell ref="D28:AG28"/>
    <mergeCell ref="D29:AG29"/>
    <mergeCell ref="D30:AG30"/>
    <mergeCell ref="A27:B35"/>
    <mergeCell ref="D35:AG35"/>
  </mergeCells>
  <phoneticPr fontId="9" type="noConversion"/>
  <conditionalFormatting sqref="D15:F15 G21:M21 P21:AA21 D13:D21 D17:E18 G18:N18 G17:W17 Y17:AD17">
    <cfRule type="cellIs" dxfId="129" priority="290" stopIfTrue="1" operator="greaterThan">
      <formula>0</formula>
    </cfRule>
  </conditionalFormatting>
  <conditionalFormatting sqref="I15:M15">
    <cfRule type="cellIs" dxfId="128" priority="289" stopIfTrue="1" operator="greaterThan">
      <formula>0</formula>
    </cfRule>
  </conditionalFormatting>
  <conditionalFormatting sqref="W18:AC18 O15:AD15 O18:U18">
    <cfRule type="cellIs" dxfId="127" priority="288" stopIfTrue="1" operator="greaterThan">
      <formula>0</formula>
    </cfRule>
  </conditionalFormatting>
  <conditionalFormatting sqref="G15">
    <cfRule type="cellIs" dxfId="126" priority="282" stopIfTrue="1" operator="greaterThan">
      <formula>0</formula>
    </cfRule>
  </conditionalFormatting>
  <conditionalFormatting sqref="N15">
    <cfRule type="cellIs" dxfId="125" priority="281" stopIfTrue="1" operator="greaterThan">
      <formula>0</formula>
    </cfRule>
  </conditionalFormatting>
  <conditionalFormatting sqref="H15">
    <cfRule type="cellIs" dxfId="124" priority="275" stopIfTrue="1" operator="greaterThan">
      <formula>0</formula>
    </cfRule>
  </conditionalFormatting>
  <conditionalFormatting sqref="AD18">
    <cfRule type="cellIs" dxfId="123" priority="274" stopIfTrue="1" operator="greaterThan">
      <formula>0</formula>
    </cfRule>
  </conditionalFormatting>
  <conditionalFormatting sqref="V18">
    <cfRule type="cellIs" dxfId="122" priority="269" stopIfTrue="1" operator="greaterThan">
      <formula>0</formula>
    </cfRule>
  </conditionalFormatting>
  <conditionalFormatting sqref="D13:F13">
    <cfRule type="cellIs" dxfId="121" priority="244" stopIfTrue="1" operator="greaterThan">
      <formula>0</formula>
    </cfRule>
  </conditionalFormatting>
  <conditionalFormatting sqref="D14:F14">
    <cfRule type="cellIs" dxfId="120" priority="260" stopIfTrue="1" operator="greaterThan">
      <formula>0</formula>
    </cfRule>
  </conditionalFormatting>
  <conditionalFormatting sqref="I14:M14">
    <cfRule type="cellIs" dxfId="119" priority="259" stopIfTrue="1" operator="greaterThan">
      <formula>0</formula>
    </cfRule>
  </conditionalFormatting>
  <conditionalFormatting sqref="O14:AD14">
    <cfRule type="cellIs" dxfId="118" priority="258" stopIfTrue="1" operator="greaterThan">
      <formula>0</formula>
    </cfRule>
  </conditionalFormatting>
  <conditionalFormatting sqref="G14">
    <cfRule type="cellIs" dxfId="117" priority="257" stopIfTrue="1" operator="greaterThan">
      <formula>0</formula>
    </cfRule>
  </conditionalFormatting>
  <conditionalFormatting sqref="N14">
    <cfRule type="cellIs" dxfId="116" priority="256" stopIfTrue="1" operator="greaterThan">
      <formula>0</formula>
    </cfRule>
  </conditionalFormatting>
  <conditionalFormatting sqref="H14">
    <cfRule type="cellIs" dxfId="115" priority="255" stopIfTrue="1" operator="greaterThan">
      <formula>0</formula>
    </cfRule>
  </conditionalFormatting>
  <conditionalFormatting sqref="D16:F16">
    <cfRule type="cellIs" dxfId="114" priority="236" stopIfTrue="1" operator="greaterThan">
      <formula>0</formula>
    </cfRule>
  </conditionalFormatting>
  <conditionalFormatting sqref="I13:M13">
    <cfRule type="cellIs" dxfId="113" priority="243" stopIfTrue="1" operator="greaterThan">
      <formula>0</formula>
    </cfRule>
  </conditionalFormatting>
  <conditionalFormatting sqref="O13:AD13">
    <cfRule type="cellIs" dxfId="112" priority="242" stopIfTrue="1" operator="greaterThan">
      <formula>0</formula>
    </cfRule>
  </conditionalFormatting>
  <conditionalFormatting sqref="G13">
    <cfRule type="cellIs" dxfId="111" priority="241" stopIfTrue="1" operator="greaterThan">
      <formula>0</formula>
    </cfRule>
  </conditionalFormatting>
  <conditionalFormatting sqref="N13">
    <cfRule type="cellIs" dxfId="110" priority="240" stopIfTrue="1" operator="greaterThan">
      <formula>0</formula>
    </cfRule>
  </conditionalFormatting>
  <conditionalFormatting sqref="H13">
    <cfRule type="cellIs" dxfId="109" priority="239" stopIfTrue="1" operator="greaterThan">
      <formula>0</formula>
    </cfRule>
  </conditionalFormatting>
  <conditionalFormatting sqref="AE13">
    <cfRule type="cellIs" dxfId="108" priority="238" stopIfTrue="1" operator="greaterThan">
      <formula>0</formula>
    </cfRule>
  </conditionalFormatting>
  <conditionalFormatting sqref="I16:M16">
    <cfRule type="cellIs" dxfId="107" priority="235" stopIfTrue="1" operator="greaterThan">
      <formula>0</formula>
    </cfRule>
  </conditionalFormatting>
  <conditionalFormatting sqref="O16:Q16">
    <cfRule type="cellIs" dxfId="106" priority="234" stopIfTrue="1" operator="greaterThan">
      <formula>0</formula>
    </cfRule>
  </conditionalFormatting>
  <conditionalFormatting sqref="G16">
    <cfRule type="cellIs" dxfId="105" priority="233" stopIfTrue="1" operator="greaterThan">
      <formula>0</formula>
    </cfRule>
  </conditionalFormatting>
  <conditionalFormatting sqref="N16">
    <cfRule type="cellIs" dxfId="104" priority="232" stopIfTrue="1" operator="greaterThan">
      <formula>0</formula>
    </cfRule>
  </conditionalFormatting>
  <conditionalFormatting sqref="H16">
    <cfRule type="cellIs" dxfId="103" priority="231" stopIfTrue="1" operator="greaterThan">
      <formula>0</formula>
    </cfRule>
  </conditionalFormatting>
  <conditionalFormatting sqref="D19:F19">
    <cfRule type="cellIs" dxfId="102" priority="216" stopIfTrue="1" operator="greaterThan">
      <formula>0</formula>
    </cfRule>
  </conditionalFormatting>
  <conditionalFormatting sqref="I19:M19">
    <cfRule type="cellIs" dxfId="101" priority="215" stopIfTrue="1" operator="greaterThan">
      <formula>0</formula>
    </cfRule>
  </conditionalFormatting>
  <conditionalFormatting sqref="O19:U19 X19:AC19">
    <cfRule type="cellIs" dxfId="100" priority="214" stopIfTrue="1" operator="greaterThan">
      <formula>0</formula>
    </cfRule>
  </conditionalFormatting>
  <conditionalFormatting sqref="G19">
    <cfRule type="cellIs" dxfId="99" priority="213" stopIfTrue="1" operator="greaterThan">
      <formula>0</formula>
    </cfRule>
  </conditionalFormatting>
  <conditionalFormatting sqref="H19">
    <cfRule type="cellIs" dxfId="98" priority="211" stopIfTrue="1" operator="greaterThan">
      <formula>0</formula>
    </cfRule>
  </conditionalFormatting>
  <conditionalFormatting sqref="D20">
    <cfRule type="cellIs" dxfId="96" priority="202" stopIfTrue="1" operator="greaterThan">
      <formula>0</formula>
    </cfRule>
  </conditionalFormatting>
  <conditionalFormatting sqref="S16">
    <cfRule type="cellIs" dxfId="94" priority="193" stopIfTrue="1" operator="greaterThan">
      <formula>0</formula>
    </cfRule>
  </conditionalFormatting>
  <conditionalFormatting sqref="H20 J20:M20 P20:V20">
    <cfRule type="cellIs" dxfId="93" priority="205" stopIfTrue="1" operator="greaterThan">
      <formula>0</formula>
    </cfRule>
  </conditionalFormatting>
  <conditionalFormatting sqref="W20 Y20:AA20">
    <cfRule type="cellIs" dxfId="92" priority="204" stopIfTrue="1" operator="greaterThan">
      <formula>0</formula>
    </cfRule>
  </conditionalFormatting>
  <conditionalFormatting sqref="AD21">
    <cfRule type="cellIs" dxfId="91" priority="200" stopIfTrue="1" operator="greaterThan">
      <formula>0</formula>
    </cfRule>
  </conditionalFormatting>
  <conditionalFormatting sqref="W16">
    <cfRule type="cellIs" dxfId="90" priority="189" stopIfTrue="1" operator="greaterThan">
      <formula>0</formula>
    </cfRule>
  </conditionalFormatting>
  <conditionalFormatting sqref="V16">
    <cfRule type="cellIs" dxfId="89" priority="190" stopIfTrue="1" operator="greaterThan">
      <formula>0</formula>
    </cfRule>
  </conditionalFormatting>
  <conditionalFormatting sqref="R16">
    <cfRule type="cellIs" dxfId="88" priority="194" stopIfTrue="1" operator="greaterThan">
      <formula>0</formula>
    </cfRule>
  </conditionalFormatting>
  <conditionalFormatting sqref="T16">
    <cfRule type="cellIs" dxfId="87" priority="192" stopIfTrue="1" operator="greaterThan">
      <formula>0</formula>
    </cfRule>
  </conditionalFormatting>
  <conditionalFormatting sqref="U16">
    <cfRule type="cellIs" dxfId="86" priority="191" stopIfTrue="1" operator="greaterThan">
      <formula>0</formula>
    </cfRule>
  </conditionalFormatting>
  <conditionalFormatting sqref="X16">
    <cfRule type="cellIs" dxfId="85" priority="188" stopIfTrue="1" operator="greaterThan">
      <formula>0</formula>
    </cfRule>
  </conditionalFormatting>
  <conditionalFormatting sqref="Y16">
    <cfRule type="cellIs" dxfId="84" priority="187" stopIfTrue="1" operator="greaterThan">
      <formula>0</formula>
    </cfRule>
  </conditionalFormatting>
  <conditionalFormatting sqref="Z16">
    <cfRule type="cellIs" dxfId="83" priority="186" stopIfTrue="1" operator="greaterThan">
      <formula>0</formula>
    </cfRule>
  </conditionalFormatting>
  <conditionalFormatting sqref="AA16">
    <cfRule type="cellIs" dxfId="82" priority="185" stopIfTrue="1" operator="greaterThan">
      <formula>0</formula>
    </cfRule>
  </conditionalFormatting>
  <conditionalFormatting sqref="AB16">
    <cfRule type="cellIs" dxfId="81" priority="184" stopIfTrue="1" operator="greaterThan">
      <formula>0</formula>
    </cfRule>
  </conditionalFormatting>
  <conditionalFormatting sqref="AC16">
    <cfRule type="cellIs" dxfId="80" priority="183" stopIfTrue="1" operator="greaterThan">
      <formula>0</formula>
    </cfRule>
  </conditionalFormatting>
  <conditionalFormatting sqref="AD16">
    <cfRule type="cellIs" dxfId="79" priority="182" stopIfTrue="1" operator="greaterThan">
      <formula>0</formula>
    </cfRule>
  </conditionalFormatting>
  <conditionalFormatting sqref="D22:J22 M22:AA24 AD22 D24:H24 D23:F23 H23:J23 J24">
    <cfRule type="cellIs" dxfId="78" priority="139" stopIfTrue="1" operator="greaterThan">
      <formula>0</formula>
    </cfRule>
  </conditionalFormatting>
  <conditionalFormatting sqref="AG13">
    <cfRule type="cellIs" dxfId="77" priority="129" stopIfTrue="1" operator="greaterThan">
      <formula>0</formula>
    </cfRule>
  </conditionalFormatting>
  <conditionalFormatting sqref="AG13">
    <cfRule type="cellIs" dxfId="76" priority="120" stopIfTrue="1" operator="greaterThan">
      <formula>0</formula>
    </cfRule>
  </conditionalFormatting>
  <conditionalFormatting sqref="AG21 AG17:AG18">
    <cfRule type="cellIs" dxfId="75" priority="133" stopIfTrue="1" operator="greaterThan">
      <formula>0</formula>
    </cfRule>
  </conditionalFormatting>
  <conditionalFormatting sqref="AG15">
    <cfRule type="cellIs" dxfId="74" priority="132" stopIfTrue="1" operator="greaterThan">
      <formula>0</formula>
    </cfRule>
  </conditionalFormatting>
  <conditionalFormatting sqref="AG14">
    <cfRule type="cellIs" dxfId="73" priority="131" stopIfTrue="1" operator="greaterThan">
      <formula>0</formula>
    </cfRule>
  </conditionalFormatting>
  <conditionalFormatting sqref="AG19">
    <cfRule type="cellIs" dxfId="72" priority="128" stopIfTrue="1" operator="greaterThan">
      <formula>0</formula>
    </cfRule>
  </conditionalFormatting>
  <conditionalFormatting sqref="AG20">
    <cfRule type="cellIs" dxfId="71" priority="127" stopIfTrue="1" operator="greaterThan">
      <formula>0</formula>
    </cfRule>
  </conditionalFormatting>
  <conditionalFormatting sqref="AG16">
    <cfRule type="cellIs" dxfId="70" priority="126" stopIfTrue="1" operator="greaterThan">
      <formula>0</formula>
    </cfRule>
  </conditionalFormatting>
  <conditionalFormatting sqref="AG21 AG17:AG18">
    <cfRule type="cellIs" dxfId="69" priority="124" stopIfTrue="1" operator="greaterThan">
      <formula>0</formula>
    </cfRule>
  </conditionalFormatting>
  <conditionalFormatting sqref="AG15">
    <cfRule type="cellIs" dxfId="68" priority="123" stopIfTrue="1" operator="greaterThan">
      <formula>0</formula>
    </cfRule>
  </conditionalFormatting>
  <conditionalFormatting sqref="AG14">
    <cfRule type="cellIs" dxfId="67" priority="122" stopIfTrue="1" operator="greaterThan">
      <formula>0</formula>
    </cfRule>
  </conditionalFormatting>
  <conditionalFormatting sqref="AG19">
    <cfRule type="cellIs" dxfId="66" priority="119" stopIfTrue="1" operator="greaterThan">
      <formula>0</formula>
    </cfRule>
  </conditionalFormatting>
  <conditionalFormatting sqref="AG20">
    <cfRule type="cellIs" dxfId="65" priority="118" stopIfTrue="1" operator="greaterThan">
      <formula>0</formula>
    </cfRule>
  </conditionalFormatting>
  <conditionalFormatting sqref="AG16">
    <cfRule type="cellIs" dxfId="64" priority="117" stopIfTrue="1" operator="greaterThan">
      <formula>0</formula>
    </cfRule>
  </conditionalFormatting>
  <conditionalFormatting sqref="F20">
    <cfRule type="cellIs" dxfId="63" priority="96" stopIfTrue="1" operator="greaterThan">
      <formula>0</formula>
    </cfRule>
  </conditionalFormatting>
  <conditionalFormatting sqref="K39">
    <cfRule type="cellIs" dxfId="62" priority="92" stopIfTrue="1" operator="greaterThan">
      <formula>0</formula>
    </cfRule>
  </conditionalFormatting>
  <conditionalFormatting sqref="E21:F21">
    <cfRule type="cellIs" dxfId="61" priority="97" stopIfTrue="1" operator="greaterThan">
      <formula>0</formula>
    </cfRule>
  </conditionalFormatting>
  <conditionalFormatting sqref="D25:J25 M25 AC25:AD25 O25:AA25">
    <cfRule type="cellIs" dxfId="60" priority="106" stopIfTrue="1" operator="greaterThan">
      <formula>0</formula>
    </cfRule>
  </conditionalFormatting>
  <conditionalFormatting sqref="AG25">
    <cfRule type="cellIs" dxfId="59" priority="104" stopIfTrue="1" operator="greaterThan">
      <formula>0</formula>
    </cfRule>
  </conditionalFormatting>
  <conditionalFormatting sqref="AG25">
    <cfRule type="cellIs" dxfId="58" priority="103" stopIfTrue="1" operator="greaterThan">
      <formula>0</formula>
    </cfRule>
  </conditionalFormatting>
  <conditionalFormatting sqref="I20">
    <cfRule type="cellIs" dxfId="57" priority="95" stopIfTrue="1" operator="greaterThan">
      <formula>0</formula>
    </cfRule>
  </conditionalFormatting>
  <conditionalFormatting sqref="X20">
    <cfRule type="cellIs" dxfId="56" priority="93" stopIfTrue="1" operator="greaterThan">
      <formula>0</formula>
    </cfRule>
  </conditionalFormatting>
  <conditionalFormatting sqref="L39">
    <cfRule type="cellIs" dxfId="55" priority="91" stopIfTrue="1" operator="greaterThan">
      <formula>0</formula>
    </cfRule>
  </conditionalFormatting>
  <conditionalFormatting sqref="K22:L25">
    <cfRule type="cellIs" dxfId="54" priority="84" stopIfTrue="1" operator="greaterThan">
      <formula>0</formula>
    </cfRule>
  </conditionalFormatting>
  <conditionalFormatting sqref="K44">
    <cfRule type="cellIs" dxfId="53" priority="83" stopIfTrue="1" operator="greaterThan">
      <formula>0</formula>
    </cfRule>
  </conditionalFormatting>
  <conditionalFormatting sqref="N20:O21">
    <cfRule type="cellIs" dxfId="52" priority="81" stopIfTrue="1" operator="greaterThan">
      <formula>0</formula>
    </cfRule>
  </conditionalFormatting>
  <conditionalFormatting sqref="AD23:AD24 AG23:AG24">
    <cfRule type="cellIs" dxfId="51" priority="79" stopIfTrue="1" operator="greaterThan">
      <formula>0</formula>
    </cfRule>
  </conditionalFormatting>
  <conditionalFormatting sqref="AG22">
    <cfRule type="cellIs" dxfId="50" priority="76" stopIfTrue="1" operator="greaterThan">
      <formula>0</formula>
    </cfRule>
  </conditionalFormatting>
  <conditionalFormatting sqref="AG22">
    <cfRule type="cellIs" dxfId="49" priority="75" stopIfTrue="1" operator="greaterThan">
      <formula>0</formula>
    </cfRule>
  </conditionalFormatting>
  <conditionalFormatting sqref="AE14">
    <cfRule type="cellIs" dxfId="48" priority="74" stopIfTrue="1" operator="greaterThan">
      <formula>0</formula>
    </cfRule>
  </conditionalFormatting>
  <conditionalFormatting sqref="AE15">
    <cfRule type="cellIs" dxfId="47" priority="73" stopIfTrue="1" operator="greaterThan">
      <formula>0</formula>
    </cfRule>
  </conditionalFormatting>
  <conditionalFormatting sqref="AE16">
    <cfRule type="cellIs" dxfId="46" priority="72" stopIfTrue="1" operator="greaterThan">
      <formula>0</formula>
    </cfRule>
  </conditionalFormatting>
  <conditionalFormatting sqref="AE17">
    <cfRule type="cellIs" dxfId="45" priority="71" stopIfTrue="1" operator="greaterThan">
      <formula>0</formula>
    </cfRule>
  </conditionalFormatting>
  <conditionalFormatting sqref="AE18">
    <cfRule type="cellIs" dxfId="44" priority="70" stopIfTrue="1" operator="greaterThan">
      <formula>0</formula>
    </cfRule>
  </conditionalFormatting>
  <conditionalFormatting sqref="AE19">
    <cfRule type="cellIs" dxfId="43" priority="69" stopIfTrue="1" operator="greaterThan">
      <formula>0</formula>
    </cfRule>
  </conditionalFormatting>
  <conditionalFormatting sqref="AE20">
    <cfRule type="cellIs" dxfId="42" priority="68" stopIfTrue="1" operator="greaterThan">
      <formula>0</formula>
    </cfRule>
  </conditionalFormatting>
  <conditionalFormatting sqref="AE21">
    <cfRule type="cellIs" dxfId="41" priority="67" stopIfTrue="1" operator="greaterThan">
      <formula>0</formula>
    </cfRule>
  </conditionalFormatting>
  <conditionalFormatting sqref="AE22">
    <cfRule type="cellIs" dxfId="40" priority="66" stopIfTrue="1" operator="greaterThan">
      <formula>0</formula>
    </cfRule>
  </conditionalFormatting>
  <conditionalFormatting sqref="AE24">
    <cfRule type="cellIs" dxfId="39" priority="64" stopIfTrue="1" operator="greaterThan">
      <formula>0</formula>
    </cfRule>
  </conditionalFormatting>
  <conditionalFormatting sqref="AE25">
    <cfRule type="cellIs" dxfId="38" priority="63" stopIfTrue="1" operator="greaterThan">
      <formula>0</formula>
    </cfRule>
  </conditionalFormatting>
  <conditionalFormatting sqref="AB20:AC24">
    <cfRule type="cellIs" dxfId="37" priority="61" stopIfTrue="1" operator="greaterThan">
      <formula>0</formula>
    </cfRule>
  </conditionalFormatting>
  <conditionalFormatting sqref="AB25">
    <cfRule type="cellIs" dxfId="36" priority="60" stopIfTrue="1" operator="greaterThan">
      <formula>0</formula>
    </cfRule>
  </conditionalFormatting>
  <conditionalFormatting sqref="AD20">
    <cfRule type="cellIs" dxfId="35" priority="59" stopIfTrue="1" operator="greaterThan">
      <formula>0</formula>
    </cfRule>
  </conditionalFormatting>
  <conditionalFormatting sqref="AE23">
    <cfRule type="cellIs" dxfId="34" priority="58" stopIfTrue="1" operator="greaterThan">
      <formula>0</formula>
    </cfRule>
  </conditionalFormatting>
  <conditionalFormatting sqref="G20">
    <cfRule type="cellIs" dxfId="33" priority="57" stopIfTrue="1" operator="greaterThan">
      <formula>0</formula>
    </cfRule>
  </conditionalFormatting>
  <conditionalFormatting sqref="E20">
    <cfRule type="cellIs" dxfId="32" priority="55" stopIfTrue="1" operator="greaterThan">
      <formula>0</formula>
    </cfRule>
  </conditionalFormatting>
  <conditionalFormatting sqref="AF13">
    <cfRule type="cellIs" dxfId="31" priority="29" stopIfTrue="1" operator="greaterThan">
      <formula>0</formula>
    </cfRule>
  </conditionalFormatting>
  <conditionalFormatting sqref="AF14">
    <cfRule type="cellIs" dxfId="30" priority="28" stopIfTrue="1" operator="greaterThan">
      <formula>0</formula>
    </cfRule>
  </conditionalFormatting>
  <conditionalFormatting sqref="AF15">
    <cfRule type="cellIs" dxfId="29" priority="27" stopIfTrue="1" operator="greaterThan">
      <formula>0</formula>
    </cfRule>
  </conditionalFormatting>
  <conditionalFormatting sqref="AF16">
    <cfRule type="cellIs" dxfId="28" priority="26" stopIfTrue="1" operator="greaterThan">
      <formula>0</formula>
    </cfRule>
  </conditionalFormatting>
  <conditionalFormatting sqref="AF18">
    <cfRule type="cellIs" dxfId="27" priority="24" stopIfTrue="1" operator="greaterThan">
      <formula>0</formula>
    </cfRule>
  </conditionalFormatting>
  <conditionalFormatting sqref="AF19">
    <cfRule type="cellIs" dxfId="26" priority="23" stopIfTrue="1" operator="greaterThan">
      <formula>0</formula>
    </cfRule>
  </conditionalFormatting>
  <conditionalFormatting sqref="AF20">
    <cfRule type="cellIs" dxfId="25" priority="22" stopIfTrue="1" operator="greaterThan">
      <formula>0</formula>
    </cfRule>
  </conditionalFormatting>
  <conditionalFormatting sqref="AF21">
    <cfRule type="cellIs" dxfId="24" priority="21" stopIfTrue="1" operator="greaterThan">
      <formula>0</formula>
    </cfRule>
  </conditionalFormatting>
  <conditionalFormatting sqref="AF22">
    <cfRule type="cellIs" dxfId="23" priority="20" stopIfTrue="1" operator="greaterThan">
      <formula>0</formula>
    </cfRule>
  </conditionalFormatting>
  <conditionalFormatting sqref="AF24">
    <cfRule type="cellIs" dxfId="22" priority="19" stopIfTrue="1" operator="greaterThan">
      <formula>0</formula>
    </cfRule>
  </conditionalFormatting>
  <conditionalFormatting sqref="AF25">
    <cfRule type="cellIs" dxfId="21" priority="18" stopIfTrue="1" operator="greaterThan">
      <formula>0</formula>
    </cfRule>
  </conditionalFormatting>
  <conditionalFormatting sqref="AF23">
    <cfRule type="cellIs" dxfId="20" priority="17" stopIfTrue="1" operator="greaterThan">
      <formula>0</formula>
    </cfRule>
  </conditionalFormatting>
  <conditionalFormatting sqref="F18">
    <cfRule type="cellIs" dxfId="19" priority="16" stopIfTrue="1" operator="greaterThan">
      <formula>0</formula>
    </cfRule>
  </conditionalFormatting>
  <conditionalFormatting sqref="F17">
    <cfRule type="cellIs" dxfId="18" priority="15" stopIfTrue="1" operator="greaterThan">
      <formula>0</formula>
    </cfRule>
  </conditionalFormatting>
  <conditionalFormatting sqref="G23">
    <cfRule type="cellIs" dxfId="17" priority="14" stopIfTrue="1" operator="greaterThan">
      <formula>0</formula>
    </cfRule>
  </conditionalFormatting>
  <conditionalFormatting sqref="I24">
    <cfRule type="cellIs" dxfId="16" priority="13" stopIfTrue="1" operator="greaterThan">
      <formula>0</formula>
    </cfRule>
  </conditionalFormatting>
  <conditionalFormatting sqref="N25">
    <cfRule type="cellIs" dxfId="15" priority="12" stopIfTrue="1" operator="greaterThan">
      <formula>0</formula>
    </cfRule>
  </conditionalFormatting>
  <conditionalFormatting sqref="X17">
    <cfRule type="cellIs" dxfId="14" priority="11" stopIfTrue="1" operator="greaterThan">
      <formula>0</formula>
    </cfRule>
  </conditionalFormatting>
  <conditionalFormatting sqref="AF17">
    <cfRule type="cellIs" dxfId="13" priority="9" stopIfTrue="1" operator="greaterThan">
      <formula>0</formula>
    </cfRule>
  </conditionalFormatting>
  <conditionalFormatting sqref="N19">
    <cfRule type="cellIs" dxfId="12" priority="7" stopIfTrue="1" operator="greaterThan">
      <formula>0</formula>
    </cfRule>
  </conditionalFormatting>
  <conditionalFormatting sqref="AD19">
    <cfRule type="cellIs" dxfId="9" priority="5" stopIfTrue="1" operator="greaterThan">
      <formula>0</formula>
    </cfRule>
  </conditionalFormatting>
  <conditionalFormatting sqref="W19">
    <cfRule type="cellIs" dxfId="5" priority="3" stopIfTrue="1" operator="greaterThan">
      <formula>0</formula>
    </cfRule>
  </conditionalFormatting>
  <conditionalFormatting sqref="V19">
    <cfRule type="cellIs" dxfId="1" priority="1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ALU</vt:lpstr>
      <vt:lpstr>'Avaibility ALU'!Print_Area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2022-07-04T01:07:16Z</cp:lastPrinted>
  <dcterms:created xsi:type="dcterms:W3CDTF">2006-10-16T02:50:45Z</dcterms:created>
  <dcterms:modified xsi:type="dcterms:W3CDTF">2023-07-03T00:12:22Z</dcterms:modified>
</cp:coreProperties>
</file>