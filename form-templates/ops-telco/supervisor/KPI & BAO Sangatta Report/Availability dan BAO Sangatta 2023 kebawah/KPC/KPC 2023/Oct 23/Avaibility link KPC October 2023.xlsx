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7" i="11" l="1"/>
  <c r="D57" i="11"/>
  <c r="C57" i="11" l="1"/>
  <c r="D56" i="11"/>
  <c r="D55" i="11"/>
  <c r="D46" i="11"/>
  <c r="D45" i="11"/>
  <c r="E55" i="11" l="1"/>
  <c r="E56" i="11"/>
  <c r="E54" i="11"/>
  <c r="C55" i="11" l="1"/>
  <c r="C56" i="11"/>
  <c r="D54" i="11"/>
  <c r="C54" i="11" s="1"/>
  <c r="E45" i="11"/>
  <c r="C45" i="11" s="1"/>
  <c r="E46" i="11"/>
  <c r="C46" i="11" s="1"/>
  <c r="D47" i="11"/>
  <c r="E47" i="11"/>
  <c r="D48" i="11"/>
  <c r="E48" i="11"/>
  <c r="D49" i="11"/>
  <c r="E49" i="11"/>
  <c r="D50" i="11"/>
  <c r="E50" i="11"/>
  <c r="D51" i="11"/>
  <c r="E51" i="11"/>
  <c r="D52" i="11"/>
  <c r="E52" i="11"/>
  <c r="D53" i="11"/>
  <c r="E53" i="11"/>
  <c r="C49" i="11" l="1"/>
  <c r="C53" i="11"/>
  <c r="C51" i="11"/>
  <c r="C47" i="11"/>
  <c r="C52" i="11"/>
  <c r="C50" i="11"/>
  <c r="C48" i="11"/>
  <c r="C62" i="11" l="1"/>
</calcChain>
</file>

<file path=xl/sharedStrings.xml><?xml version="1.0" encoding="utf-8"?>
<sst xmlns="http://schemas.openxmlformats.org/spreadsheetml/2006/main" count="120" uniqueCount="63">
  <si>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</si>
  <si>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</si>
  <si>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</si>
  <si>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</si>
  <si>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</si>
  <si>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</si>
  <si>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</si>
  <si>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</si>
  <si>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</si>
  <si>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</si>
  <si>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</si>
  <si>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</si>
  <si>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</si>
  <si>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</si>
  <si>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</si>
  <si>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</si>
  <si>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</si>
  <si>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</si>
  <si>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</si>
  <si>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</si>
  <si>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</si>
  <si>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</si>
  <si>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</si>
  <si>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</si>
  <si>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</si>
  <si>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</si>
  <si>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</si>
  <si>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</si>
  <si>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</si>
  <si>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</si>
  <si>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</si>
  <si>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</si>
  <si>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</si>
  <si>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</si>
  <si>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</si>
  <si>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</si>
  <si>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</si>
  <si>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</si>
  <si>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</si>
  <si>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</si>
  <si>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</si>
  <si>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</si>
  <si>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</si>
  <si>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</si>
  <si>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</si>
  <si>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</si>
  <si>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</si>
  <si>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</si>
  <si>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</si>
  <si>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Remaks</t>
  </si>
  <si>
    <t>14</t>
  </si>
  <si>
    <t>7 Okt 23</t>
  </si>
  <si>
    <t>10 Okt 23</t>
  </si>
  <si>
    <t xml:space="preserve">         Problem Genset di TBTS middle</t>
  </si>
  <si>
    <t>13 Okt 23</t>
  </si>
  <si>
    <t>14 Okt 23</t>
  </si>
  <si>
    <t>18 Okt 23</t>
  </si>
  <si>
    <t>19 Okt 23</t>
  </si>
  <si>
    <t xml:space="preserve">         AC di Coms Room mati</t>
  </si>
  <si>
    <t xml:space="preserve">         Link Intermitten ( Trial /Pointing NEC )</t>
  </si>
  <si>
    <t>30 Okt 23</t>
  </si>
  <si>
    <t xml:space="preserve">         High RF BBE / High BER</t>
  </si>
  <si>
    <t>26 Okt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</si>
</sst>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  <font>
      <b/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2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2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0" fontId="6" fillId="0" borderId="23" xfId="0" applyNumberFormat="1" applyFont="1" applyBorder="1" applyAlignment="1">
      <alignment horizontal="left" vertical="top" wrapText="1"/>
    </xf>
    <xf numFmtId="164" fontId="41" fillId="0" borderId="0" xfId="0" applyFont="1"/>
    <xf numFmtId="164" fontId="41" fillId="0" borderId="0" xfId="0" applyFont="1" applyFill="1" applyBorder="1"/>
    <xf numFmtId="164" fontId="36" fillId="0" borderId="15" xfId="0" applyFont="1" applyBorder="1" applyAlignment="1">
      <alignment horizontal="center" wrapText="1"/>
    </xf>
    <xf numFmtId="164" fontId="39" fillId="0" borderId="23" xfId="0" applyFont="1" applyBorder="1" applyAlignment="1">
      <alignment horizontal="left" vertical="top"/>
    </xf>
    <xf numFmtId="164" fontId="39" fillId="0" borderId="23" xfId="0" applyFont="1" applyBorder="1" applyAlignment="1">
      <alignment horizontal="left" vertical="center"/>
    </xf>
    <xf numFmtId="164" fontId="12" fillId="0" borderId="1" xfId="0" applyFont="1" applyBorder="1" applyAlignment="1">
      <alignment horizontal="left" vertical="center"/>
    </xf>
    <xf numFmtId="16" fontId="8" fillId="0" borderId="24" xfId="0" applyNumberFormat="1" applyFont="1" applyBorder="1" applyAlignment="1">
      <alignment horizontal="left"/>
    </xf>
    <xf numFmtId="164" fontId="36" fillId="0" borderId="0" xfId="0" applyFont="1" applyBorder="1" applyAlignment="1">
      <alignment horizontal="center" wrapText="1"/>
    </xf>
    <xf numFmtId="164" fontId="39" fillId="0" borderId="2" xfId="0" applyFont="1" applyBorder="1" applyAlignment="1">
      <alignment horizontal="left" vertical="center"/>
    </xf>
    <xf numFmtId="9" fontId="8" fillId="0" borderId="0" xfId="1" applyFont="1" applyAlignment="1"/>
    <xf numFmtId="164" fontId="6" fillId="0" borderId="0" xfId="0" applyFont="1" applyAlignment="1">
      <alignment horizontal="left" vertical="center"/>
    </xf>
    <xf numFmtId="164" fontId="8" fillId="0" borderId="0" xfId="0" applyFont="1" applyAlignment="1">
      <alignment horizontal="left" vertical="center"/>
    </xf>
    <xf numFmtId="9" fontId="8" fillId="0" borderId="0" xfId="1" applyFont="1" applyAlignment="1">
      <alignment horizontal="left" vertical="center"/>
    </xf>
    <xf numFmtId="9" fontId="6" fillId="0" borderId="0" xfId="1" applyFont="1" applyAlignment="1">
      <alignment horizontal="left" vertical="center"/>
    </xf>
    <xf numFmtId="1" fontId="8" fillId="0" borderId="0" xfId="0" applyNumberFormat="1" applyFont="1" applyAlignment="1"/>
    <xf numFmtId="9" fontId="8" fillId="0" borderId="0" xfId="1" applyFont="1" applyAlignment="1">
      <alignment horizontal="left" vertical="center"/>
    </xf>
    <xf numFmtId="164" fontId="8" fillId="0" borderId="0" xfId="0" applyFont="1" applyAlignment="1">
      <alignment horizontal="left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 vertical="center"/>
    </xf>
    <xf numFmtId="49" fontId="37" fillId="0" borderId="25" xfId="0" applyNumberFormat="1" applyFont="1" applyBorder="1" applyAlignment="1">
      <alignment horizontal="center" vertical="center"/>
    </xf>
    <xf numFmtId="49" fontId="37" fillId="0" borderId="5" xfId="0" applyNumberFormat="1" applyFont="1" applyBorder="1" applyAlignment="1">
      <alignment horizontal="center" vertical="center"/>
    </xf>
    <xf numFmtId="164" fontId="42" fillId="0" borderId="3" xfId="0" applyFont="1" applyBorder="1" applyAlignment="1">
      <alignment horizontal="center" vertical="center"/>
    </xf>
    <xf numFmtId="164" fontId="42" fillId="0" borderId="25" xfId="0" applyFont="1" applyBorder="1" applyAlignment="1">
      <alignment horizontal="center" vertical="center"/>
    </xf>
    <xf numFmtId="164" fontId="42" fillId="0" borderId="5" xfId="0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38" fillId="0" borderId="23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4" xfId="0" applyFont="1" applyBorder="1" applyAlignment="1">
      <alignment vertical="center"/>
    </xf>
    <xf numFmtId="164" fontId="39" fillId="0" borderId="23" xfId="0" applyFont="1" applyBorder="1" applyAlignment="1">
      <alignment vertical="center"/>
    </xf>
    <xf numFmtId="164" fontId="39" fillId="0" borderId="2" xfId="0" applyFont="1" applyBorder="1" applyAlignment="1">
      <alignment vertical="center"/>
    </xf>
    <xf numFmtId="164" fontId="39" fillId="0" borderId="4" xfId="0" applyFont="1" applyBorder="1" applyAlignment="1">
      <alignment horizontal="left" vertical="center"/>
    </xf>
    <xf numFmtId="164" fontId="39" fillId="0" borderId="23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  <xf numFmtId="164" fontId="8" fillId="0" borderId="23" xfId="0" applyFont="1" applyBorder="1" applyAlignment="1">
      <alignment horizontal="left"/>
    </xf>
    <xf numFmtId="164" fontId="39" fillId="0" borderId="4" xfId="0" applyFont="1" applyBorder="1" applyAlignment="1">
      <alignment horizontal="center" vertical="center"/>
    </xf>
    <xf numFmtId="164" fontId="39" fillId="0" borderId="23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1"/>
  <sheetViews>
    <sheetView tabSelected="1" zoomScale="80" zoomScaleNormal="80" workbookViewId="0">
      <pane xSplit="3" ySplit="11" topLeftCell="S12" activePane="bottomRight" state="frozen"/>
      <selection pane="topRight" activeCell="D1" sqref="D1"/>
      <selection pane="bottomLeft" activeCell="A12" sqref="A12"/>
      <selection pane="bottomRight" activeCell="H43" sqref="H43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  <col min="34" max="34" width="10.425781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9">
        <v>45200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1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4" t="s">
        <v>2</v>
      </c>
      <c r="B10" s="106" t="s">
        <v>0</v>
      </c>
      <c r="C10" s="106" t="s">
        <v>8</v>
      </c>
      <c r="D10" s="45">
        <v>44470</v>
      </c>
      <c r="E10" s="45">
        <v>44471</v>
      </c>
      <c r="F10" s="45">
        <v>44472</v>
      </c>
      <c r="G10" s="45">
        <v>44473</v>
      </c>
      <c r="H10" s="45">
        <v>44474</v>
      </c>
      <c r="I10" s="45">
        <v>44475</v>
      </c>
      <c r="J10" s="45">
        <v>44476</v>
      </c>
      <c r="K10" s="45">
        <v>44477</v>
      </c>
      <c r="L10" s="45">
        <v>44478</v>
      </c>
      <c r="M10" s="45">
        <v>44479</v>
      </c>
      <c r="N10" s="45">
        <v>44480</v>
      </c>
      <c r="O10" s="45">
        <v>44481</v>
      </c>
      <c r="P10" s="45">
        <v>44482</v>
      </c>
      <c r="Q10" s="45">
        <v>44483</v>
      </c>
      <c r="R10" s="45">
        <v>44484</v>
      </c>
      <c r="S10" s="45">
        <v>44485</v>
      </c>
      <c r="T10" s="45">
        <v>44486</v>
      </c>
      <c r="U10" s="45">
        <v>44487</v>
      </c>
      <c r="V10" s="45">
        <v>44488</v>
      </c>
      <c r="W10" s="45">
        <v>44489</v>
      </c>
      <c r="X10" s="45">
        <v>44490</v>
      </c>
      <c r="Y10" s="45">
        <v>44491</v>
      </c>
      <c r="Z10" s="45">
        <v>44492</v>
      </c>
      <c r="AA10" s="45">
        <v>44493</v>
      </c>
      <c r="AB10" s="45">
        <v>44494</v>
      </c>
      <c r="AC10" s="45">
        <v>44495</v>
      </c>
      <c r="AD10" s="45">
        <v>44496</v>
      </c>
      <c r="AE10" s="45">
        <v>44497</v>
      </c>
      <c r="AF10" s="45">
        <v>44498</v>
      </c>
      <c r="AG10" s="45">
        <v>44499</v>
      </c>
      <c r="AH10" s="93">
        <v>44500</v>
      </c>
    </row>
    <row r="11" spans="1:34" s="1" customFormat="1" x14ac:dyDescent="0.2">
      <c r="A11" s="105"/>
      <c r="B11" s="107"/>
      <c r="C11" s="107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92" t="s">
        <v>7</v>
      </c>
    </row>
    <row r="12" spans="1:34" x14ac:dyDescent="0.2">
      <c r="A12" s="46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5"/>
      <c r="AG12" s="64"/>
      <c r="AH12" s="65"/>
    </row>
    <row r="13" spans="1:34" s="12" customFormat="1" ht="15.75" x14ac:dyDescent="0.25">
      <c r="A13" s="47" t="s">
        <v>37</v>
      </c>
      <c r="B13" s="32" t="s">
        <v>17</v>
      </c>
      <c r="C13" s="36"/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3">
        <v>0</v>
      </c>
      <c r="Q13" s="83">
        <v>0</v>
      </c>
      <c r="R13" s="83">
        <v>0</v>
      </c>
      <c r="S13" s="83">
        <v>0</v>
      </c>
      <c r="T13" s="83">
        <v>0</v>
      </c>
      <c r="U13" s="83">
        <v>0</v>
      </c>
      <c r="V13" s="83">
        <v>0</v>
      </c>
      <c r="W13" s="83">
        <v>0</v>
      </c>
      <c r="X13" s="83">
        <v>0</v>
      </c>
      <c r="Y13" s="83">
        <v>0</v>
      </c>
      <c r="Z13" s="83">
        <v>0</v>
      </c>
      <c r="AA13" s="83">
        <v>0</v>
      </c>
      <c r="AB13" s="83">
        <v>0</v>
      </c>
      <c r="AC13" s="83">
        <v>0</v>
      </c>
      <c r="AD13" s="83">
        <v>0</v>
      </c>
      <c r="AE13" s="84">
        <v>0</v>
      </c>
      <c r="AF13" s="83">
        <v>0</v>
      </c>
      <c r="AG13" s="83">
        <v>0</v>
      </c>
      <c r="AH13" s="83">
        <v>0</v>
      </c>
    </row>
    <row r="14" spans="1:34" s="12" customFormat="1" ht="15.75" x14ac:dyDescent="0.25">
      <c r="A14" s="47" t="s">
        <v>28</v>
      </c>
      <c r="B14" s="32" t="s">
        <v>25</v>
      </c>
      <c r="C14" s="36"/>
      <c r="D14" s="83">
        <v>0</v>
      </c>
      <c r="E14" s="83">
        <v>0</v>
      </c>
      <c r="F14" s="83">
        <v>0</v>
      </c>
      <c r="G14" s="83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  <c r="Q14" s="83">
        <v>0</v>
      </c>
      <c r="R14" s="83">
        <v>0</v>
      </c>
      <c r="S14" s="83">
        <v>0</v>
      </c>
      <c r="T14" s="83">
        <v>0</v>
      </c>
      <c r="U14" s="83">
        <v>0</v>
      </c>
      <c r="V14" s="83">
        <v>0</v>
      </c>
      <c r="W14" s="83">
        <v>0</v>
      </c>
      <c r="X14" s="83">
        <v>0</v>
      </c>
      <c r="Y14" s="83">
        <v>0</v>
      </c>
      <c r="Z14" s="83">
        <v>0</v>
      </c>
      <c r="AA14" s="83">
        <v>0</v>
      </c>
      <c r="AB14" s="83">
        <v>0</v>
      </c>
      <c r="AC14" s="83">
        <v>0</v>
      </c>
      <c r="AD14" s="83">
        <v>0</v>
      </c>
      <c r="AE14" s="84">
        <v>0</v>
      </c>
      <c r="AF14" s="83">
        <v>0</v>
      </c>
      <c r="AG14" s="83">
        <v>0</v>
      </c>
      <c r="AH14" s="83">
        <v>0</v>
      </c>
    </row>
    <row r="15" spans="1:34" s="12" customFormat="1" ht="15.75" x14ac:dyDescent="0.25">
      <c r="A15" s="47" t="s">
        <v>29</v>
      </c>
      <c r="B15" s="32" t="s">
        <v>18</v>
      </c>
      <c r="C15" s="36"/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  <c r="W15" s="83">
        <v>0</v>
      </c>
      <c r="X15" s="83">
        <v>0</v>
      </c>
      <c r="Y15" s="83">
        <v>0</v>
      </c>
      <c r="Z15" s="83">
        <v>0</v>
      </c>
      <c r="AA15" s="83">
        <v>0</v>
      </c>
      <c r="AB15" s="83">
        <v>0</v>
      </c>
      <c r="AC15" s="83">
        <v>0</v>
      </c>
      <c r="AD15" s="83">
        <v>0</v>
      </c>
      <c r="AE15" s="84">
        <v>0</v>
      </c>
      <c r="AF15" s="83">
        <v>0</v>
      </c>
      <c r="AG15" s="83">
        <v>0</v>
      </c>
      <c r="AH15" s="83">
        <v>0</v>
      </c>
    </row>
    <row r="16" spans="1:34" s="12" customFormat="1" ht="15.75" x14ac:dyDescent="0.25">
      <c r="A16" s="47" t="s">
        <v>30</v>
      </c>
      <c r="B16" s="32" t="s">
        <v>19</v>
      </c>
      <c r="C16" s="36"/>
      <c r="D16" s="83">
        <v>0</v>
      </c>
      <c r="E16" s="83">
        <v>0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  <c r="N16" s="83">
        <v>0</v>
      </c>
      <c r="O16" s="83">
        <v>0</v>
      </c>
      <c r="P16" s="83">
        <v>0</v>
      </c>
      <c r="Q16" s="83">
        <v>0</v>
      </c>
      <c r="R16" s="83">
        <v>0</v>
      </c>
      <c r="S16" s="83">
        <v>0</v>
      </c>
      <c r="T16" s="83">
        <v>0</v>
      </c>
      <c r="U16" s="83">
        <v>0</v>
      </c>
      <c r="V16" s="83">
        <v>0</v>
      </c>
      <c r="W16" s="83">
        <v>0</v>
      </c>
      <c r="X16" s="83">
        <v>0</v>
      </c>
      <c r="Y16" s="83">
        <v>0</v>
      </c>
      <c r="Z16" s="83">
        <v>0</v>
      </c>
      <c r="AA16" s="83">
        <v>0</v>
      </c>
      <c r="AB16" s="83">
        <v>0</v>
      </c>
      <c r="AC16" s="83">
        <v>0</v>
      </c>
      <c r="AD16" s="83">
        <v>0</v>
      </c>
      <c r="AE16" s="83">
        <v>0</v>
      </c>
      <c r="AF16" s="83">
        <v>0</v>
      </c>
      <c r="AG16" s="83">
        <v>0</v>
      </c>
      <c r="AH16" s="83">
        <v>0</v>
      </c>
    </row>
    <row r="17" spans="1:38" s="12" customFormat="1" ht="15.75" x14ac:dyDescent="0.25">
      <c r="A17" s="47" t="s">
        <v>31</v>
      </c>
      <c r="B17" s="32" t="s">
        <v>20</v>
      </c>
      <c r="C17" s="36"/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</v>
      </c>
      <c r="N17" s="83">
        <v>0</v>
      </c>
      <c r="O17" s="83">
        <v>0</v>
      </c>
      <c r="P17" s="83">
        <v>0</v>
      </c>
      <c r="Q17" s="83">
        <v>0</v>
      </c>
      <c r="R17" s="83">
        <v>0</v>
      </c>
      <c r="S17" s="83">
        <v>0</v>
      </c>
      <c r="T17" s="83">
        <v>0</v>
      </c>
      <c r="U17" s="83">
        <v>0</v>
      </c>
      <c r="V17" s="83">
        <v>0</v>
      </c>
      <c r="W17" s="83">
        <v>0</v>
      </c>
      <c r="X17" s="83">
        <v>0</v>
      </c>
      <c r="Y17" s="83">
        <v>0</v>
      </c>
      <c r="Z17" s="83">
        <v>0</v>
      </c>
      <c r="AA17" s="83">
        <v>0</v>
      </c>
      <c r="AB17" s="83">
        <v>0</v>
      </c>
      <c r="AC17" s="83">
        <v>0</v>
      </c>
      <c r="AD17" s="83">
        <v>0</v>
      </c>
      <c r="AE17" s="83">
        <v>0</v>
      </c>
      <c r="AF17" s="83">
        <v>0</v>
      </c>
      <c r="AG17" s="83">
        <v>0</v>
      </c>
      <c r="AH17" s="83">
        <v>0</v>
      </c>
    </row>
    <row r="18" spans="1:38" s="12" customFormat="1" ht="15.75" x14ac:dyDescent="0.25">
      <c r="A18" s="47" t="s">
        <v>32</v>
      </c>
      <c r="B18" s="32" t="s">
        <v>21</v>
      </c>
      <c r="C18" s="36"/>
      <c r="D18" s="83">
        <v>0</v>
      </c>
      <c r="E18" s="83">
        <v>0</v>
      </c>
      <c r="F18" s="83">
        <v>0</v>
      </c>
      <c r="G18" s="83">
        <v>0</v>
      </c>
      <c r="H18" s="83">
        <v>0</v>
      </c>
      <c r="I18" s="83">
        <v>0</v>
      </c>
      <c r="J18" s="83">
        <v>4.280092592592593E-2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83">
        <v>0</v>
      </c>
      <c r="R18" s="83">
        <v>0</v>
      </c>
      <c r="S18" s="83">
        <v>0</v>
      </c>
      <c r="T18" s="83">
        <v>0</v>
      </c>
      <c r="U18" s="83">
        <v>0</v>
      </c>
      <c r="V18" s="83">
        <v>3.0092592592592591E-2</v>
      </c>
      <c r="W18" s="83">
        <v>0</v>
      </c>
      <c r="X18" s="83">
        <v>0</v>
      </c>
      <c r="Y18" s="83">
        <v>0</v>
      </c>
      <c r="Z18" s="83">
        <v>0</v>
      </c>
      <c r="AA18" s="83">
        <v>0</v>
      </c>
      <c r="AB18" s="83">
        <v>0</v>
      </c>
      <c r="AC18" s="83">
        <v>0</v>
      </c>
      <c r="AD18" s="83">
        <v>0</v>
      </c>
      <c r="AE18" s="83">
        <v>0</v>
      </c>
      <c r="AF18" s="83">
        <v>0</v>
      </c>
      <c r="AG18" s="83">
        <v>3.5405092592592592E-2</v>
      </c>
      <c r="AH18" s="83">
        <v>0</v>
      </c>
      <c r="AL18" s="72"/>
    </row>
    <row r="19" spans="1:38" s="12" customFormat="1" ht="15.75" x14ac:dyDescent="0.25">
      <c r="A19" s="47" t="s">
        <v>33</v>
      </c>
      <c r="B19" s="32" t="s">
        <v>22</v>
      </c>
      <c r="C19" s="36"/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0</v>
      </c>
      <c r="P19" s="83">
        <v>0</v>
      </c>
      <c r="Q19" s="83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  <c r="W19" s="83">
        <v>0</v>
      </c>
      <c r="X19" s="83">
        <v>0</v>
      </c>
      <c r="Y19" s="83">
        <v>0</v>
      </c>
      <c r="Z19" s="83">
        <v>0</v>
      </c>
      <c r="AA19" s="83">
        <v>0</v>
      </c>
      <c r="AB19" s="83">
        <v>0</v>
      </c>
      <c r="AC19" s="83">
        <v>0</v>
      </c>
      <c r="AD19" s="83">
        <v>0</v>
      </c>
      <c r="AE19" s="83">
        <v>0</v>
      </c>
      <c r="AF19" s="83">
        <v>0</v>
      </c>
      <c r="AG19" s="83">
        <v>0</v>
      </c>
      <c r="AH19" s="83">
        <v>0</v>
      </c>
    </row>
    <row r="20" spans="1:38" s="12" customFormat="1" ht="15.75" x14ac:dyDescent="0.25">
      <c r="A20" s="47" t="s">
        <v>34</v>
      </c>
      <c r="B20" s="32" t="s">
        <v>26</v>
      </c>
      <c r="C20" s="36"/>
      <c r="D20" s="83">
        <v>0</v>
      </c>
      <c r="E20" s="83">
        <v>0</v>
      </c>
      <c r="F20" s="83">
        <v>0</v>
      </c>
      <c r="G20" s="83">
        <v>0</v>
      </c>
      <c r="H20" s="83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  <c r="Q20" s="83">
        <v>0</v>
      </c>
      <c r="R20" s="83">
        <v>0</v>
      </c>
      <c r="S20" s="83">
        <v>0</v>
      </c>
      <c r="T20" s="83">
        <v>0</v>
      </c>
      <c r="U20" s="83">
        <v>0</v>
      </c>
      <c r="V20" s="83">
        <v>0</v>
      </c>
      <c r="W20" s="83">
        <v>0</v>
      </c>
      <c r="X20" s="83">
        <v>0</v>
      </c>
      <c r="Y20" s="83">
        <v>0</v>
      </c>
      <c r="Z20" s="83">
        <v>0</v>
      </c>
      <c r="AA20" s="83">
        <v>0</v>
      </c>
      <c r="AB20" s="83">
        <v>0</v>
      </c>
      <c r="AC20" s="83">
        <v>0</v>
      </c>
      <c r="AD20" s="83">
        <v>0</v>
      </c>
      <c r="AE20" s="83">
        <v>0</v>
      </c>
      <c r="AF20" s="83">
        <v>0</v>
      </c>
      <c r="AG20" s="83">
        <v>0</v>
      </c>
      <c r="AH20" s="83">
        <v>0</v>
      </c>
    </row>
    <row r="21" spans="1:38" s="12" customFormat="1" ht="15.75" x14ac:dyDescent="0.25">
      <c r="A21" s="47" t="s">
        <v>35</v>
      </c>
      <c r="B21" s="32" t="s">
        <v>24</v>
      </c>
      <c r="C21" s="36"/>
      <c r="D21" s="83">
        <v>0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  <c r="Q21" s="83">
        <v>0</v>
      </c>
      <c r="R21" s="83">
        <v>0</v>
      </c>
      <c r="S21" s="83">
        <v>0</v>
      </c>
      <c r="T21" s="83">
        <v>0</v>
      </c>
      <c r="U21" s="83">
        <v>0</v>
      </c>
      <c r="V21" s="83">
        <v>0</v>
      </c>
      <c r="W21" s="83">
        <v>0</v>
      </c>
      <c r="X21" s="83">
        <v>0</v>
      </c>
      <c r="Y21" s="83">
        <v>0</v>
      </c>
      <c r="Z21" s="83">
        <v>0</v>
      </c>
      <c r="AA21" s="83">
        <v>0</v>
      </c>
      <c r="AB21" s="83">
        <v>0</v>
      </c>
      <c r="AC21" s="83">
        <v>0</v>
      </c>
      <c r="AD21" s="83">
        <v>0</v>
      </c>
      <c r="AE21" s="83">
        <v>0</v>
      </c>
      <c r="AF21" s="83">
        <v>0</v>
      </c>
      <c r="AG21" s="83">
        <v>0</v>
      </c>
      <c r="AH21" s="83">
        <v>0</v>
      </c>
    </row>
    <row r="22" spans="1:38" s="12" customFormat="1" ht="15.75" x14ac:dyDescent="0.25">
      <c r="A22" s="47" t="s">
        <v>36</v>
      </c>
      <c r="B22" s="48" t="s">
        <v>23</v>
      </c>
      <c r="C22" s="36"/>
      <c r="D22" s="84">
        <v>0</v>
      </c>
      <c r="E22" s="84">
        <v>0</v>
      </c>
      <c r="F22" s="84">
        <v>0</v>
      </c>
      <c r="G22" s="84">
        <v>0</v>
      </c>
      <c r="H22" s="83">
        <v>0</v>
      </c>
      <c r="I22" s="83">
        <v>0</v>
      </c>
      <c r="J22" s="83">
        <v>0</v>
      </c>
      <c r="K22" s="83">
        <v>0</v>
      </c>
      <c r="L22" s="83">
        <v>0</v>
      </c>
      <c r="M22" s="83">
        <v>0</v>
      </c>
      <c r="N22" s="83">
        <v>0</v>
      </c>
      <c r="O22" s="83">
        <v>0</v>
      </c>
      <c r="P22" s="83">
        <v>1.4074074074074074E-2</v>
      </c>
      <c r="Q22" s="83">
        <v>4.3391203703703703E-2</v>
      </c>
      <c r="R22" s="83">
        <v>0</v>
      </c>
      <c r="S22" s="84">
        <v>0</v>
      </c>
      <c r="T22" s="83">
        <v>0</v>
      </c>
      <c r="U22" s="84">
        <v>1.0219907407407408E-2</v>
      </c>
      <c r="V22" s="84">
        <v>0</v>
      </c>
      <c r="W22" s="84">
        <v>0</v>
      </c>
      <c r="X22" s="84">
        <v>0</v>
      </c>
      <c r="Y22" s="84">
        <v>0</v>
      </c>
      <c r="Z22" s="83">
        <v>0</v>
      </c>
      <c r="AA22" s="83">
        <v>0</v>
      </c>
      <c r="AB22" s="83">
        <v>0</v>
      </c>
      <c r="AC22" s="83">
        <v>0</v>
      </c>
      <c r="AD22" s="83">
        <v>0</v>
      </c>
      <c r="AE22" s="83">
        <v>0</v>
      </c>
      <c r="AF22" s="83">
        <v>0</v>
      </c>
      <c r="AG22" s="84">
        <v>0</v>
      </c>
      <c r="AH22" s="83">
        <v>0</v>
      </c>
    </row>
    <row r="23" spans="1:38" s="12" customFormat="1" ht="15.75" x14ac:dyDescent="0.25">
      <c r="A23" s="47" t="s">
        <v>38</v>
      </c>
      <c r="B23" s="48" t="s">
        <v>39</v>
      </c>
      <c r="C23" s="54"/>
      <c r="D23" s="84">
        <v>0</v>
      </c>
      <c r="E23" s="84">
        <v>0</v>
      </c>
      <c r="F23" s="84">
        <v>0</v>
      </c>
      <c r="G23" s="84">
        <v>0</v>
      </c>
      <c r="H23" s="83">
        <v>0</v>
      </c>
      <c r="I23" s="83">
        <v>0</v>
      </c>
      <c r="J23" s="83">
        <v>0</v>
      </c>
      <c r="K23" s="83">
        <v>0</v>
      </c>
      <c r="L23" s="83">
        <v>0</v>
      </c>
      <c r="M23" s="83">
        <v>7.4456018518518519E-2</v>
      </c>
      <c r="N23" s="83">
        <v>0</v>
      </c>
      <c r="O23" s="83">
        <v>0</v>
      </c>
      <c r="P23" s="83">
        <v>0</v>
      </c>
      <c r="Q23" s="83">
        <v>0</v>
      </c>
      <c r="R23" s="83">
        <v>0</v>
      </c>
      <c r="S23" s="84">
        <v>0</v>
      </c>
      <c r="T23" s="83">
        <v>0</v>
      </c>
      <c r="U23" s="84">
        <v>0</v>
      </c>
      <c r="V23" s="84">
        <v>0</v>
      </c>
      <c r="W23" s="84">
        <v>0</v>
      </c>
      <c r="X23" s="84">
        <v>0</v>
      </c>
      <c r="Y23" s="84">
        <v>0</v>
      </c>
      <c r="Z23" s="83">
        <v>0</v>
      </c>
      <c r="AA23" s="83">
        <v>0</v>
      </c>
      <c r="AB23" s="83">
        <v>0</v>
      </c>
      <c r="AC23" s="83">
        <v>7.1296296296296307E-3</v>
      </c>
      <c r="AD23" s="83">
        <v>0</v>
      </c>
      <c r="AE23" s="83">
        <v>0</v>
      </c>
      <c r="AF23" s="83">
        <v>0</v>
      </c>
      <c r="AG23" s="84">
        <v>0</v>
      </c>
      <c r="AH23" s="83">
        <v>0</v>
      </c>
    </row>
    <row r="24" spans="1:38" s="12" customFormat="1" ht="15.75" x14ac:dyDescent="0.25">
      <c r="A24" s="47" t="s">
        <v>41</v>
      </c>
      <c r="B24" s="48" t="s">
        <v>40</v>
      </c>
      <c r="C24" s="49"/>
      <c r="D24" s="84">
        <v>0</v>
      </c>
      <c r="E24" s="84">
        <v>0</v>
      </c>
      <c r="F24" s="84">
        <v>0</v>
      </c>
      <c r="G24" s="84">
        <v>0</v>
      </c>
      <c r="H24" s="83">
        <v>0</v>
      </c>
      <c r="I24" s="83">
        <v>0</v>
      </c>
      <c r="J24" s="83">
        <v>0</v>
      </c>
      <c r="K24" s="83">
        <v>0</v>
      </c>
      <c r="L24" s="83">
        <v>0</v>
      </c>
      <c r="M24" s="83">
        <v>0</v>
      </c>
      <c r="N24" s="83">
        <v>0</v>
      </c>
      <c r="O24" s="83">
        <v>0</v>
      </c>
      <c r="P24" s="83">
        <v>0</v>
      </c>
      <c r="Q24" s="83">
        <v>0</v>
      </c>
      <c r="R24" s="83">
        <v>0</v>
      </c>
      <c r="S24" s="84">
        <v>0</v>
      </c>
      <c r="T24" s="83">
        <v>0</v>
      </c>
      <c r="U24" s="84">
        <v>0</v>
      </c>
      <c r="V24" s="84">
        <v>0</v>
      </c>
      <c r="W24" s="84">
        <v>0</v>
      </c>
      <c r="X24" s="84">
        <v>0</v>
      </c>
      <c r="Y24" s="84">
        <v>0</v>
      </c>
      <c r="Z24" s="83">
        <v>0</v>
      </c>
      <c r="AA24" s="83">
        <v>0</v>
      </c>
      <c r="AB24" s="83">
        <v>0</v>
      </c>
      <c r="AC24" s="83">
        <v>0</v>
      </c>
      <c r="AD24" s="83">
        <v>0</v>
      </c>
      <c r="AE24" s="83">
        <v>0</v>
      </c>
      <c r="AF24" s="83">
        <v>0</v>
      </c>
      <c r="AG24" s="84">
        <v>0</v>
      </c>
      <c r="AH24" s="83">
        <v>0</v>
      </c>
    </row>
    <row r="25" spans="1:38" s="12" customFormat="1" ht="12.75" customHeight="1" x14ac:dyDescent="0.25">
      <c r="A25" s="47" t="s">
        <v>42</v>
      </c>
      <c r="B25" s="56" t="s">
        <v>45</v>
      </c>
      <c r="C25" s="69"/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  <c r="L25" s="83">
        <v>0</v>
      </c>
      <c r="M25" s="83">
        <v>0</v>
      </c>
      <c r="N25" s="83">
        <v>0</v>
      </c>
      <c r="O25" s="83">
        <v>0</v>
      </c>
      <c r="P25" s="83">
        <v>0</v>
      </c>
      <c r="Q25" s="83">
        <v>0</v>
      </c>
      <c r="R25" s="83">
        <v>0</v>
      </c>
      <c r="S25" s="83">
        <v>0</v>
      </c>
      <c r="T25" s="83">
        <v>0</v>
      </c>
      <c r="U25" s="83">
        <v>0</v>
      </c>
      <c r="V25" s="83">
        <v>0</v>
      </c>
      <c r="W25" s="83">
        <v>0</v>
      </c>
      <c r="X25" s="83">
        <v>0</v>
      </c>
      <c r="Y25" s="83">
        <v>0</v>
      </c>
      <c r="Z25" s="83">
        <v>0</v>
      </c>
      <c r="AA25" s="83">
        <v>0</v>
      </c>
      <c r="AB25" s="83">
        <v>0</v>
      </c>
      <c r="AC25" s="83">
        <v>0</v>
      </c>
      <c r="AD25" s="83">
        <v>0</v>
      </c>
      <c r="AE25" s="83">
        <v>0</v>
      </c>
      <c r="AF25" s="83">
        <v>0</v>
      </c>
      <c r="AG25" s="83">
        <v>0</v>
      </c>
      <c r="AH25" s="83">
        <v>0</v>
      </c>
    </row>
    <row r="26" spans="1:38" s="12" customFormat="1" ht="16.5" customHeight="1" x14ac:dyDescent="0.2">
      <c r="A26" s="55"/>
      <c r="B26" s="68"/>
      <c r="C26" s="5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66"/>
    </row>
    <row r="27" spans="1:38" s="12" customFormat="1" ht="16.5" customHeight="1" x14ac:dyDescent="0.2">
      <c r="A27" s="89"/>
      <c r="B27" s="94"/>
      <c r="C27" s="80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43"/>
    </row>
    <row r="28" spans="1:38" s="12" customFormat="1" ht="16.5" customHeight="1" x14ac:dyDescent="0.2">
      <c r="A28" s="110" t="s">
        <v>50</v>
      </c>
      <c r="B28" s="113" t="s">
        <v>49</v>
      </c>
      <c r="C28" s="76" t="s">
        <v>51</v>
      </c>
      <c r="D28" s="120" t="s">
        <v>59</v>
      </c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2"/>
      <c r="AH28" s="43"/>
    </row>
    <row r="29" spans="1:38" s="12" customFormat="1" ht="16.5" customHeight="1" x14ac:dyDescent="0.2">
      <c r="A29" s="111"/>
      <c r="B29" s="114"/>
      <c r="C29" s="71" t="s">
        <v>52</v>
      </c>
      <c r="D29" s="123" t="s">
        <v>53</v>
      </c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5"/>
      <c r="AH29" s="43"/>
    </row>
    <row r="30" spans="1:38" s="12" customFormat="1" ht="16.5" customHeight="1" x14ac:dyDescent="0.2">
      <c r="A30" s="111"/>
      <c r="B30" s="114"/>
      <c r="C30" s="76" t="s">
        <v>54</v>
      </c>
      <c r="D30" s="120" t="s">
        <v>59</v>
      </c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2"/>
      <c r="AH30" s="43"/>
    </row>
    <row r="31" spans="1:38" s="12" customFormat="1" ht="15" customHeight="1" x14ac:dyDescent="0.2">
      <c r="A31" s="111"/>
      <c r="B31" s="114"/>
      <c r="C31" s="71" t="s">
        <v>55</v>
      </c>
      <c r="D31" s="120" t="s">
        <v>59</v>
      </c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2"/>
      <c r="AH31" s="43"/>
    </row>
    <row r="32" spans="1:38" s="12" customFormat="1" ht="15" customHeight="1" x14ac:dyDescent="0.2">
      <c r="A32" s="111"/>
      <c r="B32" s="114"/>
      <c r="C32" s="76" t="s">
        <v>56</v>
      </c>
      <c r="D32" s="123" t="s">
        <v>59</v>
      </c>
      <c r="E32" s="124"/>
      <c r="F32" s="124"/>
      <c r="G32" s="124"/>
      <c r="H32" s="124"/>
      <c r="I32" s="124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5"/>
      <c r="AH32" s="43"/>
    </row>
    <row r="33" spans="1:34" s="12" customFormat="1" ht="15" customHeight="1" x14ac:dyDescent="0.2">
      <c r="A33" s="111"/>
      <c r="B33" s="114"/>
      <c r="C33" s="76" t="s">
        <v>57</v>
      </c>
      <c r="D33" s="123" t="s">
        <v>58</v>
      </c>
      <c r="E33" s="124"/>
      <c r="F33" s="124"/>
      <c r="G33" s="124"/>
      <c r="H33" s="124"/>
      <c r="I33" s="124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5"/>
      <c r="AH33" s="43"/>
    </row>
    <row r="34" spans="1:34" s="12" customFormat="1" ht="15" customHeight="1" x14ac:dyDescent="0.2">
      <c r="A34" s="111"/>
      <c r="B34" s="114"/>
      <c r="C34" s="76" t="s">
        <v>62</v>
      </c>
      <c r="D34" s="123" t="s">
        <v>53</v>
      </c>
      <c r="E34" s="124"/>
      <c r="F34" s="124"/>
      <c r="G34" s="124"/>
      <c r="H34" s="124"/>
      <c r="I34" s="124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5"/>
      <c r="AH34" s="43"/>
    </row>
    <row r="35" spans="1:34" s="12" customFormat="1" ht="15" customHeight="1" x14ac:dyDescent="0.2">
      <c r="A35" s="111"/>
      <c r="B35" s="114"/>
      <c r="C35" s="76" t="s">
        <v>60</v>
      </c>
      <c r="D35" s="123" t="s">
        <v>61</v>
      </c>
      <c r="E35" s="124"/>
      <c r="F35" s="124"/>
      <c r="G35" s="124"/>
      <c r="H35" s="124"/>
      <c r="I35" s="124"/>
      <c r="J35" s="90"/>
      <c r="K35" s="90"/>
      <c r="L35" s="90"/>
      <c r="M35" s="81"/>
      <c r="N35" s="81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67"/>
      <c r="AH35" s="43"/>
    </row>
    <row r="36" spans="1:34" s="12" customFormat="1" ht="15" customHeight="1" x14ac:dyDescent="0.2">
      <c r="A36" s="111"/>
      <c r="B36" s="114"/>
      <c r="C36" s="82"/>
      <c r="D36" s="126"/>
      <c r="E36" s="126"/>
      <c r="F36" s="126"/>
      <c r="G36" s="126"/>
      <c r="H36" s="126"/>
      <c r="I36" s="126"/>
      <c r="J36" s="90"/>
      <c r="K36" s="90"/>
      <c r="L36" s="90"/>
      <c r="M36" s="91"/>
      <c r="N36" s="91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66"/>
      <c r="AH36" s="43"/>
    </row>
    <row r="37" spans="1:34" s="12" customFormat="1" ht="15" customHeight="1" x14ac:dyDescent="0.2">
      <c r="A37" s="111"/>
      <c r="B37" s="114"/>
      <c r="C37" s="82"/>
      <c r="D37" s="127"/>
      <c r="E37" s="128"/>
      <c r="F37" s="128"/>
      <c r="G37" s="128"/>
      <c r="H37" s="128"/>
      <c r="I37" s="128"/>
      <c r="J37" s="128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5"/>
      <c r="AH37" s="43"/>
    </row>
    <row r="38" spans="1:34" s="12" customFormat="1" ht="15" customHeight="1" x14ac:dyDescent="0.2">
      <c r="A38" s="112"/>
      <c r="B38" s="115"/>
      <c r="C38" s="82"/>
      <c r="D38" s="90"/>
      <c r="E38" s="90"/>
      <c r="F38" s="90"/>
      <c r="G38" s="90"/>
      <c r="H38" s="90"/>
      <c r="I38" s="90"/>
      <c r="J38" s="90"/>
      <c r="K38" s="90"/>
      <c r="L38" s="90"/>
      <c r="M38" s="91"/>
      <c r="N38" s="91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66"/>
      <c r="AH38" s="43"/>
    </row>
    <row r="39" spans="1:34" s="12" customFormat="1" ht="15" x14ac:dyDescent="0.2">
      <c r="A39" s="79"/>
      <c r="B39" s="79"/>
      <c r="C39" s="80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15"/>
      <c r="AB39" s="31"/>
    </row>
    <row r="40" spans="1:34" s="12" customFormat="1" ht="15" x14ac:dyDescent="0.2">
      <c r="A40" s="13"/>
      <c r="B40" s="42"/>
      <c r="C40" s="4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15"/>
      <c r="AB40" s="31"/>
    </row>
    <row r="41" spans="1:34" s="12" customFormat="1" x14ac:dyDescent="0.2">
      <c r="A41" s="13"/>
      <c r="D41" s="77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AB41" s="31"/>
    </row>
    <row r="42" spans="1:34" s="12" customFormat="1" x14ac:dyDescent="0.2">
      <c r="A42" s="23" t="s">
        <v>12</v>
      </c>
      <c r="D42" s="14"/>
      <c r="E42" s="15"/>
      <c r="F42" s="15"/>
      <c r="G42" s="15"/>
      <c r="H42" s="15"/>
      <c r="I42" s="15"/>
      <c r="J42" s="15"/>
      <c r="K42" s="58"/>
      <c r="L42" s="58"/>
      <c r="M42" s="15"/>
      <c r="O42" s="15"/>
      <c r="AB42" s="31"/>
    </row>
    <row r="43" spans="1:34" s="12" customFormat="1" x14ac:dyDescent="0.2">
      <c r="A43" s="108" t="s">
        <v>2</v>
      </c>
      <c r="B43" s="108" t="s">
        <v>9</v>
      </c>
      <c r="C43" s="108" t="s">
        <v>1</v>
      </c>
      <c r="D43" s="118" t="s">
        <v>7</v>
      </c>
      <c r="E43" s="119"/>
      <c r="F43" s="15"/>
      <c r="G43" s="15"/>
      <c r="H43" s="15"/>
      <c r="I43" s="15"/>
      <c r="J43" s="15"/>
      <c r="K43" s="59"/>
      <c r="L43" s="59"/>
      <c r="M43" s="15"/>
      <c r="O43" s="15"/>
      <c r="AB43" s="31"/>
    </row>
    <row r="44" spans="1:34" s="12" customFormat="1" x14ac:dyDescent="0.2">
      <c r="A44" s="109"/>
      <c r="B44" s="109"/>
      <c r="C44" s="109"/>
      <c r="D44" s="27" t="s">
        <v>10</v>
      </c>
      <c r="E44" s="22" t="s">
        <v>11</v>
      </c>
      <c r="F44" s="97"/>
      <c r="G44" s="98"/>
      <c r="H44" s="97"/>
      <c r="I44" s="97"/>
      <c r="J44" s="97"/>
      <c r="K44" s="97"/>
      <c r="L44" s="97"/>
      <c r="M44" s="97"/>
      <c r="N44" s="97"/>
      <c r="O44" s="97"/>
      <c r="AB44" s="31"/>
    </row>
    <row r="45" spans="1:34" s="12" customFormat="1" ht="15.75" x14ac:dyDescent="0.25">
      <c r="A45" s="40" t="s">
        <v>37</v>
      </c>
      <c r="B45" s="32" t="s">
        <v>47</v>
      </c>
      <c r="C45" s="37">
        <f t="shared" ref="C45:C53" si="0">1-(((D45*3600)+(LEFT(E45,2)*60)+RIGHT(E45,2))/((60*60*24)*$C$8))</f>
        <v>1</v>
      </c>
      <c r="D45" s="20" t="str">
        <f t="shared" ref="D45:D57" si="1">TEXT(SUM(D13:AG13),"[h]")</f>
        <v>0</v>
      </c>
      <c r="E45" s="20" t="str">
        <f t="shared" ref="E45:E57" si="2">TEXT(SUM(D13:AG13),"mm ss")</f>
        <v>00 00</v>
      </c>
      <c r="F45" s="97"/>
      <c r="G45" s="99"/>
      <c r="H45" s="97"/>
      <c r="I45" s="97"/>
      <c r="J45" s="97"/>
      <c r="K45" s="97"/>
      <c r="L45" s="97"/>
      <c r="M45" s="100"/>
      <c r="N45" s="97"/>
      <c r="O45" s="97"/>
      <c r="AB45" s="31"/>
    </row>
    <row r="46" spans="1:34" s="12" customFormat="1" ht="15.75" x14ac:dyDescent="0.25">
      <c r="A46" s="40" t="s">
        <v>28</v>
      </c>
      <c r="B46" s="32" t="s">
        <v>25</v>
      </c>
      <c r="C46" s="37">
        <f t="shared" si="0"/>
        <v>1</v>
      </c>
      <c r="D46" s="20" t="str">
        <f t="shared" si="1"/>
        <v>0</v>
      </c>
      <c r="E46" s="20" t="str">
        <f t="shared" si="2"/>
        <v>00 00</v>
      </c>
      <c r="F46" s="116"/>
      <c r="G46" s="116"/>
      <c r="H46" s="116"/>
      <c r="I46" s="116"/>
      <c r="J46" s="116"/>
      <c r="K46" s="116"/>
      <c r="L46" s="116"/>
      <c r="M46" s="116"/>
      <c r="N46" s="116"/>
      <c r="O46" s="97"/>
    </row>
    <row r="47" spans="1:34" s="12" customFormat="1" ht="15.75" x14ac:dyDescent="0.25">
      <c r="A47" s="40" t="s">
        <v>29</v>
      </c>
      <c r="B47" s="51" t="s">
        <v>18</v>
      </c>
      <c r="C47" s="37">
        <f t="shared" si="0"/>
        <v>1</v>
      </c>
      <c r="D47" s="20" t="str">
        <f t="shared" si="1"/>
        <v>0</v>
      </c>
      <c r="E47" s="20" t="str">
        <f t="shared" si="2"/>
        <v>00 00</v>
      </c>
      <c r="F47" s="97"/>
      <c r="G47" s="102"/>
      <c r="H47" s="102"/>
      <c r="I47" s="102"/>
      <c r="J47" s="102"/>
      <c r="K47" s="102"/>
      <c r="L47" s="102"/>
      <c r="M47" s="102"/>
      <c r="N47" s="102"/>
      <c r="O47" s="98"/>
    </row>
    <row r="48" spans="1:34" s="12" customFormat="1" ht="15.75" x14ac:dyDescent="0.25">
      <c r="A48" s="40" t="s">
        <v>30</v>
      </c>
      <c r="B48" s="32" t="s">
        <v>19</v>
      </c>
      <c r="C48" s="37">
        <f t="shared" si="0"/>
        <v>1</v>
      </c>
      <c r="D48" s="20" t="str">
        <f t="shared" si="1"/>
        <v>0</v>
      </c>
      <c r="E48" s="20" t="str">
        <f t="shared" si="2"/>
        <v>00 00</v>
      </c>
      <c r="F48" s="97"/>
      <c r="G48" s="103"/>
      <c r="H48" s="103"/>
      <c r="I48" s="103"/>
      <c r="J48" s="103"/>
      <c r="K48" s="103"/>
      <c r="L48" s="103"/>
      <c r="M48" s="103"/>
      <c r="N48" s="103"/>
      <c r="O48" s="103"/>
    </row>
    <row r="49" spans="1:34" s="12" customFormat="1" ht="15.75" x14ac:dyDescent="0.25">
      <c r="A49" s="40" t="s">
        <v>31</v>
      </c>
      <c r="B49" s="32" t="s">
        <v>20</v>
      </c>
      <c r="C49" s="37">
        <f t="shared" si="0"/>
        <v>1</v>
      </c>
      <c r="D49" s="20" t="str">
        <f t="shared" si="1"/>
        <v>0</v>
      </c>
      <c r="E49" s="20" t="str">
        <f t="shared" si="2"/>
        <v>00 00</v>
      </c>
      <c r="F49" s="97"/>
      <c r="G49" s="102"/>
      <c r="H49" s="102"/>
      <c r="I49" s="102"/>
      <c r="J49" s="102"/>
      <c r="K49" s="102"/>
      <c r="L49" s="102"/>
      <c r="M49" s="102"/>
      <c r="N49" s="102"/>
      <c r="O49" s="102"/>
    </row>
    <row r="50" spans="1:34" s="12" customFormat="1" ht="15.75" x14ac:dyDescent="0.25">
      <c r="A50" s="40" t="s">
        <v>32</v>
      </c>
      <c r="B50" s="32" t="s">
        <v>21</v>
      </c>
      <c r="C50" s="37">
        <f t="shared" si="0"/>
        <v>0.9965064964157706</v>
      </c>
      <c r="D50" s="20" t="str">
        <f t="shared" si="1"/>
        <v>2</v>
      </c>
      <c r="E50" s="20" t="str">
        <f t="shared" si="2"/>
        <v>35 57</v>
      </c>
      <c r="F50" s="97"/>
      <c r="G50" s="102"/>
      <c r="H50" s="102"/>
      <c r="I50" s="102"/>
      <c r="J50" s="102"/>
      <c r="K50" s="102"/>
      <c r="L50" s="102"/>
      <c r="M50" s="102"/>
      <c r="N50" s="102"/>
      <c r="O50" s="102"/>
    </row>
    <row r="51" spans="1:34" s="12" customFormat="1" ht="15.75" x14ac:dyDescent="0.25">
      <c r="A51" s="40" t="s">
        <v>33</v>
      </c>
      <c r="B51" s="32" t="s">
        <v>27</v>
      </c>
      <c r="C51" s="37">
        <f t="shared" si="0"/>
        <v>1</v>
      </c>
      <c r="D51" s="20" t="str">
        <f t="shared" si="1"/>
        <v>0</v>
      </c>
      <c r="E51" s="20" t="str">
        <f t="shared" si="2"/>
        <v>00 00</v>
      </c>
      <c r="F51" s="15"/>
      <c r="G51" s="96"/>
      <c r="H51" s="70"/>
      <c r="I51" s="70"/>
      <c r="J51" s="70"/>
      <c r="K51" s="70"/>
      <c r="L51" s="70"/>
      <c r="M51" s="70"/>
      <c r="N51" s="70"/>
      <c r="O51" s="70"/>
    </row>
    <row r="52" spans="1:34" s="16" customFormat="1" ht="15.75" x14ac:dyDescent="0.25">
      <c r="A52" s="40" t="s">
        <v>34</v>
      </c>
      <c r="B52" s="32" t="s">
        <v>26</v>
      </c>
      <c r="C52" s="37">
        <f t="shared" si="0"/>
        <v>1</v>
      </c>
      <c r="D52" s="20" t="str">
        <f t="shared" si="1"/>
        <v>0</v>
      </c>
      <c r="E52" s="20" t="str">
        <f t="shared" si="2"/>
        <v>00 00</v>
      </c>
      <c r="F52" s="15"/>
      <c r="G52" s="96"/>
      <c r="H52" s="70"/>
      <c r="I52" s="70"/>
      <c r="J52" s="70"/>
      <c r="K52" s="70"/>
      <c r="L52" s="70"/>
      <c r="M52" s="70"/>
      <c r="N52" s="70"/>
      <c r="O52" s="101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.75" x14ac:dyDescent="0.25">
      <c r="A53" s="40" t="s">
        <v>35</v>
      </c>
      <c r="B53" s="32" t="s">
        <v>24</v>
      </c>
      <c r="C53" s="37">
        <f t="shared" si="0"/>
        <v>1</v>
      </c>
      <c r="D53" s="20" t="str">
        <f t="shared" si="1"/>
        <v>0</v>
      </c>
      <c r="E53" s="20" t="str">
        <f t="shared" si="2"/>
        <v>00 00</v>
      </c>
      <c r="F53" s="15"/>
      <c r="G53" s="96"/>
      <c r="H53" s="70"/>
      <c r="I53" s="70"/>
      <c r="J53" s="70"/>
      <c r="K53" s="70"/>
      <c r="L53" s="70"/>
      <c r="M53" s="70"/>
      <c r="N53" s="70"/>
      <c r="O53" s="101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spans="1:34" ht="15.75" x14ac:dyDescent="0.25">
      <c r="A54" s="40" t="s">
        <v>36</v>
      </c>
      <c r="B54" s="32" t="s">
        <v>23</v>
      </c>
      <c r="C54" s="33">
        <f>1-(((D54*3600)+(LEFT(E54,2)*60)+RIGHT(E54,2))/((60*60*24)*$C$8))</f>
        <v>0.99781660692951013</v>
      </c>
      <c r="D54" s="20" t="str">
        <f t="shared" si="1"/>
        <v>1</v>
      </c>
      <c r="E54" s="20" t="str">
        <f t="shared" si="2"/>
        <v>37 28</v>
      </c>
      <c r="F54" s="15"/>
      <c r="G54" s="96"/>
      <c r="H54" s="70"/>
      <c r="I54" s="70"/>
      <c r="J54" s="70"/>
      <c r="K54" s="70"/>
      <c r="L54" s="70"/>
      <c r="M54" s="70"/>
      <c r="N54" s="70"/>
      <c r="O54" s="101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spans="1:34" ht="15.75" x14ac:dyDescent="0.25">
      <c r="A55" s="40" t="s">
        <v>38</v>
      </c>
      <c r="B55" s="32" t="s">
        <v>43</v>
      </c>
      <c r="C55" s="33">
        <f t="shared" ref="C55:C57" si="3">1-(((D55*3600)+(LEFT(E55,2)*60)+RIGHT(E55,2))/((60*60*24)*$C$8))</f>
        <v>0.9973682048984468</v>
      </c>
      <c r="D55" s="20" t="str">
        <f t="shared" si="1"/>
        <v>1</v>
      </c>
      <c r="E55" s="20" t="str">
        <f t="shared" si="2"/>
        <v>57 29</v>
      </c>
      <c r="F55" s="15"/>
      <c r="G55" s="21"/>
      <c r="H55" s="15"/>
      <c r="I55" s="15"/>
      <c r="J55" s="15"/>
      <c r="K55" s="15"/>
      <c r="L55" s="15"/>
      <c r="M55" s="15"/>
      <c r="N55" s="15"/>
      <c r="O55" s="61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spans="1:34" ht="15.75" x14ac:dyDescent="0.25">
      <c r="A56" s="40" t="s">
        <v>41</v>
      </c>
      <c r="B56" s="32" t="s">
        <v>44</v>
      </c>
      <c r="C56" s="33">
        <f t="shared" si="3"/>
        <v>1</v>
      </c>
      <c r="D56" s="20" t="str">
        <f t="shared" si="1"/>
        <v>0</v>
      </c>
      <c r="E56" s="20" t="str">
        <f t="shared" si="2"/>
        <v>00 00</v>
      </c>
      <c r="F56" s="15"/>
      <c r="G56" s="21"/>
      <c r="H56" s="15"/>
      <c r="I56" s="15"/>
      <c r="J56" s="15"/>
      <c r="K56" s="15"/>
      <c r="L56" s="15"/>
      <c r="M56" s="15"/>
      <c r="N56" s="15"/>
      <c r="O56" s="62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6"/>
      <c r="AH56" s="16"/>
    </row>
    <row r="57" spans="1:34" ht="15.75" x14ac:dyDescent="0.25">
      <c r="A57" s="60" t="s">
        <v>42</v>
      </c>
      <c r="B57" s="32" t="s">
        <v>46</v>
      </c>
      <c r="C57" s="33">
        <f t="shared" si="3"/>
        <v>1</v>
      </c>
      <c r="D57" s="20" t="str">
        <f t="shared" si="1"/>
        <v>0</v>
      </c>
      <c r="E57" s="20" t="str">
        <f t="shared" si="2"/>
        <v>00 00</v>
      </c>
      <c r="F57" s="15"/>
      <c r="G57" s="21"/>
      <c r="H57" s="15"/>
      <c r="I57" s="15"/>
      <c r="J57" s="15"/>
      <c r="K57" s="15"/>
      <c r="L57" s="61"/>
      <c r="M57" s="61"/>
      <c r="N57" s="61"/>
      <c r="O57" s="63"/>
    </row>
    <row r="58" spans="1:34" ht="15.75" x14ac:dyDescent="0.25">
      <c r="A58" s="50"/>
      <c r="B58" s="51"/>
      <c r="C58" s="52"/>
      <c r="D58" s="53"/>
      <c r="E58" s="53"/>
      <c r="F58" s="15"/>
      <c r="G58" s="21"/>
      <c r="H58" s="15"/>
      <c r="I58" s="15"/>
      <c r="J58" s="15"/>
      <c r="K58" s="15"/>
      <c r="L58" s="61"/>
      <c r="M58" s="61"/>
      <c r="N58" s="61"/>
      <c r="O58" s="63"/>
    </row>
    <row r="59" spans="1:34" x14ac:dyDescent="0.2">
      <c r="A59" s="13"/>
      <c r="B59" s="12"/>
      <c r="C59" s="26"/>
      <c r="D59" s="25"/>
      <c r="E59" s="15"/>
      <c r="F59" s="15"/>
      <c r="G59" s="15"/>
      <c r="H59" s="15"/>
      <c r="I59" s="15"/>
      <c r="J59" s="15"/>
      <c r="K59" s="15"/>
      <c r="L59" s="61"/>
      <c r="M59" s="61"/>
      <c r="N59" s="61"/>
      <c r="O59" s="63"/>
    </row>
    <row r="60" spans="1:34" x14ac:dyDescent="0.2">
      <c r="A60" s="13"/>
      <c r="B60" s="12"/>
      <c r="C60" s="12"/>
      <c r="D60" s="14"/>
      <c r="E60" s="15"/>
      <c r="F60" s="15"/>
      <c r="G60" s="15"/>
      <c r="H60" s="15"/>
      <c r="I60" s="15"/>
      <c r="J60" s="15"/>
      <c r="K60" s="15"/>
      <c r="L60" s="61"/>
      <c r="M60" s="61"/>
      <c r="N60" s="61"/>
      <c r="O60" s="63"/>
    </row>
    <row r="61" spans="1:34" x14ac:dyDescent="0.2">
      <c r="A61" s="14"/>
      <c r="B61" s="24" t="s">
        <v>13</v>
      </c>
      <c r="C61" s="19"/>
      <c r="D61" s="18"/>
      <c r="E61" s="18"/>
      <c r="F61" s="18"/>
      <c r="G61" s="18"/>
      <c r="H61" s="18"/>
      <c r="I61" s="18"/>
      <c r="J61" s="18"/>
      <c r="K61" s="18"/>
      <c r="L61" s="62"/>
      <c r="M61" s="62"/>
      <c r="N61" s="62"/>
      <c r="O61" s="63"/>
    </row>
    <row r="62" spans="1:34" x14ac:dyDescent="0.2">
      <c r="A62"/>
      <c r="B62" s="12" t="s">
        <v>16</v>
      </c>
      <c r="C62" s="27">
        <f>(SUM(C45:C57))/(100%*13)</f>
        <v>0.99936086986490202</v>
      </c>
      <c r="G62" s="38"/>
      <c r="L62" s="63"/>
      <c r="M62" s="63"/>
      <c r="N62" s="63"/>
      <c r="O62" s="63"/>
    </row>
    <row r="63" spans="1:34" x14ac:dyDescent="0.2">
      <c r="C63" s="73"/>
      <c r="L63" s="63"/>
      <c r="M63" s="63"/>
      <c r="N63" s="63"/>
    </row>
    <row r="64" spans="1:34" x14ac:dyDescent="0.2">
      <c r="B64" s="87"/>
      <c r="C64" s="73"/>
      <c r="L64" s="63"/>
      <c r="M64" s="63"/>
      <c r="N64" s="63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spans="1:32" x14ac:dyDescent="0.2">
      <c r="B65" s="88"/>
      <c r="C65" s="73"/>
      <c r="L65" s="63"/>
      <c r="M65" s="63"/>
      <c r="N65" s="63"/>
    </row>
    <row r="66" spans="1:32" x14ac:dyDescent="0.2">
      <c r="B66" s="88"/>
      <c r="C66" s="73"/>
      <c r="L66" s="63"/>
      <c r="M66" s="63"/>
      <c r="N66" s="63"/>
    </row>
    <row r="67" spans="1:32" x14ac:dyDescent="0.2">
      <c r="B67" s="12"/>
      <c r="C67" s="73"/>
      <c r="L67" s="63"/>
      <c r="M67" s="63"/>
      <c r="N67" s="63"/>
    </row>
    <row r="68" spans="1:32" x14ac:dyDescent="0.2">
      <c r="B68" s="85"/>
      <c r="C68" s="73"/>
      <c r="D68" s="75"/>
      <c r="E68" s="74"/>
    </row>
    <row r="69" spans="1:32" x14ac:dyDescent="0.2">
      <c r="A69"/>
      <c r="B69" s="85"/>
      <c r="C69" s="73"/>
      <c r="D69" s="75"/>
    </row>
    <row r="70" spans="1:32" x14ac:dyDescent="0.2">
      <c r="B70" s="85"/>
      <c r="C70" s="73"/>
      <c r="D70" s="75"/>
    </row>
    <row r="71" spans="1:32" x14ac:dyDescent="0.2">
      <c r="B71" s="85"/>
      <c r="C71" s="73"/>
      <c r="D71" s="75"/>
    </row>
    <row r="72" spans="1:32" x14ac:dyDescent="0.2">
      <c r="B72" s="85"/>
      <c r="C72" s="73"/>
      <c r="D72" s="75"/>
      <c r="O72" s="29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x14ac:dyDescent="0.2">
      <c r="B73" s="73"/>
      <c r="C73" s="73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B74" s="85"/>
      <c r="C74" s="73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B75" s="85"/>
      <c r="C75" s="73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x14ac:dyDescent="0.2">
      <c r="B76" s="85"/>
      <c r="C76" s="73"/>
    </row>
    <row r="77" spans="1:32" x14ac:dyDescent="0.2">
      <c r="A77"/>
      <c r="B77" s="85"/>
      <c r="C77" s="73"/>
      <c r="E77" s="28"/>
      <c r="F77" s="29"/>
      <c r="G77" s="29"/>
      <c r="H77" s="29"/>
      <c r="I77" s="29"/>
      <c r="J77" s="29"/>
      <c r="K77" s="29"/>
      <c r="L77" s="29"/>
      <c r="M77" s="29"/>
      <c r="N77" s="29"/>
    </row>
    <row r="78" spans="1:32" x14ac:dyDescent="0.2">
      <c r="A78"/>
      <c r="B78" s="85"/>
      <c r="C78" s="73"/>
      <c r="E78" s="28"/>
      <c r="F78" s="29"/>
      <c r="G78" s="29"/>
      <c r="H78" s="29"/>
      <c r="I78" s="29"/>
      <c r="J78" s="29"/>
      <c r="K78" s="29"/>
      <c r="L78" s="29"/>
      <c r="M78" s="29"/>
      <c r="N78" s="29"/>
    </row>
    <row r="79" spans="1:32" x14ac:dyDescent="0.2">
      <c r="A79"/>
      <c r="B79" s="85"/>
      <c r="C79" s="73"/>
      <c r="E79" s="28"/>
      <c r="F79" s="29"/>
      <c r="G79" s="29"/>
      <c r="H79" s="29"/>
      <c r="I79" s="29"/>
      <c r="J79" s="29"/>
      <c r="K79" s="29"/>
      <c r="L79" s="29"/>
      <c r="M79" s="29"/>
      <c r="N79" s="29"/>
    </row>
    <row r="80" spans="1:32" x14ac:dyDescent="0.2">
      <c r="A80"/>
      <c r="B80" s="85"/>
      <c r="C80" s="73"/>
      <c r="D80"/>
      <c r="E80" s="28"/>
      <c r="F80" s="29"/>
      <c r="G80" s="29"/>
      <c r="H80" s="29"/>
      <c r="I80" s="29"/>
      <c r="J80" s="29"/>
      <c r="K80" s="29"/>
      <c r="L80" s="29"/>
      <c r="M80" s="29"/>
      <c r="N80" s="29"/>
    </row>
    <row r="81" spans="2:2" x14ac:dyDescent="0.2">
      <c r="B81" s="78"/>
    </row>
  </sheetData>
  <mergeCells count="26">
    <mergeCell ref="D35:I35"/>
    <mergeCell ref="D36:I36"/>
    <mergeCell ref="D37:J37"/>
    <mergeCell ref="D32:I32"/>
    <mergeCell ref="D31:AG31"/>
    <mergeCell ref="D28:AG28"/>
    <mergeCell ref="D29:AG29"/>
    <mergeCell ref="D30:AG30"/>
    <mergeCell ref="D33:I33"/>
    <mergeCell ref="D34:I34"/>
    <mergeCell ref="G47:N47"/>
    <mergeCell ref="G48:O48"/>
    <mergeCell ref="G49:O49"/>
    <mergeCell ref="G50:O50"/>
    <mergeCell ref="A10:A11"/>
    <mergeCell ref="B10:B11"/>
    <mergeCell ref="C10:C11"/>
    <mergeCell ref="A43:A44"/>
    <mergeCell ref="B43:B44"/>
    <mergeCell ref="C43:C44"/>
    <mergeCell ref="A28:A38"/>
    <mergeCell ref="B28:B38"/>
    <mergeCell ref="F46:N46"/>
    <mergeCell ref="D26:AG26"/>
    <mergeCell ref="D43:E43"/>
    <mergeCell ref="D27:AG27"/>
  </mergeCells>
  <phoneticPr fontId="9" type="noConversion"/>
  <conditionalFormatting sqref="D15:F15 G21 S21 D13:D21 S17 D18:G18 D17:E17 U17 U21:Y21 W17">
    <cfRule type="cellIs" dxfId="99" priority="302" stopIfTrue="1" operator="greaterThan">
      <formula>0</formula>
    </cfRule>
  </conditionalFormatting>
  <conditionalFormatting sqref="I15:M15">
    <cfRule type="cellIs" dxfId="98" priority="301" stopIfTrue="1" operator="greaterThan">
      <formula>0</formula>
    </cfRule>
  </conditionalFormatting>
  <conditionalFormatting sqref="W18:Y18 O15:S15 S18 AB15:AD15 U18 U15:Z15">
    <cfRule type="cellIs" dxfId="97" priority="300" stopIfTrue="1" operator="greaterThan">
      <formula>0</formula>
    </cfRule>
  </conditionalFormatting>
  <conditionalFormatting sqref="G15">
    <cfRule type="cellIs" dxfId="96" priority="294" stopIfTrue="1" operator="greaterThan">
      <formula>0</formula>
    </cfRule>
  </conditionalFormatting>
  <conditionalFormatting sqref="H15">
    <cfRule type="cellIs" dxfId="95" priority="287" stopIfTrue="1" operator="greaterThan">
      <formula>0</formula>
    </cfRule>
  </conditionalFormatting>
  <conditionalFormatting sqref="V18">
    <cfRule type="cellIs" dxfId="94" priority="281" stopIfTrue="1" operator="greaterThan">
      <formula>0</formula>
    </cfRule>
  </conditionalFormatting>
  <conditionalFormatting sqref="AF15">
    <cfRule type="cellIs" dxfId="93" priority="278" stopIfTrue="1" operator="greaterThan">
      <formula>0</formula>
    </cfRule>
  </conditionalFormatting>
  <conditionalFormatting sqref="D14:F14">
    <cfRule type="cellIs" dxfId="92" priority="272" stopIfTrue="1" operator="greaterThan">
      <formula>0</formula>
    </cfRule>
  </conditionalFormatting>
  <conditionalFormatting sqref="I14:M14">
    <cfRule type="cellIs" dxfId="91" priority="271" stopIfTrue="1" operator="greaterThan">
      <formula>0</formula>
    </cfRule>
  </conditionalFormatting>
  <conditionalFormatting sqref="O14:S14 AB14:AD14 U14:Z14">
    <cfRule type="cellIs" dxfId="90" priority="270" stopIfTrue="1" operator="greaterThan">
      <formula>0</formula>
    </cfRule>
  </conditionalFormatting>
  <conditionalFormatting sqref="G14">
    <cfRule type="cellIs" dxfId="89" priority="269" stopIfTrue="1" operator="greaterThan">
      <formula>0</formula>
    </cfRule>
  </conditionalFormatting>
  <conditionalFormatting sqref="H14">
    <cfRule type="cellIs" dxfId="88" priority="267" stopIfTrue="1" operator="greaterThan">
      <formula>0</formula>
    </cfRule>
  </conditionalFormatting>
  <conditionalFormatting sqref="AF14">
    <cfRule type="cellIs" dxfId="87" priority="266" stopIfTrue="1" operator="greaterThan">
      <formula>0</formula>
    </cfRule>
  </conditionalFormatting>
  <conditionalFormatting sqref="D13:F13">
    <cfRule type="cellIs" dxfId="86" priority="256" stopIfTrue="1" operator="greaterThan">
      <formula>0</formula>
    </cfRule>
  </conditionalFormatting>
  <conditionalFormatting sqref="D16:E16">
    <cfRule type="cellIs" dxfId="85" priority="248" stopIfTrue="1" operator="greaterThan">
      <formula>0</formula>
    </cfRule>
  </conditionalFormatting>
  <conditionalFormatting sqref="I13:M13">
    <cfRule type="cellIs" dxfId="84" priority="255" stopIfTrue="1" operator="greaterThan">
      <formula>0</formula>
    </cfRule>
  </conditionalFormatting>
  <conditionalFormatting sqref="O13:S13 AB13:AD13 U13:Z13">
    <cfRule type="cellIs" dxfId="83" priority="254" stopIfTrue="1" operator="greaterThan">
      <formula>0</formula>
    </cfRule>
  </conditionalFormatting>
  <conditionalFormatting sqref="G13">
    <cfRule type="cellIs" dxfId="82" priority="253" stopIfTrue="1" operator="greaterThan">
      <formula>0</formula>
    </cfRule>
  </conditionalFormatting>
  <conditionalFormatting sqref="H13">
    <cfRule type="cellIs" dxfId="81" priority="251" stopIfTrue="1" operator="greaterThan">
      <formula>0</formula>
    </cfRule>
  </conditionalFormatting>
  <conditionalFormatting sqref="AF13">
    <cfRule type="cellIs" dxfId="80" priority="250" stopIfTrue="1" operator="greaterThan">
      <formula>0</formula>
    </cfRule>
  </conditionalFormatting>
  <conditionalFormatting sqref="S19 U18:Y19 U17 U20:X20 W17">
    <cfRule type="cellIs" dxfId="79" priority="226" stopIfTrue="1" operator="greaterThan">
      <formula>0</formula>
    </cfRule>
  </conditionalFormatting>
  <conditionalFormatting sqref="D19:F19">
    <cfRule type="cellIs" dxfId="78" priority="228" stopIfTrue="1" operator="greaterThan">
      <formula>0</formula>
    </cfRule>
  </conditionalFormatting>
  <conditionalFormatting sqref="G19">
    <cfRule type="cellIs" dxfId="77" priority="225" stopIfTrue="1" operator="greaterThan">
      <formula>0</formula>
    </cfRule>
  </conditionalFormatting>
  <conditionalFormatting sqref="U16">
    <cfRule type="cellIs" dxfId="76" priority="203" stopIfTrue="1" operator="greaterThan">
      <formula>0</formula>
    </cfRule>
  </conditionalFormatting>
  <conditionalFormatting sqref="D20">
    <cfRule type="cellIs" dxfId="75" priority="214" stopIfTrue="1" operator="greaterThan">
      <formula>0</formula>
    </cfRule>
  </conditionalFormatting>
  <conditionalFormatting sqref="V19">
    <cfRule type="cellIs" dxfId="74" priority="220" stopIfTrue="1" operator="greaterThan">
      <formula>0</formula>
    </cfRule>
  </conditionalFormatting>
  <conditionalFormatting sqref="G20 U20:V20">
    <cfRule type="cellIs" dxfId="73" priority="217" stopIfTrue="1" operator="greaterThan">
      <formula>0</formula>
    </cfRule>
  </conditionalFormatting>
  <conditionalFormatting sqref="W20">
    <cfRule type="cellIs" dxfId="72" priority="216" stopIfTrue="1" operator="greaterThan">
      <formula>0</formula>
    </cfRule>
  </conditionalFormatting>
  <conditionalFormatting sqref="W16">
    <cfRule type="cellIs" dxfId="71" priority="201" stopIfTrue="1" operator="greaterThan">
      <formula>0</formula>
    </cfRule>
  </conditionalFormatting>
  <conditionalFormatting sqref="S16">
    <cfRule type="cellIs" dxfId="70" priority="205" stopIfTrue="1" operator="greaterThan">
      <formula>0</formula>
    </cfRule>
  </conditionalFormatting>
  <conditionalFormatting sqref="X16">
    <cfRule type="cellIs" dxfId="69" priority="200" stopIfTrue="1" operator="greaterThan">
      <formula>0</formula>
    </cfRule>
  </conditionalFormatting>
  <conditionalFormatting sqref="Y16">
    <cfRule type="cellIs" dxfId="68" priority="199" stopIfTrue="1" operator="greaterThan">
      <formula>0</formula>
    </cfRule>
  </conditionalFormatting>
  <conditionalFormatting sqref="D22:G24 S22:S24 U22:Y24">
    <cfRule type="cellIs" dxfId="67" priority="151" stopIfTrue="1" operator="greaterThan">
      <formula>0</formula>
    </cfRule>
  </conditionalFormatting>
  <conditionalFormatting sqref="AG13">
    <cfRule type="cellIs" dxfId="66" priority="141" stopIfTrue="1" operator="greaterThan">
      <formula>0</formula>
    </cfRule>
  </conditionalFormatting>
  <conditionalFormatting sqref="AG13">
    <cfRule type="cellIs" dxfId="65" priority="132" stopIfTrue="1" operator="greaterThan">
      <formula>0</formula>
    </cfRule>
  </conditionalFormatting>
  <conditionalFormatting sqref="AG21 AG17:AG18">
    <cfRule type="cellIs" dxfId="64" priority="145" stopIfTrue="1" operator="greaterThan">
      <formula>0</formula>
    </cfRule>
  </conditionalFormatting>
  <conditionalFormatting sqref="AG15">
    <cfRule type="cellIs" dxfId="63" priority="144" stopIfTrue="1" operator="greaterThan">
      <formula>0</formula>
    </cfRule>
  </conditionalFormatting>
  <conditionalFormatting sqref="AG14">
    <cfRule type="cellIs" dxfId="62" priority="143" stopIfTrue="1" operator="greaterThan">
      <formula>0</formula>
    </cfRule>
  </conditionalFormatting>
  <conditionalFormatting sqref="AG19">
    <cfRule type="cellIs" dxfId="61" priority="140" stopIfTrue="1" operator="greaterThan">
      <formula>0</formula>
    </cfRule>
  </conditionalFormatting>
  <conditionalFormatting sqref="AG16">
    <cfRule type="cellIs" dxfId="60" priority="138" stopIfTrue="1" operator="greaterThan">
      <formula>0</formula>
    </cfRule>
  </conditionalFormatting>
  <conditionalFormatting sqref="AG21 AG17:AG18">
    <cfRule type="cellIs" dxfId="59" priority="136" stopIfTrue="1" operator="greaterThan">
      <formula>0</formula>
    </cfRule>
  </conditionalFormatting>
  <conditionalFormatting sqref="AG15">
    <cfRule type="cellIs" dxfId="58" priority="135" stopIfTrue="1" operator="greaterThan">
      <formula>0</formula>
    </cfRule>
  </conditionalFormatting>
  <conditionalFormatting sqref="AG14">
    <cfRule type="cellIs" dxfId="57" priority="134" stopIfTrue="1" operator="greaterThan">
      <formula>0</formula>
    </cfRule>
  </conditionalFormatting>
  <conditionalFormatting sqref="AG19">
    <cfRule type="cellIs" dxfId="56" priority="131" stopIfTrue="1" operator="greaterThan">
      <formula>0</formula>
    </cfRule>
  </conditionalFormatting>
  <conditionalFormatting sqref="AG16">
    <cfRule type="cellIs" dxfId="55" priority="129" stopIfTrue="1" operator="greaterThan">
      <formula>0</formula>
    </cfRule>
  </conditionalFormatting>
  <conditionalFormatting sqref="AF13">
    <cfRule type="cellIs" dxfId="54" priority="123" stopIfTrue="1" operator="greaterThan">
      <formula>0</formula>
    </cfRule>
  </conditionalFormatting>
  <conditionalFormatting sqref="AF15">
    <cfRule type="cellIs" dxfId="53" priority="126" stopIfTrue="1" operator="greaterThan">
      <formula>0</formula>
    </cfRule>
  </conditionalFormatting>
  <conditionalFormatting sqref="AF14">
    <cfRule type="cellIs" dxfId="52" priority="125" stopIfTrue="1" operator="greaterThan">
      <formula>0</formula>
    </cfRule>
  </conditionalFormatting>
  <conditionalFormatting sqref="D25:G25 S25 U25:Y25">
    <cfRule type="cellIs" dxfId="51" priority="118" stopIfTrue="1" operator="greaterThan">
      <formula>0</formula>
    </cfRule>
  </conditionalFormatting>
  <conditionalFormatting sqref="AG25">
    <cfRule type="cellIs" dxfId="50" priority="116" stopIfTrue="1" operator="greaterThan">
      <formula>0</formula>
    </cfRule>
  </conditionalFormatting>
  <conditionalFormatting sqref="AG25">
    <cfRule type="cellIs" dxfId="49" priority="115" stopIfTrue="1" operator="greaterThan">
      <formula>0</formula>
    </cfRule>
  </conditionalFormatting>
  <conditionalFormatting sqref="AH13:AH25">
    <cfRule type="cellIs" dxfId="48" priority="91" stopIfTrue="1" operator="greaterThan">
      <formula>0</formula>
    </cfRule>
  </conditionalFormatting>
  <conditionalFormatting sqref="AG22:AG24">
    <cfRule type="cellIs" dxfId="47" priority="110" stopIfTrue="1" operator="greaterThan">
      <formula>0</formula>
    </cfRule>
  </conditionalFormatting>
  <conditionalFormatting sqref="E21:F21">
    <cfRule type="cellIs" dxfId="46" priority="109" stopIfTrue="1" operator="greaterThan">
      <formula>0</formula>
    </cfRule>
  </conditionalFormatting>
  <conditionalFormatting sqref="E20:F20">
    <cfRule type="cellIs" dxfId="45" priority="108" stopIfTrue="1" operator="greaterThan">
      <formula>0</formula>
    </cfRule>
  </conditionalFormatting>
  <conditionalFormatting sqref="X20">
    <cfRule type="cellIs" dxfId="44" priority="105" stopIfTrue="1" operator="greaterThan">
      <formula>0</formula>
    </cfRule>
  </conditionalFormatting>
  <conditionalFormatting sqref="K42">
    <cfRule type="cellIs" dxfId="43" priority="104" stopIfTrue="1" operator="greaterThan">
      <formula>0</formula>
    </cfRule>
  </conditionalFormatting>
  <conditionalFormatting sqref="L42">
    <cfRule type="cellIs" dxfId="42" priority="103" stopIfTrue="1" operator="greaterThan">
      <formula>0</formula>
    </cfRule>
  </conditionalFormatting>
  <conditionalFormatting sqref="AH13:AH25">
    <cfRule type="cellIs" dxfId="41" priority="92" stopIfTrue="1" operator="greaterThan">
      <formula>0</formula>
    </cfRule>
  </conditionalFormatting>
  <conditionalFormatting sqref="AL18">
    <cfRule type="cellIs" dxfId="40" priority="90" stopIfTrue="1" operator="greaterThan">
      <formula>0</formula>
    </cfRule>
  </conditionalFormatting>
  <conditionalFormatting sqref="AL18">
    <cfRule type="cellIs" dxfId="39" priority="89" stopIfTrue="1" operator="greaterThan">
      <formula>0</formula>
    </cfRule>
  </conditionalFormatting>
  <conditionalFormatting sqref="AA13:AA15">
    <cfRule type="cellIs" dxfId="38" priority="88" stopIfTrue="1" operator="greaterThan">
      <formula>0</formula>
    </cfRule>
  </conditionalFormatting>
  <conditionalFormatting sqref="N13:N15">
    <cfRule type="cellIs" dxfId="37" priority="70" stopIfTrue="1" operator="greaterThan">
      <formula>0</formula>
    </cfRule>
  </conditionalFormatting>
  <conditionalFormatting sqref="X17">
    <cfRule type="cellIs" dxfId="36" priority="50" stopIfTrue="1" operator="greaterThan">
      <formula>0</formula>
    </cfRule>
  </conditionalFormatting>
  <conditionalFormatting sqref="H21:R22 I18:R19 I20:J20 O20:R20 H25:R25 H23:I24 K23:R24 I16:L17 N16:N17 P16:R17">
    <cfRule type="cellIs" dxfId="35" priority="68" stopIfTrue="1" operator="greaterThan">
      <formula>0</formula>
    </cfRule>
  </conditionalFormatting>
  <conditionalFormatting sqref="AG20">
    <cfRule type="cellIs" dxfId="34" priority="66" stopIfTrue="1" operator="greaterThan">
      <formula>0</formula>
    </cfRule>
  </conditionalFormatting>
  <conditionalFormatting sqref="D17:E17">
    <cfRule type="cellIs" dxfId="33" priority="65" stopIfTrue="1" operator="greaterThan">
      <formula>0</formula>
    </cfRule>
  </conditionalFormatting>
  <conditionalFormatting sqref="D17:E17">
    <cfRule type="cellIs" dxfId="32" priority="64" stopIfTrue="1" operator="greaterThan">
      <formula>0</formula>
    </cfRule>
  </conditionalFormatting>
  <conditionalFormatting sqref="G17">
    <cfRule type="cellIs" dxfId="31" priority="60" stopIfTrue="1" operator="greaterThan">
      <formula>0</formula>
    </cfRule>
  </conditionalFormatting>
  <conditionalFormatting sqref="T13:T25">
    <cfRule type="cellIs" dxfId="30" priority="56" stopIfTrue="1" operator="greaterThan">
      <formula>0</formula>
    </cfRule>
  </conditionalFormatting>
  <conditionalFormatting sqref="X20">
    <cfRule type="cellIs" dxfId="29" priority="26" stopIfTrue="1" operator="greaterThan">
      <formula>0</formula>
    </cfRule>
  </conditionalFormatting>
  <conditionalFormatting sqref="K20">
    <cfRule type="cellIs" dxfId="28" priority="38" stopIfTrue="1" operator="greaterThan">
      <formula>0</formula>
    </cfRule>
  </conditionalFormatting>
  <conditionalFormatting sqref="G16">
    <cfRule type="cellIs" dxfId="27" priority="42" stopIfTrue="1" operator="greaterThan">
      <formula>0</formula>
    </cfRule>
  </conditionalFormatting>
  <conditionalFormatting sqref="H16:H20">
    <cfRule type="cellIs" dxfId="26" priority="40" stopIfTrue="1" operator="greaterThan">
      <formula>0</formula>
    </cfRule>
  </conditionalFormatting>
  <conditionalFormatting sqref="S20">
    <cfRule type="cellIs" dxfId="25" priority="34" stopIfTrue="1" operator="greaterThan">
      <formula>0</formula>
    </cfRule>
  </conditionalFormatting>
  <conditionalFormatting sqref="L20:N20">
    <cfRule type="cellIs" dxfId="24" priority="36" stopIfTrue="1" operator="greaterThan">
      <formula>0</formula>
    </cfRule>
  </conditionalFormatting>
  <conditionalFormatting sqref="V20">
    <cfRule type="cellIs" dxfId="23" priority="33" stopIfTrue="1" operator="greaterThan">
      <formula>0</formula>
    </cfRule>
  </conditionalFormatting>
  <conditionalFormatting sqref="V20">
    <cfRule type="cellIs" dxfId="22" priority="32" stopIfTrue="1" operator="greaterThan">
      <formula>0</formula>
    </cfRule>
  </conditionalFormatting>
  <conditionalFormatting sqref="AE13:AE15">
    <cfRule type="cellIs" dxfId="21" priority="30" stopIfTrue="1" operator="greaterThan">
      <formula>0</formula>
    </cfRule>
  </conditionalFormatting>
  <conditionalFormatting sqref="Y17">
    <cfRule type="cellIs" dxfId="20" priority="29" stopIfTrue="1" operator="greaterThan">
      <formula>0</formula>
    </cfRule>
  </conditionalFormatting>
  <conditionalFormatting sqref="Y20">
    <cfRule type="cellIs" dxfId="19" priority="28" stopIfTrue="1" operator="greaterThan">
      <formula>0</formula>
    </cfRule>
  </conditionalFormatting>
  <conditionalFormatting sqref="X20">
    <cfRule type="cellIs" dxfId="18" priority="27" stopIfTrue="1" operator="greaterThan">
      <formula>0</formula>
    </cfRule>
  </conditionalFormatting>
  <conditionalFormatting sqref="F16:F17">
    <cfRule type="cellIs" dxfId="17" priority="21" stopIfTrue="1" operator="greaterThan">
      <formula>0</formula>
    </cfRule>
  </conditionalFormatting>
  <conditionalFormatting sqref="F16:F17">
    <cfRule type="cellIs" dxfId="16" priority="20" stopIfTrue="1" operator="greaterThan">
      <formula>0</formula>
    </cfRule>
  </conditionalFormatting>
  <conditionalFormatting sqref="F16:F17">
    <cfRule type="cellIs" dxfId="15" priority="19" stopIfTrue="1" operator="greaterThan">
      <formula>0</formula>
    </cfRule>
  </conditionalFormatting>
  <conditionalFormatting sqref="J23:J24">
    <cfRule type="cellIs" dxfId="14" priority="18" stopIfTrue="1" operator="greaterThan">
      <formula>0</formula>
    </cfRule>
  </conditionalFormatting>
  <conditionalFormatting sqref="J23:J24">
    <cfRule type="cellIs" dxfId="13" priority="17" stopIfTrue="1" operator="greaterThan">
      <formula>0</formula>
    </cfRule>
  </conditionalFormatting>
  <conditionalFormatting sqref="J23:J24">
    <cfRule type="cellIs" dxfId="12" priority="16" stopIfTrue="1" operator="greaterThan">
      <formula>0</formula>
    </cfRule>
  </conditionalFormatting>
  <conditionalFormatting sqref="M16:M17">
    <cfRule type="cellIs" dxfId="11" priority="15" stopIfTrue="1" operator="greaterThan">
      <formula>0</formula>
    </cfRule>
  </conditionalFormatting>
  <conditionalFormatting sqref="M16:M17">
    <cfRule type="cellIs" dxfId="10" priority="14" stopIfTrue="1" operator="greaterThan">
      <formula>0</formula>
    </cfRule>
  </conditionalFormatting>
  <conditionalFormatting sqref="M16:M17">
    <cfRule type="cellIs" dxfId="9" priority="13" stopIfTrue="1" operator="greaterThan">
      <formula>0</formula>
    </cfRule>
  </conditionalFormatting>
  <conditionalFormatting sqref="O16:O17">
    <cfRule type="cellIs" dxfId="8" priority="12" stopIfTrue="1" operator="greaterThan">
      <formula>0</formula>
    </cfRule>
  </conditionalFormatting>
  <conditionalFormatting sqref="O16:O17">
    <cfRule type="cellIs" dxfId="7" priority="11" stopIfTrue="1" operator="greaterThan">
      <formula>0</formula>
    </cfRule>
  </conditionalFormatting>
  <conditionalFormatting sqref="O16:O17">
    <cfRule type="cellIs" dxfId="6" priority="10" stopIfTrue="1" operator="greaterThan">
      <formula>0</formula>
    </cfRule>
  </conditionalFormatting>
  <conditionalFormatting sqref="V16:V17">
    <cfRule type="cellIs" dxfId="5" priority="9" stopIfTrue="1" operator="greaterThan">
      <formula>0</formula>
    </cfRule>
  </conditionalFormatting>
  <conditionalFormatting sqref="V16:V17">
    <cfRule type="cellIs" dxfId="4" priority="8" stopIfTrue="1" operator="greaterThan">
      <formula>0</formula>
    </cfRule>
  </conditionalFormatting>
  <conditionalFormatting sqref="V16:V17">
    <cfRule type="cellIs" dxfId="3" priority="7" stopIfTrue="1" operator="greaterThan">
      <formula>0</formula>
    </cfRule>
  </conditionalFormatting>
  <conditionalFormatting sqref="Z16:AF25">
    <cfRule type="cellIs" dxfId="2" priority="3" stopIfTrue="1" operator="greaterThan">
      <formula>0</formula>
    </cfRule>
  </conditionalFormatting>
  <conditionalFormatting sqref="Z16:AF25">
    <cfRule type="cellIs" dxfId="1" priority="2" stopIfTrue="1" operator="greaterThan">
      <formula>0</formula>
    </cfRule>
  </conditionalFormatting>
  <conditionalFormatting sqref="Z16:AF25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2023-11-02T03:56:45Z</dcterms:modified>
</cp:coreProperties>
</file>