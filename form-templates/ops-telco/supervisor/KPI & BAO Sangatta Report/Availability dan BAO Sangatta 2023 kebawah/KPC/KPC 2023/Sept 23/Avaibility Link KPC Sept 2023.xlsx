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definedNames>
    <definedName name="_xlnm.Print_Area" localSheetId="0">'Avaibility ALU'!$A$1:$AG$64</definedName>
  </definedNames>
  <calcPr calcId="144525"/>
</workbook>
</file>

<file path=xl/calcChain.xml><?xml version="1.0" encoding="utf-8"?>
<calcChain xmlns="http://schemas.openxmlformats.org/spreadsheetml/2006/main">
  <c r="E54" i="11" l="1"/>
  <c r="D54" i="11"/>
  <c r="C54" i="11" l="1"/>
  <c r="D53" i="11"/>
  <c r="D52" i="11"/>
  <c r="D43" i="11"/>
  <c r="D42" i="11"/>
  <c r="E52" i="11" l="1"/>
  <c r="E53" i="11"/>
  <c r="E51" i="11"/>
  <c r="C52" i="11" l="1"/>
  <c r="C53" i="11"/>
  <c r="D51" i="11"/>
  <c r="C51" i="11" s="1"/>
  <c r="E42" i="11"/>
  <c r="C42" i="11" s="1"/>
  <c r="E43" i="11"/>
  <c r="C43" i="11" s="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C46" i="11" l="1"/>
  <c r="C50" i="11"/>
  <c r="C48" i="11"/>
  <c r="C44" i="11"/>
  <c r="C49" i="11"/>
  <c r="C47" i="11"/>
  <c r="C45" i="11"/>
  <c r="C59" i="11" l="1"/>
</calcChain>
</file>

<file path=xl/sharedStrings.xml><?xml version="1.0" encoding="utf-8"?>
<sst xmlns="http://schemas.openxmlformats.org/spreadsheetml/2006/main" count="112" uniqueCount="57">
  <si>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</si>
  <si>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</si>
  <si>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</si>
  <si>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</si>
  <si>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</si>
  <si>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</si>
  <si>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</si>
  <si>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</si>
  <si>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</si>
  <si>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</si>
  <si>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</si>
  <si>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</si>
  <si>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</si>
  <si>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</si>
  <si>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</si>
  <si>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</si>
  <si>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</si>
  <si>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</si>
  <si>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</si>
  <si>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</si>
  <si>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</si>
  <si>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</si>
  <si>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</si>
  <si>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</si>
  <si>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</si>
  <si>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</si>
  <si>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</si>
  <si>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</si>
  <si>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</si>
  <si>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</si>
  <si>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</si>
  <si>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</si>
  <si>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</si>
  <si>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</si>
  <si>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</si>
  <si>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</si>
  <si>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</si>
  <si>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</si>
  <si>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</si>
  <si>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</si>
  <si>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</si>
  <si>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</si>
  <si>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</si>
  <si>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</si>
  <si>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</si>
  <si>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</si>
  <si>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</si>
  <si>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</si>
  <si>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</si>
  <si>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>14</t>
  </si>
  <si>
    <t>Remaks</t>
  </si>
  <si>
    <t xml:space="preserve">      Card IDU Broken</t>
  </si>
  <si>
    <t xml:space="preserve">      Card IDU Broken,Replaced IDU at Surya Tower</t>
  </si>
  <si>
    <t xml:space="preserve">      High RSL ( bad weather )</t>
  </si>
  <si>
    <t xml:space="preserve">      Electrical problem in coms P11 ( ATS Short )</t>
  </si>
  <si>
    <t xml:space="preserve">      Intermitten ( saat pointing NEC )</t>
  </si>
  <si>
    <t xml:space="preserve">      Over heat ( AC Mati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</si>
</sst>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98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4" fontId="38" fillId="0" borderId="0" xfId="0" applyFont="1" applyAlignment="1">
      <alignment horizontal="center"/>
    </xf>
    <xf numFmtId="164" fontId="0" fillId="0" borderId="1" xfId="0" applyBorder="1"/>
    <xf numFmtId="49" fontId="6" fillId="0" borderId="22" xfId="0" applyNumberFormat="1" applyFont="1" applyBorder="1" applyAlignment="1">
      <alignment horizontal="center"/>
    </xf>
    <xf numFmtId="164" fontId="35" fillId="0" borderId="23" xfId="0" applyFont="1" applyFill="1" applyBorder="1"/>
    <xf numFmtId="164" fontId="37" fillId="0" borderId="23" xfId="0" applyFont="1" applyBorder="1" applyAlignment="1">
      <alignment vertical="center"/>
    </xf>
    <xf numFmtId="46" fontId="0" fillId="0" borderId="23" xfId="0" applyNumberFormat="1" applyBorder="1"/>
    <xf numFmtId="164" fontId="6" fillId="33" borderId="0" xfId="0" applyFont="1" applyFill="1"/>
    <xf numFmtId="164" fontId="36" fillId="0" borderId="0" xfId="0" applyFont="1" applyBorder="1" applyAlignment="1">
      <alignment horizontal="center" vertical="center" wrapText="1"/>
    </xf>
    <xf numFmtId="164" fontId="6" fillId="0" borderId="0" xfId="0" applyFont="1" applyAlignment="1">
      <alignment vertical="center"/>
    </xf>
    <xf numFmtId="1" fontId="6" fillId="0" borderId="24" xfId="0" applyNumberFormat="1" applyFont="1" applyBorder="1" applyAlignment="1">
      <alignment horizontal="center" vertical="center"/>
    </xf>
    <xf numFmtId="164" fontId="36" fillId="0" borderId="24" xfId="0" applyFont="1" applyBorder="1" applyAlignment="1">
      <alignment vertical="center"/>
    </xf>
    <xf numFmtId="164" fontId="37" fillId="0" borderId="24" xfId="0" applyFont="1" applyBorder="1" applyAlignment="1">
      <alignment vertical="center"/>
    </xf>
    <xf numFmtId="165" fontId="8" fillId="0" borderId="1" xfId="0" applyNumberFormat="1" applyFont="1" applyBorder="1" applyAlignment="1">
      <alignment horizontal="center" vertical="center"/>
    </xf>
    <xf numFmtId="164" fontId="6" fillId="0" borderId="0" xfId="0" applyFont="1" applyBorder="1" applyAlignment="1">
      <alignment horizontal="left" vertical="center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/>
    </xf>
    <xf numFmtId="16" fontId="8" fillId="0" borderId="26" xfId="0" applyNumberFormat="1" applyFont="1" applyBorder="1" applyAlignment="1">
      <alignment horizontal="center"/>
    </xf>
    <xf numFmtId="164" fontId="0" fillId="0" borderId="5" xfId="0" applyBorder="1"/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7" fillId="0" borderId="24" xfId="0" applyFont="1" applyBorder="1" applyAlignment="1">
      <alignment horizontal="center" vertic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164" fontId="36" fillId="0" borderId="3" xfId="0" applyFont="1" applyBorder="1" applyAlignment="1">
      <alignment horizontal="center" vertical="center"/>
    </xf>
    <xf numFmtId="164" fontId="36" fillId="0" borderId="27" xfId="0" applyFont="1" applyBorder="1" applyAlignment="1">
      <alignment horizontal="center" vertical="center"/>
    </xf>
    <xf numFmtId="164" fontId="36" fillId="0" borderId="5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7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75"/>
  <sheetViews>
    <sheetView tabSelected="1" zoomScaleNormal="100" workbookViewId="0">
      <pane xSplit="2" ySplit="11" topLeftCell="M12" activePane="bottomRight" state="frozen"/>
      <selection pane="topRight" activeCell="C1" sqref="C1"/>
      <selection pane="bottomLeft" activeCell="A12" sqref="A12"/>
      <selection pane="bottomRight" activeCell="H42" sqref="H4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2" width="11.28515625" customWidth="1"/>
    <col min="33" max="33" width="10.140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45170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88" t="s">
        <v>2</v>
      </c>
      <c r="B10" s="90" t="s">
        <v>0</v>
      </c>
      <c r="C10" s="90" t="s">
        <v>8</v>
      </c>
      <c r="D10" s="46">
        <v>44440</v>
      </c>
      <c r="E10" s="46">
        <v>44441</v>
      </c>
      <c r="F10" s="46">
        <v>44442</v>
      </c>
      <c r="G10" s="46">
        <v>44443</v>
      </c>
      <c r="H10" s="46">
        <v>44444</v>
      </c>
      <c r="I10" s="46">
        <v>44445</v>
      </c>
      <c r="J10" s="46">
        <v>44446</v>
      </c>
      <c r="K10" s="46">
        <v>44447</v>
      </c>
      <c r="L10" s="46">
        <v>44448</v>
      </c>
      <c r="M10" s="46">
        <v>44449</v>
      </c>
      <c r="N10" s="46">
        <v>44450</v>
      </c>
      <c r="O10" s="46">
        <v>44451</v>
      </c>
      <c r="P10" s="46">
        <v>44452</v>
      </c>
      <c r="Q10" s="46">
        <v>44453</v>
      </c>
      <c r="R10" s="46">
        <v>44454</v>
      </c>
      <c r="S10" s="46">
        <v>44455</v>
      </c>
      <c r="T10" s="46">
        <v>44456</v>
      </c>
      <c r="U10" s="46">
        <v>44457</v>
      </c>
      <c r="V10" s="46">
        <v>44458</v>
      </c>
      <c r="W10" s="46">
        <v>44459</v>
      </c>
      <c r="X10" s="46">
        <v>44460</v>
      </c>
      <c r="Y10" s="46">
        <v>44461</v>
      </c>
      <c r="Z10" s="46">
        <v>44462</v>
      </c>
      <c r="AA10" s="46">
        <v>44463</v>
      </c>
      <c r="AB10" s="46">
        <v>44464</v>
      </c>
      <c r="AC10" s="46">
        <v>44465</v>
      </c>
      <c r="AD10" s="46">
        <v>44466</v>
      </c>
      <c r="AE10" s="46">
        <v>44467</v>
      </c>
      <c r="AF10" s="46">
        <v>44468</v>
      </c>
      <c r="AG10" s="79">
        <v>44469</v>
      </c>
    </row>
    <row r="11" spans="1:33" s="1" customFormat="1" x14ac:dyDescent="0.2">
      <c r="A11" s="89"/>
      <c r="B11" s="91"/>
      <c r="C11" s="91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3"/>
      <c r="AG12" s="80"/>
    </row>
    <row r="13" spans="1:33" s="12" customFormat="1" ht="15.75" x14ac:dyDescent="0.25">
      <c r="A13" s="48" t="s">
        <v>37</v>
      </c>
      <c r="B13" s="32" t="s">
        <v>17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20">
        <v>0</v>
      </c>
    </row>
    <row r="14" spans="1:33" s="12" customFormat="1" ht="15.75" x14ac:dyDescent="0.25">
      <c r="A14" s="48" t="s">
        <v>28</v>
      </c>
      <c r="B14" s="32" t="s">
        <v>25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20">
        <v>0</v>
      </c>
    </row>
    <row r="15" spans="1:33" s="12" customFormat="1" ht="15.75" x14ac:dyDescent="0.25">
      <c r="A15" s="48" t="s">
        <v>29</v>
      </c>
      <c r="B15" s="32" t="s">
        <v>18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20">
        <v>0</v>
      </c>
    </row>
    <row r="16" spans="1:33" s="12" customFormat="1" ht="15.75" x14ac:dyDescent="0.25">
      <c r="A16" s="48" t="s">
        <v>30</v>
      </c>
      <c r="B16" s="32" t="s">
        <v>19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0.16666666666666666</v>
      </c>
      <c r="K16" s="37">
        <v>0.375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8" t="s">
        <v>31</v>
      </c>
      <c r="B17" s="32" t="s">
        <v>20</v>
      </c>
      <c r="C17" s="36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3" s="12" customFormat="1" ht="15.75" x14ac:dyDescent="0.25">
      <c r="A18" s="48" t="s">
        <v>32</v>
      </c>
      <c r="B18" s="32" t="s">
        <v>21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4.3668981481481482E-2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2.1238425925925924E-2</v>
      </c>
    </row>
    <row r="19" spans="1:33" s="12" customFormat="1" ht="15.75" x14ac:dyDescent="0.25">
      <c r="A19" s="48" t="s">
        <v>33</v>
      </c>
      <c r="B19" s="32" t="s">
        <v>22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8" t="s">
        <v>34</v>
      </c>
      <c r="B20" s="32" t="s">
        <v>26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3.2847222222222222E-2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8" t="s">
        <v>35</v>
      </c>
      <c r="B21" s="32" t="s">
        <v>24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0.15972222222222224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8" t="s">
        <v>36</v>
      </c>
      <c r="B22" s="49" t="s">
        <v>23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2.8125000000000001E-2</v>
      </c>
      <c r="U22" s="51">
        <v>7.0601851851851841E-3</v>
      </c>
      <c r="V22" s="51">
        <v>0</v>
      </c>
      <c r="W22" s="51">
        <v>5.8796296296296296E-3</v>
      </c>
      <c r="X22" s="51">
        <v>0</v>
      </c>
      <c r="Y22" s="51">
        <v>0</v>
      </c>
      <c r="Z22" s="51">
        <v>8.2986111111111108E-3</v>
      </c>
      <c r="AA22" s="51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</row>
    <row r="23" spans="1:33" s="12" customFormat="1" ht="15.75" x14ac:dyDescent="0.25">
      <c r="A23" s="48" t="s">
        <v>38</v>
      </c>
      <c r="B23" s="49" t="s">
        <v>39</v>
      </c>
      <c r="C23" s="36"/>
      <c r="D23" s="51">
        <v>0</v>
      </c>
      <c r="E23" s="51">
        <v>0</v>
      </c>
      <c r="F23" s="51">
        <v>0</v>
      </c>
      <c r="G23" s="37">
        <v>0</v>
      </c>
      <c r="H23" s="51">
        <v>0</v>
      </c>
      <c r="I23" s="51">
        <v>0</v>
      </c>
      <c r="J23" s="51">
        <v>0</v>
      </c>
      <c r="K23" s="37">
        <v>0</v>
      </c>
      <c r="L23" s="37">
        <v>0</v>
      </c>
      <c r="M23" s="51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spans="1:33" s="12" customFormat="1" ht="15.75" x14ac:dyDescent="0.25">
      <c r="A24" s="48" t="s">
        <v>41</v>
      </c>
      <c r="B24" s="49" t="s">
        <v>40</v>
      </c>
      <c r="C24" s="50"/>
      <c r="D24" s="51">
        <v>0</v>
      </c>
      <c r="E24" s="51">
        <v>0</v>
      </c>
      <c r="F24" s="51">
        <v>0</v>
      </c>
      <c r="G24" s="37">
        <v>0</v>
      </c>
      <c r="H24" s="51">
        <v>0</v>
      </c>
      <c r="I24" s="37">
        <v>0</v>
      </c>
      <c r="J24" s="51">
        <v>0</v>
      </c>
      <c r="K24" s="37">
        <v>0</v>
      </c>
      <c r="L24" s="37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</row>
    <row r="25" spans="1:33" s="12" customFormat="1" ht="14.25" customHeight="1" thickBot="1" x14ac:dyDescent="0.3">
      <c r="A25" s="64" t="s">
        <v>42</v>
      </c>
      <c r="B25" s="65" t="s">
        <v>45</v>
      </c>
      <c r="C25" s="66"/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37">
        <v>0</v>
      </c>
      <c r="O25" s="67">
        <v>0</v>
      </c>
      <c r="P25" s="67">
        <v>0</v>
      </c>
      <c r="Q25" s="67">
        <v>0</v>
      </c>
      <c r="R25" s="67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</row>
    <row r="26" spans="1:33" s="12" customFormat="1" ht="16.5" customHeight="1" x14ac:dyDescent="0.2">
      <c r="A26" s="71"/>
      <c r="B26" s="72"/>
      <c r="C26" s="73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7"/>
    </row>
    <row r="27" spans="1:33" s="12" customFormat="1" ht="16.5" customHeight="1" x14ac:dyDescent="0.2">
      <c r="A27" s="92" t="s">
        <v>49</v>
      </c>
      <c r="B27" s="95" t="s">
        <v>50</v>
      </c>
      <c r="C27" s="74">
        <v>45176</v>
      </c>
      <c r="D27" s="85" t="s">
        <v>51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</row>
    <row r="28" spans="1:33" s="12" customFormat="1" ht="16.5" customHeight="1" x14ac:dyDescent="0.2">
      <c r="A28" s="93"/>
      <c r="B28" s="96"/>
      <c r="C28" s="74">
        <v>45177</v>
      </c>
      <c r="D28" s="85" t="s">
        <v>52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</row>
    <row r="29" spans="1:33" s="12" customFormat="1" ht="16.5" customHeight="1" x14ac:dyDescent="0.2">
      <c r="A29" s="93"/>
      <c r="B29" s="96"/>
      <c r="C29" s="74">
        <v>45181</v>
      </c>
      <c r="D29" s="85" t="s">
        <v>53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</row>
    <row r="30" spans="1:33" s="12" customFormat="1" ht="16.5" customHeight="1" x14ac:dyDescent="0.2">
      <c r="A30" s="93"/>
      <c r="B30" s="96"/>
      <c r="C30" s="74">
        <v>45181</v>
      </c>
      <c r="D30" s="85" t="s">
        <v>54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</row>
    <row r="31" spans="1:33" s="12" customFormat="1" ht="16.5" customHeight="1" x14ac:dyDescent="0.2">
      <c r="A31" s="93"/>
      <c r="B31" s="96"/>
      <c r="C31" s="74">
        <v>45186</v>
      </c>
      <c r="D31" s="85" t="s">
        <v>55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</row>
    <row r="32" spans="1:33" s="12" customFormat="1" ht="16.5" customHeight="1" x14ac:dyDescent="0.2">
      <c r="A32" s="93"/>
      <c r="B32" s="96"/>
      <c r="C32" s="74">
        <v>45187</v>
      </c>
      <c r="D32" s="85" t="s">
        <v>55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</row>
    <row r="33" spans="1:38" s="12" customFormat="1" ht="16.5" customHeight="1" x14ac:dyDescent="0.2">
      <c r="A33" s="93"/>
      <c r="B33" s="96"/>
      <c r="C33" s="74">
        <v>45189</v>
      </c>
      <c r="D33" s="85" t="s">
        <v>55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</row>
    <row r="34" spans="1:38" s="12" customFormat="1" ht="16.5" customHeight="1" x14ac:dyDescent="0.2">
      <c r="A34" s="93"/>
      <c r="B34" s="96"/>
      <c r="C34" s="74">
        <v>45192</v>
      </c>
      <c r="D34" s="85" t="s">
        <v>55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</row>
    <row r="35" spans="1:38" s="12" customFormat="1" ht="15" x14ac:dyDescent="0.2">
      <c r="A35" s="94"/>
      <c r="B35" s="97"/>
      <c r="C35" s="78">
        <v>45199</v>
      </c>
      <c r="D35" s="85" t="s">
        <v>56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77"/>
      <c r="AI35" s="77"/>
      <c r="AJ35" s="77"/>
    </row>
    <row r="36" spans="1:38" s="12" customFormat="1" ht="15" x14ac:dyDescent="0.2">
      <c r="A36" s="69"/>
      <c r="B36" s="69"/>
      <c r="C36" s="76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8" s="12" customFormat="1" ht="15" x14ac:dyDescent="0.2">
      <c r="A37" s="13"/>
      <c r="B37" s="4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4"/>
      <c r="AK37" s="75"/>
      <c r="AL37" s="75"/>
    </row>
    <row r="38" spans="1:38" s="12" customFormat="1" x14ac:dyDescent="0.2">
      <c r="A38" s="13"/>
      <c r="D38" s="14"/>
      <c r="E38" s="15"/>
      <c r="F38" s="15"/>
      <c r="G38" s="15"/>
      <c r="H38" s="15"/>
      <c r="I38" s="70"/>
      <c r="J38" s="15"/>
      <c r="K38" s="15"/>
      <c r="L38" s="15"/>
      <c r="M38" s="15"/>
      <c r="N38" s="15"/>
      <c r="O38" s="15"/>
    </row>
    <row r="39" spans="1:38" s="12" customFormat="1" x14ac:dyDescent="0.2">
      <c r="A39" s="23" t="s">
        <v>12</v>
      </c>
      <c r="D39" s="14"/>
      <c r="E39" s="15"/>
      <c r="F39" s="15"/>
      <c r="G39" s="15"/>
      <c r="H39" s="1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</row>
    <row r="40" spans="1:38" s="12" customFormat="1" x14ac:dyDescent="0.2">
      <c r="A40" s="81" t="s">
        <v>2</v>
      </c>
      <c r="B40" s="81" t="s">
        <v>9</v>
      </c>
      <c r="C40" s="81" t="s">
        <v>1</v>
      </c>
      <c r="D40" s="83" t="s">
        <v>7</v>
      </c>
      <c r="E40" s="84"/>
      <c r="F40" s="15"/>
      <c r="G40" s="15"/>
      <c r="H40" s="15"/>
      <c r="I40" s="15"/>
      <c r="J40" s="15"/>
      <c r="K40" s="56"/>
      <c r="L40" s="56"/>
      <c r="M40" s="15"/>
      <c r="O40" s="15"/>
      <c r="AB40" s="31"/>
    </row>
    <row r="41" spans="1:38" s="12" customFormat="1" x14ac:dyDescent="0.2">
      <c r="A41" s="82"/>
      <c r="B41" s="82"/>
      <c r="C41" s="82"/>
      <c r="D41" s="27" t="s">
        <v>10</v>
      </c>
      <c r="E41" s="22" t="s">
        <v>11</v>
      </c>
      <c r="F41" s="15"/>
      <c r="G41" s="15"/>
      <c r="H41" s="15"/>
      <c r="I41" s="15"/>
      <c r="J41" s="15"/>
      <c r="K41" s="15"/>
      <c r="L41" s="15"/>
      <c r="M41" s="15"/>
      <c r="O41" s="15"/>
      <c r="AB41" s="31"/>
    </row>
    <row r="42" spans="1:38" s="12" customFormat="1" ht="15.75" x14ac:dyDescent="0.25">
      <c r="A42" s="41" t="s">
        <v>37</v>
      </c>
      <c r="B42" s="32" t="s">
        <v>48</v>
      </c>
      <c r="C42" s="38">
        <f t="shared" ref="C42:C50" si="0">1-(((D42*3600)+(LEFT(E42,2)*60)+RIGHT(E42,2))/((60*60*24)*$C$8))</f>
        <v>1</v>
      </c>
      <c r="D42" s="20" t="str">
        <f t="shared" ref="D42:D54" si="1">TEXT(SUM(D13:AG13),"[h]")</f>
        <v>0</v>
      </c>
      <c r="E42" s="20" t="str">
        <f t="shared" ref="E42:E54" si="2">TEXT(SUM(D13:AG13),"mm ss")</f>
        <v>00 00</v>
      </c>
      <c r="F42" s="15"/>
      <c r="G42" s="21"/>
      <c r="H42" s="15"/>
      <c r="I42" s="15"/>
      <c r="J42" s="15"/>
      <c r="K42" s="15"/>
      <c r="L42" s="15"/>
      <c r="M42" s="15"/>
      <c r="O42" s="15"/>
      <c r="AB42" s="31"/>
    </row>
    <row r="43" spans="1:38" s="12" customFormat="1" ht="15.75" x14ac:dyDescent="0.25">
      <c r="A43" s="41" t="s">
        <v>28</v>
      </c>
      <c r="B43" s="32" t="s">
        <v>25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8" s="12" customFormat="1" ht="15.75" x14ac:dyDescent="0.25">
      <c r="A44" s="41" t="s">
        <v>29</v>
      </c>
      <c r="B44" s="53" t="s">
        <v>18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61"/>
      <c r="L44" s="15"/>
      <c r="M44" s="15"/>
      <c r="O44" s="15"/>
      <c r="AB44" s="31"/>
    </row>
    <row r="45" spans="1:38" s="12" customFormat="1" ht="15.75" x14ac:dyDescent="0.25">
      <c r="A45" s="41" t="s">
        <v>30</v>
      </c>
      <c r="B45" s="32" t="s">
        <v>19</v>
      </c>
      <c r="C45" s="38">
        <f t="shared" si="0"/>
        <v>0.9819444444444444</v>
      </c>
      <c r="D45" s="20" t="str">
        <f t="shared" si="1"/>
        <v>13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8" s="12" customFormat="1" ht="15.75" x14ac:dyDescent="0.25">
      <c r="A46" s="41" t="s">
        <v>31</v>
      </c>
      <c r="B46" s="32" t="s">
        <v>20</v>
      </c>
      <c r="C46" s="38">
        <f t="shared" si="0"/>
        <v>1</v>
      </c>
      <c r="D46" s="20" t="str">
        <f t="shared" si="1"/>
        <v>0</v>
      </c>
      <c r="E46" s="20" t="str">
        <f t="shared" si="2"/>
        <v>00 00</v>
      </c>
      <c r="F46" s="15"/>
      <c r="G46" s="21"/>
      <c r="H46" s="15"/>
      <c r="I46" s="15"/>
      <c r="J46" s="15"/>
      <c r="K46" s="15"/>
      <c r="L46" s="15"/>
      <c r="M46" s="15"/>
      <c r="O46" s="15"/>
      <c r="AB46" s="31"/>
    </row>
    <row r="47" spans="1:38" s="12" customFormat="1" ht="15.75" x14ac:dyDescent="0.25">
      <c r="A47" s="41" t="s">
        <v>32</v>
      </c>
      <c r="B47" s="32" t="s">
        <v>21</v>
      </c>
      <c r="C47" s="38">
        <f t="shared" si="0"/>
        <v>0.99783641975308646</v>
      </c>
      <c r="D47" s="20" t="str">
        <f t="shared" si="1"/>
        <v>1</v>
      </c>
      <c r="E47" s="20" t="str">
        <f t="shared" si="2"/>
        <v>33 28</v>
      </c>
      <c r="F47" s="15"/>
      <c r="G47" s="21"/>
      <c r="H47" s="15"/>
      <c r="I47" s="15"/>
      <c r="J47" s="15"/>
      <c r="K47" s="15"/>
      <c r="L47" s="15"/>
      <c r="M47" s="15"/>
      <c r="O47" s="15"/>
      <c r="AB47" s="31"/>
    </row>
    <row r="48" spans="1:38" s="12" customFormat="1" ht="15.75" x14ac:dyDescent="0.25">
      <c r="A48" s="41" t="s">
        <v>33</v>
      </c>
      <c r="B48" s="32" t="s">
        <v>27</v>
      </c>
      <c r="C48" s="38">
        <f t="shared" si="0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6" s="12" customFormat="1" ht="15.75" x14ac:dyDescent="0.25">
      <c r="A49" s="41" t="s">
        <v>34</v>
      </c>
      <c r="B49" s="32" t="s">
        <v>26</v>
      </c>
      <c r="C49" s="38">
        <f t="shared" si="0"/>
        <v>0.99890509259259264</v>
      </c>
      <c r="D49" s="20" t="str">
        <f t="shared" si="1"/>
        <v>0</v>
      </c>
      <c r="E49" s="20" t="str">
        <f t="shared" si="2"/>
        <v>47 18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6" s="12" customFormat="1" ht="15.75" x14ac:dyDescent="0.25">
      <c r="A50" s="41" t="s">
        <v>35</v>
      </c>
      <c r="B50" s="32" t="s">
        <v>24</v>
      </c>
      <c r="C50" s="38">
        <f t="shared" si="0"/>
        <v>0.99467592592592591</v>
      </c>
      <c r="D50" s="20" t="str">
        <f t="shared" si="1"/>
        <v>3</v>
      </c>
      <c r="E50" s="20" t="str">
        <f t="shared" si="2"/>
        <v>50 00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6" s="16" customFormat="1" ht="15.75" x14ac:dyDescent="0.25">
      <c r="A51" s="41" t="s">
        <v>36</v>
      </c>
      <c r="B51" s="32" t="s">
        <v>23</v>
      </c>
      <c r="C51" s="33">
        <f>1-(((D51*3600)+(LEFT(E51,2)*60)+RIGHT(E51,2))/((60*60*24)*$C$8))</f>
        <v>0.99835455246913585</v>
      </c>
      <c r="D51" s="20" t="str">
        <f t="shared" si="1"/>
        <v>1</v>
      </c>
      <c r="E51" s="20" t="str">
        <f t="shared" si="2"/>
        <v>11 05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1:36" ht="15.75" x14ac:dyDescent="0.25">
      <c r="A52" s="41" t="s">
        <v>38</v>
      </c>
      <c r="B52" s="32" t="s">
        <v>43</v>
      </c>
      <c r="C52" s="33">
        <f t="shared" ref="C52:C54" si="3">1-(((D52*3600)+(LEFT(E52,2)*60)+RIGHT(E52,2))/((60*60*24)*$C$8))</f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1:36" ht="15.75" x14ac:dyDescent="0.25">
      <c r="A53" s="41" t="s">
        <v>41</v>
      </c>
      <c r="B53" s="32" t="s">
        <v>44</v>
      </c>
      <c r="C53" s="33">
        <f t="shared" si="3"/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1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6"/>
      <c r="AI53" s="16"/>
      <c r="AJ53" s="16"/>
    </row>
    <row r="54" spans="1:36" ht="15.75" x14ac:dyDescent="0.25">
      <c r="A54" s="57" t="s">
        <v>42</v>
      </c>
      <c r="B54" s="32" t="s">
        <v>46</v>
      </c>
      <c r="C54" s="33">
        <f t="shared" si="3"/>
        <v>1</v>
      </c>
      <c r="D54" s="20" t="str">
        <f t="shared" si="1"/>
        <v>0</v>
      </c>
      <c r="E54" s="20" t="str">
        <f t="shared" si="2"/>
        <v>00 00</v>
      </c>
      <c r="F54" s="15"/>
      <c r="G54" s="21"/>
      <c r="H54" s="15"/>
      <c r="I54" s="15"/>
      <c r="J54" s="15"/>
      <c r="K54" s="15"/>
      <c r="L54" s="58"/>
      <c r="M54" s="58"/>
      <c r="N54" s="58"/>
      <c r="O54" s="58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6" ht="15.75" x14ac:dyDescent="0.25">
      <c r="A55" s="52"/>
      <c r="B55" s="53"/>
      <c r="C55" s="54"/>
      <c r="D55" s="55"/>
      <c r="E55" s="55"/>
      <c r="F55" s="15"/>
      <c r="G55" s="21"/>
      <c r="H55" s="15"/>
      <c r="I55" s="15"/>
      <c r="J55" s="15"/>
      <c r="K55" s="15"/>
      <c r="L55" s="58"/>
      <c r="M55" s="58"/>
      <c r="N55" s="58"/>
      <c r="O55" s="58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6" x14ac:dyDescent="0.2">
      <c r="A56" s="13"/>
      <c r="B56" s="12"/>
      <c r="C56" s="26"/>
      <c r="D56" s="25"/>
      <c r="E56" s="15"/>
      <c r="F56" s="15"/>
      <c r="G56" s="15"/>
      <c r="H56" s="15"/>
      <c r="I56" s="15"/>
      <c r="J56" s="15"/>
      <c r="K56" s="15"/>
      <c r="L56" s="58"/>
      <c r="M56" s="58"/>
      <c r="N56" s="58"/>
      <c r="O56" s="58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6" x14ac:dyDescent="0.2">
      <c r="A57" s="13"/>
      <c r="B57" s="12"/>
      <c r="C57" s="12"/>
      <c r="D57" s="14"/>
      <c r="E57" s="15"/>
      <c r="F57" s="15"/>
      <c r="G57" s="15"/>
      <c r="H57" s="15"/>
      <c r="I57" s="15"/>
      <c r="J57" s="15"/>
      <c r="K57" s="15"/>
      <c r="L57" s="58"/>
      <c r="M57" s="58"/>
      <c r="N57" s="58"/>
      <c r="O57" s="58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6" x14ac:dyDescent="0.2">
      <c r="A58" s="14"/>
      <c r="B58" s="24" t="s">
        <v>13</v>
      </c>
      <c r="C58" s="19"/>
      <c r="D58" s="18"/>
      <c r="E58" s="18"/>
      <c r="F58" s="18"/>
      <c r="G58" s="18"/>
      <c r="H58" s="18"/>
      <c r="I58" s="18"/>
      <c r="J58" s="18"/>
      <c r="K58" s="18"/>
      <c r="L58" s="59"/>
      <c r="M58" s="59"/>
      <c r="N58" s="59"/>
      <c r="O58" s="59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6"/>
    </row>
    <row r="59" spans="1:36" x14ac:dyDescent="0.2">
      <c r="A59"/>
      <c r="B59" s="12" t="s">
        <v>16</v>
      </c>
      <c r="C59" s="27">
        <f>(SUM(C42:C54))/(100%*13)</f>
        <v>0.99782434116809127</v>
      </c>
      <c r="G59" s="39"/>
      <c r="L59" s="60"/>
      <c r="M59" s="60"/>
      <c r="N59" s="60"/>
      <c r="O59" s="60"/>
    </row>
    <row r="60" spans="1:36" x14ac:dyDescent="0.2">
      <c r="L60" s="60"/>
      <c r="M60" s="60"/>
      <c r="N60" s="60"/>
      <c r="O60" s="60"/>
    </row>
    <row r="61" spans="1:36" x14ac:dyDescent="0.2">
      <c r="L61" s="60"/>
      <c r="M61" s="60"/>
      <c r="N61" s="60"/>
      <c r="O61" s="60"/>
    </row>
    <row r="62" spans="1:36" x14ac:dyDescent="0.2">
      <c r="L62" s="60"/>
      <c r="M62" s="60"/>
      <c r="N62" s="60"/>
      <c r="O62" s="60"/>
    </row>
    <row r="63" spans="1:36" x14ac:dyDescent="0.2">
      <c r="A63" s="62"/>
      <c r="B63" s="68"/>
    </row>
    <row r="64" spans="1:36" x14ac:dyDescent="0.2">
      <c r="A64"/>
      <c r="B64" s="12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72" spans="1:32" x14ac:dyDescent="0.2">
      <c r="A72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A73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A74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A75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</sheetData>
  <mergeCells count="19">
    <mergeCell ref="D26:AG26"/>
    <mergeCell ref="A10:A11"/>
    <mergeCell ref="B10:B11"/>
    <mergeCell ref="C10:C11"/>
    <mergeCell ref="D34:AG34"/>
    <mergeCell ref="D32:AG32"/>
    <mergeCell ref="D31:AG31"/>
    <mergeCell ref="D33:AG33"/>
    <mergeCell ref="B27:B35"/>
    <mergeCell ref="A27:A35"/>
    <mergeCell ref="A40:A41"/>
    <mergeCell ref="B40:B41"/>
    <mergeCell ref="C40:C41"/>
    <mergeCell ref="D40:E40"/>
    <mergeCell ref="D27:AG27"/>
    <mergeCell ref="D28:AG28"/>
    <mergeCell ref="D29:AG29"/>
    <mergeCell ref="D30:AG30"/>
    <mergeCell ref="D35:AG35"/>
  </mergeCells>
  <phoneticPr fontId="9" type="noConversion"/>
  <conditionalFormatting sqref="D15:F15 G21:M21 U21:V21 D13:D21 D18:N18 Y17:AB17 D17:E17 G17:W17 X21:AA21">
    <cfRule type="cellIs" dxfId="71" priority="299" stopIfTrue="1" operator="greaterThan">
      <formula>0</formula>
    </cfRule>
  </conditionalFormatting>
  <conditionalFormatting sqref="I15:M15">
    <cfRule type="cellIs" dxfId="70" priority="298" stopIfTrue="1" operator="greaterThan">
      <formula>0</formula>
    </cfRule>
  </conditionalFormatting>
  <conditionalFormatting sqref="W18:AB18 O15:AD15 O18:U18">
    <cfRule type="cellIs" dxfId="69" priority="297" stopIfTrue="1" operator="greaterThan">
      <formula>0</formula>
    </cfRule>
  </conditionalFormatting>
  <conditionalFormatting sqref="G15">
    <cfRule type="cellIs" dxfId="68" priority="291" stopIfTrue="1" operator="greaterThan">
      <formula>0</formula>
    </cfRule>
  </conditionalFormatting>
  <conditionalFormatting sqref="N15">
    <cfRule type="cellIs" dxfId="67" priority="290" stopIfTrue="1" operator="greaterThan">
      <formula>0</formula>
    </cfRule>
  </conditionalFormatting>
  <conditionalFormatting sqref="H15">
    <cfRule type="cellIs" dxfId="66" priority="284" stopIfTrue="1" operator="greaterThan">
      <formula>0</formula>
    </cfRule>
  </conditionalFormatting>
  <conditionalFormatting sqref="V18">
    <cfRule type="cellIs" dxfId="65" priority="278" stopIfTrue="1" operator="greaterThan">
      <formula>0</formula>
    </cfRule>
  </conditionalFormatting>
  <conditionalFormatting sqref="D13:F13">
    <cfRule type="cellIs" dxfId="64" priority="253" stopIfTrue="1" operator="greaterThan">
      <formula>0</formula>
    </cfRule>
  </conditionalFormatting>
  <conditionalFormatting sqref="D14:F14">
    <cfRule type="cellIs" dxfId="63" priority="269" stopIfTrue="1" operator="greaterThan">
      <formula>0</formula>
    </cfRule>
  </conditionalFormatting>
  <conditionalFormatting sqref="I14:M14">
    <cfRule type="cellIs" dxfId="62" priority="268" stopIfTrue="1" operator="greaterThan">
      <formula>0</formula>
    </cfRule>
  </conditionalFormatting>
  <conditionalFormatting sqref="P14:AD14">
    <cfRule type="cellIs" dxfId="61" priority="267" stopIfTrue="1" operator="greaterThan">
      <formula>0</formula>
    </cfRule>
  </conditionalFormatting>
  <conditionalFormatting sqref="G14">
    <cfRule type="cellIs" dxfId="60" priority="266" stopIfTrue="1" operator="greaterThan">
      <formula>0</formula>
    </cfRule>
  </conditionalFormatting>
  <conditionalFormatting sqref="N14">
    <cfRule type="cellIs" dxfId="59" priority="265" stopIfTrue="1" operator="greaterThan">
      <formula>0</formula>
    </cfRule>
  </conditionalFormatting>
  <conditionalFormatting sqref="H14">
    <cfRule type="cellIs" dxfId="58" priority="264" stopIfTrue="1" operator="greaterThan">
      <formula>0</formula>
    </cfRule>
  </conditionalFormatting>
  <conditionalFormatting sqref="D16:F16">
    <cfRule type="cellIs" dxfId="57" priority="245" stopIfTrue="1" operator="greaterThan">
      <formula>0</formula>
    </cfRule>
  </conditionalFormatting>
  <conditionalFormatting sqref="I13:M13">
    <cfRule type="cellIs" dxfId="56" priority="252" stopIfTrue="1" operator="greaterThan">
      <formula>0</formula>
    </cfRule>
  </conditionalFormatting>
  <conditionalFormatting sqref="O13:AD13">
    <cfRule type="cellIs" dxfId="55" priority="251" stopIfTrue="1" operator="greaterThan">
      <formula>0</formula>
    </cfRule>
  </conditionalFormatting>
  <conditionalFormatting sqref="G13">
    <cfRule type="cellIs" dxfId="54" priority="250" stopIfTrue="1" operator="greaterThan">
      <formula>0</formula>
    </cfRule>
  </conditionalFormatting>
  <conditionalFormatting sqref="N13">
    <cfRule type="cellIs" dxfId="53" priority="249" stopIfTrue="1" operator="greaterThan">
      <formula>0</formula>
    </cfRule>
  </conditionalFormatting>
  <conditionalFormatting sqref="H13">
    <cfRule type="cellIs" dxfId="52" priority="248" stopIfTrue="1" operator="greaterThan">
      <formula>0</formula>
    </cfRule>
  </conditionalFormatting>
  <conditionalFormatting sqref="AE13">
    <cfRule type="cellIs" dxfId="51" priority="247" stopIfTrue="1" operator="greaterThan">
      <formula>0</formula>
    </cfRule>
  </conditionalFormatting>
  <conditionalFormatting sqref="I16:J16">
    <cfRule type="cellIs" dxfId="50" priority="244" stopIfTrue="1" operator="greaterThan">
      <formula>0</formula>
    </cfRule>
  </conditionalFormatting>
  <conditionalFormatting sqref="G16">
    <cfRule type="cellIs" dxfId="49" priority="242" stopIfTrue="1" operator="greaterThan">
      <formula>0</formula>
    </cfRule>
  </conditionalFormatting>
  <conditionalFormatting sqref="H16">
    <cfRule type="cellIs" dxfId="48" priority="240" stopIfTrue="1" operator="greaterThan">
      <formula>0</formula>
    </cfRule>
  </conditionalFormatting>
  <conditionalFormatting sqref="D19:F19">
    <cfRule type="cellIs" dxfId="47" priority="225" stopIfTrue="1" operator="greaterThan">
      <formula>0</formula>
    </cfRule>
  </conditionalFormatting>
  <conditionalFormatting sqref="I19:M19">
    <cfRule type="cellIs" dxfId="46" priority="224" stopIfTrue="1" operator="greaterThan">
      <formula>0</formula>
    </cfRule>
  </conditionalFormatting>
  <conditionalFormatting sqref="O19:U19 W19:AB19">
    <cfRule type="cellIs" dxfId="45" priority="223" stopIfTrue="1" operator="greaterThan">
      <formula>0</formula>
    </cfRule>
  </conditionalFormatting>
  <conditionalFormatting sqref="G19">
    <cfRule type="cellIs" dxfId="44" priority="222" stopIfTrue="1" operator="greaterThan">
      <formula>0</formula>
    </cfRule>
  </conditionalFormatting>
  <conditionalFormatting sqref="N19">
    <cfRule type="cellIs" dxfId="43" priority="221" stopIfTrue="1" operator="greaterThan">
      <formula>0</formula>
    </cfRule>
  </conditionalFormatting>
  <conditionalFormatting sqref="H19">
    <cfRule type="cellIs" dxfId="42" priority="220" stopIfTrue="1" operator="greaterThan">
      <formula>0</formula>
    </cfRule>
  </conditionalFormatting>
  <conditionalFormatting sqref="D20">
    <cfRule type="cellIs" dxfId="41" priority="211" stopIfTrue="1" operator="greaterThan">
      <formula>0</formula>
    </cfRule>
  </conditionalFormatting>
  <conditionalFormatting sqref="V19">
    <cfRule type="cellIs" dxfId="40" priority="217" stopIfTrue="1" operator="greaterThan">
      <formula>0</formula>
    </cfRule>
  </conditionalFormatting>
  <conditionalFormatting sqref="L20:M20 U20:V20">
    <cfRule type="cellIs" dxfId="39" priority="214" stopIfTrue="1" operator="greaterThan">
      <formula>0</formula>
    </cfRule>
  </conditionalFormatting>
  <conditionalFormatting sqref="Z20:AA20">
    <cfRule type="cellIs" dxfId="38" priority="213" stopIfTrue="1" operator="greaterThan">
      <formula>0</formula>
    </cfRule>
  </conditionalFormatting>
  <conditionalFormatting sqref="X16">
    <cfRule type="cellIs" dxfId="37" priority="197" stopIfTrue="1" operator="greaterThan">
      <formula>0</formula>
    </cfRule>
  </conditionalFormatting>
  <conditionalFormatting sqref="Y16">
    <cfRule type="cellIs" dxfId="36" priority="196" stopIfTrue="1" operator="greaterThan">
      <formula>0</formula>
    </cfRule>
  </conditionalFormatting>
  <conditionalFormatting sqref="Z16">
    <cfRule type="cellIs" dxfId="35" priority="195" stopIfTrue="1" operator="greaterThan">
      <formula>0</formula>
    </cfRule>
  </conditionalFormatting>
  <conditionalFormatting sqref="AA16">
    <cfRule type="cellIs" dxfId="34" priority="194" stopIfTrue="1" operator="greaterThan">
      <formula>0</formula>
    </cfRule>
  </conditionalFormatting>
  <conditionalFormatting sqref="AB16">
    <cfRule type="cellIs" dxfId="33" priority="193" stopIfTrue="1" operator="greaterThan">
      <formula>0</formula>
    </cfRule>
  </conditionalFormatting>
  <conditionalFormatting sqref="D22:J22 M24:AA24 J24 D23:F24 H23:J23 H24 M22:M23 U22:AA23">
    <cfRule type="cellIs" dxfId="32" priority="148" stopIfTrue="1" operator="greaterThan">
      <formula>0</formula>
    </cfRule>
  </conditionalFormatting>
  <conditionalFormatting sqref="AG13">
    <cfRule type="cellIs" dxfId="31" priority="138" stopIfTrue="1" operator="greaterThan">
      <formula>0</formula>
    </cfRule>
  </conditionalFormatting>
  <conditionalFormatting sqref="AG13">
    <cfRule type="cellIs" dxfId="30" priority="129" stopIfTrue="1" operator="greaterThan">
      <formula>0</formula>
    </cfRule>
  </conditionalFormatting>
  <conditionalFormatting sqref="AG15">
    <cfRule type="cellIs" dxfId="29" priority="141" stopIfTrue="1" operator="greaterThan">
      <formula>0</formula>
    </cfRule>
  </conditionalFormatting>
  <conditionalFormatting sqref="AG14">
    <cfRule type="cellIs" dxfId="28" priority="140" stopIfTrue="1" operator="greaterThan">
      <formula>0</formula>
    </cfRule>
  </conditionalFormatting>
  <conditionalFormatting sqref="AG15">
    <cfRule type="cellIs" dxfId="27" priority="132" stopIfTrue="1" operator="greaterThan">
      <formula>0</formula>
    </cfRule>
  </conditionalFormatting>
  <conditionalFormatting sqref="AG14">
    <cfRule type="cellIs" dxfId="26" priority="131" stopIfTrue="1" operator="greaterThan">
      <formula>0</formula>
    </cfRule>
  </conditionalFormatting>
  <conditionalFormatting sqref="K22:L25">
    <cfRule type="cellIs" dxfId="25" priority="93" stopIfTrue="1" operator="greaterThan">
      <formula>0</formula>
    </cfRule>
  </conditionalFormatting>
  <conditionalFormatting sqref="E21:F21">
    <cfRule type="cellIs" dxfId="24" priority="106" stopIfTrue="1" operator="greaterThan">
      <formula>0</formula>
    </cfRule>
  </conditionalFormatting>
  <conditionalFormatting sqref="D25:J25 M25 O25:AA25">
    <cfRule type="cellIs" dxfId="23" priority="115" stopIfTrue="1" operator="greaterThan">
      <formula>0</formula>
    </cfRule>
  </conditionalFormatting>
  <conditionalFormatting sqref="X20">
    <cfRule type="cellIs" dxfId="22" priority="102" stopIfTrue="1" operator="greaterThan">
      <formula>0</formula>
    </cfRule>
  </conditionalFormatting>
  <conditionalFormatting sqref="K44">
    <cfRule type="cellIs" dxfId="21" priority="92" stopIfTrue="1" operator="greaterThan">
      <formula>0</formula>
    </cfRule>
  </conditionalFormatting>
  <conditionalFormatting sqref="AE14">
    <cfRule type="cellIs" dxfId="20" priority="83" stopIfTrue="1" operator="greaterThan">
      <formula>0</formula>
    </cfRule>
  </conditionalFormatting>
  <conditionalFormatting sqref="AE15">
    <cfRule type="cellIs" dxfId="19" priority="82" stopIfTrue="1" operator="greaterThan">
      <formula>0</formula>
    </cfRule>
  </conditionalFormatting>
  <conditionalFormatting sqref="AB20:AB24">
    <cfRule type="cellIs" dxfId="18" priority="70" stopIfTrue="1" operator="greaterThan">
      <formula>0</formula>
    </cfRule>
  </conditionalFormatting>
  <conditionalFormatting sqref="AB25">
    <cfRule type="cellIs" dxfId="17" priority="69" stopIfTrue="1" operator="greaterThan">
      <formula>0</formula>
    </cfRule>
  </conditionalFormatting>
  <conditionalFormatting sqref="AF13">
    <cfRule type="cellIs" dxfId="16" priority="38" stopIfTrue="1" operator="greaterThan">
      <formula>0</formula>
    </cfRule>
  </conditionalFormatting>
  <conditionalFormatting sqref="AF14">
    <cfRule type="cellIs" dxfId="15" priority="37" stopIfTrue="1" operator="greaterThan">
      <formula>0</formula>
    </cfRule>
  </conditionalFormatting>
  <conditionalFormatting sqref="AF15">
    <cfRule type="cellIs" dxfId="14" priority="36" stopIfTrue="1" operator="greaterThan">
      <formula>0</formula>
    </cfRule>
  </conditionalFormatting>
  <conditionalFormatting sqref="X17">
    <cfRule type="cellIs" dxfId="13" priority="24" stopIfTrue="1" operator="greaterThan">
      <formula>0</formula>
    </cfRule>
  </conditionalFormatting>
  <conditionalFormatting sqref="N25">
    <cfRule type="cellIs" dxfId="12" priority="23" stopIfTrue="1" operator="greaterThan">
      <formula>0</formula>
    </cfRule>
  </conditionalFormatting>
  <conditionalFormatting sqref="I24">
    <cfRule type="cellIs" dxfId="11" priority="22" stopIfTrue="1" operator="greaterThan">
      <formula>0</formula>
    </cfRule>
  </conditionalFormatting>
  <conditionalFormatting sqref="G23">
    <cfRule type="cellIs" dxfId="10" priority="21" stopIfTrue="1" operator="greaterThan">
      <formula>0</formula>
    </cfRule>
  </conditionalFormatting>
  <conditionalFormatting sqref="F17">
    <cfRule type="cellIs" dxfId="9" priority="19" stopIfTrue="1" operator="greaterThan">
      <formula>0</formula>
    </cfRule>
  </conditionalFormatting>
  <conditionalFormatting sqref="Y20">
    <cfRule type="cellIs" dxfId="8" priority="9" stopIfTrue="1" operator="greaterThan">
      <formula>0</formula>
    </cfRule>
  </conditionalFormatting>
  <conditionalFormatting sqref="W21">
    <cfRule type="cellIs" dxfId="7" priority="13" stopIfTrue="1" operator="greaterThan">
      <formula>0</formula>
    </cfRule>
  </conditionalFormatting>
  <conditionalFormatting sqref="W20">
    <cfRule type="cellIs" dxfId="6" priority="11" stopIfTrue="1" operator="greaterThan">
      <formula>0</formula>
    </cfRule>
  </conditionalFormatting>
  <conditionalFormatting sqref="E20:K20">
    <cfRule type="cellIs" dxfId="5" priority="8" stopIfTrue="1" operator="greaterThan">
      <formula>0</formula>
    </cfRule>
  </conditionalFormatting>
  <conditionalFormatting sqref="G24">
    <cfRule type="cellIs" dxfId="4" priority="7" stopIfTrue="1" operator="greaterThan">
      <formula>0</formula>
    </cfRule>
  </conditionalFormatting>
  <conditionalFormatting sqref="K16:W16">
    <cfRule type="cellIs" dxfId="3" priority="6" stopIfTrue="1" operator="greaterThan">
      <formula>0</formula>
    </cfRule>
  </conditionalFormatting>
  <conditionalFormatting sqref="N20:T23">
    <cfRule type="cellIs" dxfId="2" priority="5" stopIfTrue="1" operator="greaterThan">
      <formula>0</formula>
    </cfRule>
  </conditionalFormatting>
  <conditionalFormatting sqref="AC16:AG25">
    <cfRule type="cellIs" dxfId="1" priority="3" stopIfTrue="1" operator="greaterThan">
      <formula>0</formula>
    </cfRule>
  </conditionalFormatting>
  <conditionalFormatting sqref="O1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2023-10-02T06:04:27Z</dcterms:modified>
</cp:coreProperties>
</file>