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ALU'!$A$1:$AG$62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s="1"/>
  <c r="E53" i="11"/>
  <c r="D53" i="11"/>
  <c r="C53" i="11" s="1"/>
  <c r="E52" i="11" l="1"/>
  <c r="D52" i="11"/>
  <c r="C52" i="11" l="1"/>
  <c r="D51" i="11"/>
  <c r="D50" i="11"/>
  <c r="D41" i="11"/>
  <c r="D40" i="11"/>
  <c r="E50" i="11" l="1"/>
  <c r="E51" i="11"/>
  <c r="E49" i="11"/>
  <c r="C50" i="11" l="1"/>
  <c r="C51" i="1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<sst xmlns="http://schemas.openxmlformats.org/spreadsheetml/2006/main" count="109" uniqueCount="56">
  <si>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</si>
  <si>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</si>
  <si>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</si>
  <si>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</si>
  <si>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</si>
  <si>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</si>
  <si>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</si>
  <si>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</si>
  <si>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</si>
  <si>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</si>
  <si>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</si>
  <si>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</si>
  <si>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</si>
  <si>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</si>
  <si>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</si>
  <si>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</si>
  <si>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</si>
  <si>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</si>
  <si>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</si>
  <si>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</si>
  <si>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</si>
  <si>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</si>
  <si>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</si>
  <si>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</si>
  <si>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</si>
  <si>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</si>
  <si>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</si>
  <si>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</si>
  <si>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</si>
  <si>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</si>
  <si>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</si>
  <si>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</si>
  <si>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</si>
  <si>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</si>
  <si>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</si>
  <si>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</si>
  <si>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</si>
  <si>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</si>
  <si>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</si>
  <si>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</si>
  <si>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</si>
  <si>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</si>
  <si>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</si>
  <si>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</si>
  <si>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</si>
  <si>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</si>
  <si>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</si>
  <si>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</si>
  <si>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 xml:space="preserve">        Problem Power Genset di LBTT</t>
  </si>
  <si>
    <t>REMAKS</t>
  </si>
  <si>
    <t>PTH to GALAXI</t>
  </si>
  <si>
    <t>MIDLLE to LIGNITE</t>
  </si>
  <si>
    <t>14</t>
  </si>
  <si>
    <t>PTH to Galaxi</t>
  </si>
  <si>
    <t>MIDDLE to LIGNIT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</si>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</sst>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b/>
      <i/>
      <sz val="1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164" fontId="35" fillId="0" borderId="0" xfId="0" applyFont="1" applyBorder="1"/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49" fontId="6" fillId="0" borderId="26" xfId="0" applyNumberFormat="1" applyFont="1" applyBorder="1" applyAlignment="1">
      <alignment horizontal="center"/>
    </xf>
    <xf numFmtId="164" fontId="35" fillId="0" borderId="27" xfId="0" applyFont="1" applyFill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" fontId="6" fillId="0" borderId="30" xfId="0" applyNumberFormat="1" applyFont="1" applyBorder="1" applyAlignment="1">
      <alignment horizontal="center" vertical="center"/>
    </xf>
    <xf numFmtId="164" fontId="36" fillId="0" borderId="30" xfId="0" applyFont="1" applyBorder="1" applyAlignment="1">
      <alignment vertical="center"/>
    </xf>
    <xf numFmtId="164" fontId="37" fillId="0" borderId="30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" fontId="8" fillId="0" borderId="35" xfId="0" applyNumberFormat="1" applyFont="1" applyBorder="1" applyAlignment="1">
      <alignment horizontal="center"/>
    </xf>
    <xf numFmtId="164" fontId="37" fillId="0" borderId="30" xfId="0" applyFont="1" applyBorder="1" applyAlignment="1">
      <alignment horizontal="center" vertical="center"/>
    </xf>
    <xf numFmtId="164" fontId="37" fillId="0" borderId="28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15" xfId="0" applyFont="1" applyBorder="1" applyAlignment="1">
      <alignment horizontal="center" vertical="center"/>
    </xf>
    <xf numFmtId="164" fontId="6" fillId="0" borderId="33" xfId="0" applyFont="1" applyBorder="1" applyAlignment="1">
      <alignment horizontal="center" vertical="center"/>
    </xf>
    <xf numFmtId="164" fontId="6" fillId="0" borderId="34" xfId="0" applyFont="1" applyBorder="1" applyAlignment="1">
      <alignment horizontal="center" vertical="center"/>
    </xf>
    <xf numFmtId="164" fontId="6" fillId="0" borderId="29" xfId="0" applyFont="1" applyBorder="1" applyAlignment="1">
      <alignment horizontal="left" vertical="center"/>
    </xf>
    <xf numFmtId="164" fontId="6" fillId="0" borderId="25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4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  <xf numFmtId="164" fontId="6" fillId="0" borderId="4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31" xfId="0" applyFont="1" applyBorder="1" applyAlignment="1">
      <alignment horizontal="center" vertical="center" wrapText="1"/>
    </xf>
    <xf numFmtId="164" fontId="36" fillId="0" borderId="32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/>
    </xf>
    <xf numFmtId="164" fontId="35" fillId="0" borderId="1" xfId="0" applyFont="1" applyFill="1" applyBorder="1"/>
    <xf numFmtId="49" fontId="6" fillId="0" borderId="19" xfId="0" applyNumberFormat="1" applyFont="1" applyBorder="1" applyAlignment="1">
      <alignment horizontal="center"/>
    </xf>
    <xf numFmtId="164" fontId="35" fillId="0" borderId="36" xfId="0" applyFont="1" applyBorder="1"/>
    <xf numFmtId="164" fontId="18" fillId="0" borderId="36" xfId="0" applyFont="1" applyBorder="1"/>
    <xf numFmtId="164" fontId="37" fillId="0" borderId="1" xfId="0" applyFont="1" applyBorder="1" applyAlignment="1">
      <alignment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tabSelected="1" zoomScale="90" zoomScaleNormal="90" workbookViewId="0">
      <selection activeCell="A27" sqref="A27"/>
    </sheetView>
  </sheetViews>
  <sheetFormatPr defaultRowHeight="12.75" x14ac:dyDescent="0.2"/>
  <cols>
    <col min="1" max="1" width="6.570312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38">
        <v>45231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0" t="s">
        <v>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76" t="s">
        <v>2</v>
      </c>
      <c r="B10" s="78" t="s">
        <v>0</v>
      </c>
      <c r="C10" s="78" t="s">
        <v>8</v>
      </c>
      <c r="D10" s="44">
        <v>44501</v>
      </c>
      <c r="E10" s="44">
        <v>44502</v>
      </c>
      <c r="F10" s="44">
        <v>44503</v>
      </c>
      <c r="G10" s="44">
        <v>44504</v>
      </c>
      <c r="H10" s="44">
        <v>44505</v>
      </c>
      <c r="I10" s="44">
        <v>44506</v>
      </c>
      <c r="J10" s="44">
        <v>44507</v>
      </c>
      <c r="K10" s="44">
        <v>44508</v>
      </c>
      <c r="L10" s="44">
        <v>44509</v>
      </c>
      <c r="M10" s="44">
        <v>44510</v>
      </c>
      <c r="N10" s="44">
        <v>44511</v>
      </c>
      <c r="O10" s="44">
        <v>44512</v>
      </c>
      <c r="P10" s="44">
        <v>44513</v>
      </c>
      <c r="Q10" s="44">
        <v>44514</v>
      </c>
      <c r="R10" s="44">
        <v>44515</v>
      </c>
      <c r="S10" s="44">
        <v>44516</v>
      </c>
      <c r="T10" s="44">
        <v>44517</v>
      </c>
      <c r="U10" s="44">
        <v>44518</v>
      </c>
      <c r="V10" s="44">
        <v>44519</v>
      </c>
      <c r="W10" s="44">
        <v>44520</v>
      </c>
      <c r="X10" s="44">
        <v>44521</v>
      </c>
      <c r="Y10" s="44">
        <v>44522</v>
      </c>
      <c r="Z10" s="44">
        <v>44523</v>
      </c>
      <c r="AA10" s="44">
        <v>44524</v>
      </c>
      <c r="AB10" s="44">
        <v>44525</v>
      </c>
      <c r="AC10" s="44">
        <v>44526</v>
      </c>
      <c r="AD10" s="44">
        <v>44527</v>
      </c>
      <c r="AE10" s="44">
        <v>44528</v>
      </c>
      <c r="AF10" s="44">
        <v>44529</v>
      </c>
      <c r="AG10" s="73">
        <v>44530</v>
      </c>
    </row>
    <row r="11" spans="1:33" s="1" customFormat="1" x14ac:dyDescent="0.2">
      <c r="A11" s="77"/>
      <c r="B11" s="79"/>
      <c r="C11" s="79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5"/>
      <c r="B12" s="32"/>
      <c r="C12" s="33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3"/>
      <c r="AG12" s="62"/>
    </row>
    <row r="13" spans="1:33" s="12" customFormat="1" ht="15.75" x14ac:dyDescent="0.25">
      <c r="A13" s="46" t="s">
        <v>37</v>
      </c>
      <c r="B13" s="30" t="s">
        <v>17</v>
      </c>
      <c r="C13" s="34"/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2" customFormat="1" ht="15.75" x14ac:dyDescent="0.25">
      <c r="A14" s="46" t="s">
        <v>28</v>
      </c>
      <c r="B14" s="30" t="s">
        <v>25</v>
      </c>
      <c r="C14" s="34"/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2" customFormat="1" ht="15.75" x14ac:dyDescent="0.25">
      <c r="A15" s="46" t="s">
        <v>29</v>
      </c>
      <c r="B15" s="30" t="s">
        <v>18</v>
      </c>
      <c r="C15" s="34"/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</row>
    <row r="16" spans="1:33" s="12" customFormat="1" ht="15.75" x14ac:dyDescent="0.25">
      <c r="A16" s="46" t="s">
        <v>30</v>
      </c>
      <c r="B16" s="30" t="s">
        <v>19</v>
      </c>
      <c r="C16" s="34"/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</row>
    <row r="17" spans="1:33" s="12" customFormat="1" ht="15.75" x14ac:dyDescent="0.25">
      <c r="A17" s="46" t="s">
        <v>31</v>
      </c>
      <c r="B17" s="30" t="s">
        <v>20</v>
      </c>
      <c r="C17" s="34"/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</row>
    <row r="18" spans="1:33" s="12" customFormat="1" ht="15.75" x14ac:dyDescent="0.25">
      <c r="A18" s="46" t="s">
        <v>32</v>
      </c>
      <c r="B18" s="30" t="s">
        <v>21</v>
      </c>
      <c r="C18" s="34"/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</row>
    <row r="19" spans="1:33" s="12" customFormat="1" ht="15.75" x14ac:dyDescent="0.25">
      <c r="A19" s="46" t="s">
        <v>33</v>
      </c>
      <c r="B19" s="30" t="s">
        <v>22</v>
      </c>
      <c r="C19" s="34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</row>
    <row r="20" spans="1:33" s="12" customFormat="1" ht="15.75" x14ac:dyDescent="0.25">
      <c r="A20" s="46" t="s">
        <v>34</v>
      </c>
      <c r="B20" s="30" t="s">
        <v>26</v>
      </c>
      <c r="C20" s="34"/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</row>
    <row r="21" spans="1:33" s="12" customFormat="1" ht="15.75" x14ac:dyDescent="0.25">
      <c r="A21" s="46" t="s">
        <v>35</v>
      </c>
      <c r="B21" s="30" t="s">
        <v>24</v>
      </c>
      <c r="C21" s="34"/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</row>
    <row r="22" spans="1:33" s="12" customFormat="1" ht="15.75" x14ac:dyDescent="0.25">
      <c r="A22" s="46" t="s">
        <v>36</v>
      </c>
      <c r="B22" s="47" t="s">
        <v>23</v>
      </c>
      <c r="C22" s="48"/>
      <c r="D22" s="49">
        <v>0</v>
      </c>
      <c r="E22" s="49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</row>
    <row r="23" spans="1:33" s="12" customFormat="1" ht="15.75" x14ac:dyDescent="0.25">
      <c r="A23" s="46" t="s">
        <v>38</v>
      </c>
      <c r="B23" s="47" t="s">
        <v>39</v>
      </c>
      <c r="C23" s="34"/>
      <c r="D23" s="49">
        <v>0</v>
      </c>
      <c r="E23" s="49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</row>
    <row r="24" spans="1:33" s="12" customFormat="1" ht="15.75" x14ac:dyDescent="0.25">
      <c r="A24" s="46" t="s">
        <v>40</v>
      </c>
      <c r="B24" s="47" t="s">
        <v>43</v>
      </c>
      <c r="C24" s="48"/>
      <c r="D24" s="49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49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</row>
    <row r="25" spans="1:33" s="12" customFormat="1" ht="15.75" x14ac:dyDescent="0.25">
      <c r="A25" s="46" t="s">
        <v>41</v>
      </c>
      <c r="B25" s="101" t="s">
        <v>44</v>
      </c>
      <c r="C25" s="105"/>
      <c r="D25" s="49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49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</row>
    <row r="26" spans="1:33" s="12" customFormat="1" ht="15.75" x14ac:dyDescent="0.25">
      <c r="A26" s="102" t="s">
        <v>52</v>
      </c>
      <c r="B26" s="103" t="s">
        <v>53</v>
      </c>
      <c r="C26" s="104"/>
      <c r="D26" s="49">
        <v>0</v>
      </c>
      <c r="E26" s="49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</row>
    <row r="27" spans="1:33" s="12" customFormat="1" ht="14.25" customHeight="1" thickBot="1" x14ac:dyDescent="0.3">
      <c r="A27" s="64" t="s">
        <v>55</v>
      </c>
      <c r="B27" s="65" t="s">
        <v>54</v>
      </c>
      <c r="C27" s="66"/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3.0219907407407407E-2</v>
      </c>
      <c r="M27" s="67">
        <v>0</v>
      </c>
      <c r="N27" s="35">
        <v>0</v>
      </c>
      <c r="O27" s="67">
        <v>0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7">
        <v>0</v>
      </c>
      <c r="AD27" s="67">
        <v>0</v>
      </c>
      <c r="AE27" s="67">
        <v>0</v>
      </c>
      <c r="AF27" s="67">
        <v>0</v>
      </c>
      <c r="AG27" s="67">
        <v>0</v>
      </c>
    </row>
    <row r="28" spans="1:33" s="12" customFormat="1" ht="16.5" customHeight="1" thickBot="1" x14ac:dyDescent="0.25">
      <c r="A28" s="68"/>
      <c r="B28" s="69"/>
      <c r="C28" s="70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5"/>
    </row>
    <row r="29" spans="1:33" s="12" customFormat="1" ht="16.5" customHeight="1" x14ac:dyDescent="0.2">
      <c r="A29" s="96" t="s">
        <v>49</v>
      </c>
      <c r="B29" s="97"/>
      <c r="C29" s="71">
        <v>45239</v>
      </c>
      <c r="D29" s="86" t="s">
        <v>48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8"/>
    </row>
    <row r="30" spans="1:33" s="12" customFormat="1" ht="16.5" customHeight="1" x14ac:dyDescent="0.2">
      <c r="A30" s="96"/>
      <c r="B30" s="97"/>
      <c r="C30" s="72"/>
      <c r="D30" s="83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</row>
    <row r="31" spans="1:33" s="12" customFormat="1" ht="16.5" customHeight="1" x14ac:dyDescent="0.2">
      <c r="A31" s="96"/>
      <c r="B31" s="97"/>
      <c r="C31" s="72"/>
      <c r="D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1"/>
    </row>
    <row r="32" spans="1:33" s="12" customFormat="1" ht="16.5" customHeight="1" x14ac:dyDescent="0.2">
      <c r="A32" s="96"/>
      <c r="B32" s="97"/>
      <c r="C32" s="72"/>
      <c r="D32" s="80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2"/>
    </row>
    <row r="33" spans="1:33" s="12" customFormat="1" ht="16.5" customHeight="1" thickBot="1" x14ac:dyDescent="0.25">
      <c r="A33" s="98"/>
      <c r="B33" s="99"/>
      <c r="C33" s="72"/>
      <c r="D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1"/>
    </row>
    <row r="34" spans="1:33" s="12" customFormat="1" ht="15" x14ac:dyDescent="0.2">
      <c r="A34" s="59"/>
      <c r="B34" s="59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s="12" customFormat="1" ht="15" x14ac:dyDescent="0.2">
      <c r="A35" s="13"/>
      <c r="B35" s="41"/>
      <c r="C35" s="42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2"/>
    </row>
    <row r="36" spans="1:33" s="12" customFormat="1" x14ac:dyDescent="0.2">
      <c r="A36" s="1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33" s="12" customFormat="1" x14ac:dyDescent="0.2">
      <c r="A37" s="23" t="s">
        <v>12</v>
      </c>
      <c r="D37" s="14"/>
      <c r="E37" s="15"/>
      <c r="F37" s="15"/>
      <c r="G37" s="15"/>
      <c r="H37" s="15"/>
      <c r="I37" s="15"/>
      <c r="J37" s="15"/>
      <c r="K37" s="51"/>
      <c r="L37" s="51"/>
      <c r="M37" s="15"/>
      <c r="O37" s="15"/>
      <c r="AB37" s="29"/>
    </row>
    <row r="38" spans="1:33" s="12" customFormat="1" x14ac:dyDescent="0.2">
      <c r="A38" s="92" t="s">
        <v>2</v>
      </c>
      <c r="B38" s="92" t="s">
        <v>9</v>
      </c>
      <c r="C38" s="92" t="s">
        <v>1</v>
      </c>
      <c r="D38" s="94" t="s">
        <v>7</v>
      </c>
      <c r="E38" s="95"/>
      <c r="F38" s="15"/>
      <c r="G38" s="15"/>
      <c r="H38" s="15"/>
      <c r="I38" s="15"/>
      <c r="J38" s="15"/>
      <c r="K38" s="52"/>
      <c r="L38" s="52"/>
      <c r="M38" s="15"/>
      <c r="O38" s="15"/>
      <c r="AB38" s="29"/>
    </row>
    <row r="39" spans="1:33" s="12" customFormat="1" x14ac:dyDescent="0.2">
      <c r="A39" s="93"/>
      <c r="B39" s="93"/>
      <c r="C39" s="93"/>
      <c r="D39" s="25" t="s">
        <v>10</v>
      </c>
      <c r="E39" s="22" t="s">
        <v>11</v>
      </c>
      <c r="F39" s="15"/>
      <c r="G39" s="15"/>
      <c r="H39" s="15"/>
      <c r="I39" s="15"/>
      <c r="J39" s="15"/>
      <c r="K39" s="15"/>
      <c r="L39" s="15"/>
      <c r="M39" s="15"/>
      <c r="O39" s="15"/>
      <c r="AB39" s="29"/>
    </row>
    <row r="40" spans="1:33" s="12" customFormat="1" ht="15.75" x14ac:dyDescent="0.25">
      <c r="A40" s="39" t="s">
        <v>37</v>
      </c>
      <c r="B40" s="30" t="s">
        <v>47</v>
      </c>
      <c r="C40" s="36">
        <f t="shared" ref="C40:C48" si="0">1-(((D40*3600)+(LEFT(E40,2)*60)+RIGHT(E40,2))/((60*60*24)*$C$8))</f>
        <v>1</v>
      </c>
      <c r="D40" s="20" t="str">
        <f>TEXT(SUM(D13:AG13),"[h]")</f>
        <v>0</v>
      </c>
      <c r="E40" s="20" t="str">
        <f>TEXT(SUM(D13:AG13),"mm ss")</f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29"/>
    </row>
    <row r="41" spans="1:33" s="12" customFormat="1" ht="15.75" x14ac:dyDescent="0.25">
      <c r="A41" s="39" t="s">
        <v>28</v>
      </c>
      <c r="B41" s="30" t="s">
        <v>25</v>
      </c>
      <c r="C41" s="36">
        <f t="shared" si="0"/>
        <v>1</v>
      </c>
      <c r="D41" s="20" t="str">
        <f>TEXT(SUM(D14:AG14),"[h]")</f>
        <v>0</v>
      </c>
      <c r="E41" s="20" t="str">
        <f>TEXT(SUM(D14:AG14),"mm ss")</f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29"/>
    </row>
    <row r="42" spans="1:33" s="12" customFormat="1" ht="15.75" x14ac:dyDescent="0.25">
      <c r="A42" s="39" t="s">
        <v>29</v>
      </c>
      <c r="B42" s="50" t="s">
        <v>18</v>
      </c>
      <c r="C42" s="36">
        <f t="shared" si="0"/>
        <v>1</v>
      </c>
      <c r="D42" s="20" t="str">
        <f>TEXT(SUM(D15:AG15),"[h]")</f>
        <v>0</v>
      </c>
      <c r="E42" s="20" t="str">
        <f>TEXT(SUM(D15:AG15),"mm ss")</f>
        <v>00 00</v>
      </c>
      <c r="F42" s="15"/>
      <c r="G42" s="21"/>
      <c r="H42" s="15"/>
      <c r="I42" s="15"/>
      <c r="J42" s="15"/>
      <c r="K42" s="57"/>
      <c r="L42" s="15"/>
      <c r="M42" s="15"/>
      <c r="O42" s="15"/>
      <c r="AB42" s="29"/>
    </row>
    <row r="43" spans="1:33" s="12" customFormat="1" ht="15.75" x14ac:dyDescent="0.25">
      <c r="A43" s="39" t="s">
        <v>30</v>
      </c>
      <c r="B43" s="30" t="s">
        <v>19</v>
      </c>
      <c r="C43" s="36">
        <f t="shared" si="0"/>
        <v>1</v>
      </c>
      <c r="D43" s="20" t="str">
        <f>TEXT(SUM(D16:AG16),"[h]")</f>
        <v>0</v>
      </c>
      <c r="E43" s="20" t="str">
        <f>TEXT(SUM(D16:AG16),"mm ss")</f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29"/>
    </row>
    <row r="44" spans="1:33" s="12" customFormat="1" ht="15.75" x14ac:dyDescent="0.25">
      <c r="A44" s="39" t="s">
        <v>31</v>
      </c>
      <c r="B44" s="30" t="s">
        <v>20</v>
      </c>
      <c r="C44" s="36">
        <f t="shared" si="0"/>
        <v>1</v>
      </c>
      <c r="D44" s="20" t="str">
        <f>TEXT(SUM(D17:AG17),"[h]")</f>
        <v>0</v>
      </c>
      <c r="E44" s="20" t="str">
        <f>TEXT(SUM(D17:AG17),"mm ss")</f>
        <v>00 00</v>
      </c>
      <c r="F44" s="15"/>
      <c r="G44" s="21"/>
      <c r="H44" s="15"/>
      <c r="I44" s="15"/>
      <c r="J44" s="15"/>
      <c r="K44" s="15"/>
      <c r="L44" s="15"/>
      <c r="M44" s="15"/>
      <c r="O44" s="15"/>
      <c r="AB44" s="29"/>
    </row>
    <row r="45" spans="1:33" s="12" customFormat="1" ht="15.75" x14ac:dyDescent="0.25">
      <c r="A45" s="39" t="s">
        <v>32</v>
      </c>
      <c r="B45" s="30" t="s">
        <v>21</v>
      </c>
      <c r="C45" s="36">
        <f t="shared" si="0"/>
        <v>1</v>
      </c>
      <c r="D45" s="20" t="str">
        <f>TEXT(SUM(D18:AG18),"[h]")</f>
        <v>0</v>
      </c>
      <c r="E45" s="20" t="str">
        <f>TEXT(SUM(D18:AG18),"mm ss")</f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29"/>
    </row>
    <row r="46" spans="1:33" s="12" customFormat="1" ht="15.75" x14ac:dyDescent="0.25">
      <c r="A46" s="39" t="s">
        <v>33</v>
      </c>
      <c r="B46" s="30" t="s">
        <v>27</v>
      </c>
      <c r="C46" s="36">
        <f t="shared" si="0"/>
        <v>1</v>
      </c>
      <c r="D46" s="20" t="str">
        <f>TEXT(SUM(D19:AG19),"[h]")</f>
        <v>0</v>
      </c>
      <c r="E46" s="20" t="str">
        <f>TEXT(SUM(D19:AG19),"mm ss")</f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33" s="12" customFormat="1" ht="15.75" x14ac:dyDescent="0.25">
      <c r="A47" s="39" t="s">
        <v>34</v>
      </c>
      <c r="B47" s="30" t="s">
        <v>26</v>
      </c>
      <c r="C47" s="36">
        <f t="shared" si="0"/>
        <v>1</v>
      </c>
      <c r="D47" s="20" t="str">
        <f>TEXT(SUM(D20:AG20),"[h]")</f>
        <v>0</v>
      </c>
      <c r="E47" s="20" t="str">
        <f>TEXT(SUM(D20:AG20),"mm ss")</f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3" s="12" customFormat="1" ht="15.75" x14ac:dyDescent="0.25">
      <c r="A48" s="39" t="s">
        <v>35</v>
      </c>
      <c r="B48" s="30" t="s">
        <v>24</v>
      </c>
      <c r="C48" s="36">
        <f t="shared" si="0"/>
        <v>1</v>
      </c>
      <c r="D48" s="20" t="str">
        <f>TEXT(SUM(D21:AG21),"[h]")</f>
        <v>0</v>
      </c>
      <c r="E48" s="20" t="str">
        <f>TEXT(SUM(D21:AG21),"mm ss")</f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39" t="s">
        <v>36</v>
      </c>
      <c r="B49" s="30" t="s">
        <v>23</v>
      </c>
      <c r="C49" s="31">
        <f>1-(((D49*3600)+(LEFT(E49,2)*60)+RIGHT(E49,2))/((60*60*24)*$C$8))</f>
        <v>1</v>
      </c>
      <c r="D49" s="20" t="str">
        <f>TEXT(SUM(D22:AG22),"[h]")</f>
        <v>0</v>
      </c>
      <c r="E49" s="20" t="str">
        <f>TEXT(SUM(D22:AG22),"mm ss")</f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39" t="s">
        <v>38</v>
      </c>
      <c r="B50" s="30" t="s">
        <v>42</v>
      </c>
      <c r="C50" s="31">
        <f t="shared" ref="C50:C52" si="1">1-(((D50*3600)+(LEFT(E50,2)*60)+RIGHT(E50,2))/((60*60*24)*$C$8))</f>
        <v>1</v>
      </c>
      <c r="D50" s="20" t="str">
        <f>TEXT(SUM(D23:AG23),"[h]")</f>
        <v>0</v>
      </c>
      <c r="E50" s="20" t="str">
        <f>TEXT(SUM(D23:AG23),"mm ss")</f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6" customFormat="1" ht="15.75" x14ac:dyDescent="0.25">
      <c r="A51" s="39" t="s">
        <v>40</v>
      </c>
      <c r="B51" s="30" t="s">
        <v>43</v>
      </c>
      <c r="C51" s="31">
        <f t="shared" si="1"/>
        <v>1</v>
      </c>
      <c r="D51" s="20" t="str">
        <f>TEXT(SUM(D26:AG26),"[h]")</f>
        <v>0</v>
      </c>
      <c r="E51" s="20" t="str">
        <f>TEXT(SUM(D26:AG26),"mm ss")</f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5.75" x14ac:dyDescent="0.25">
      <c r="A52" s="53" t="s">
        <v>41</v>
      </c>
      <c r="B52" s="30" t="s">
        <v>45</v>
      </c>
      <c r="C52" s="31">
        <f t="shared" si="1"/>
        <v>0.99899266975308643</v>
      </c>
      <c r="D52" s="20" t="str">
        <f>TEXT(SUM(D27:AG27),"[h]")</f>
        <v>0</v>
      </c>
      <c r="E52" s="20" t="str">
        <f>TEXT(SUM(D27:AG27),"mm ss")</f>
        <v>43 31</v>
      </c>
      <c r="F52" s="15"/>
      <c r="G52" s="21"/>
      <c r="H52" s="15"/>
      <c r="I52" s="15"/>
      <c r="J52" s="15"/>
      <c r="K52" s="15"/>
      <c r="L52" s="54"/>
      <c r="M52" s="54"/>
      <c r="N52" s="54"/>
      <c r="O52" s="54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5.75" x14ac:dyDescent="0.25">
      <c r="A53" s="100">
        <v>14</v>
      </c>
      <c r="B53" s="30" t="s">
        <v>50</v>
      </c>
      <c r="C53" s="31">
        <f t="shared" ref="C53:C54" si="2">1-(((D53*3600)+(LEFT(E53,2)*60)+RIGHT(E53,2))/((60*60*24)*$C$8))</f>
        <v>1</v>
      </c>
      <c r="D53" s="20" t="str">
        <f>TEXT(SUM(D28:AG28),"[h]")</f>
        <v>0</v>
      </c>
      <c r="E53" s="20" t="str">
        <f>TEXT(SUM(D28:AG28),"mm ss")</f>
        <v>00 00</v>
      </c>
      <c r="F53" s="15"/>
      <c r="G53" s="21"/>
      <c r="H53" s="15"/>
      <c r="I53" s="15"/>
      <c r="J53" s="15"/>
      <c r="K53" s="15"/>
      <c r="L53" s="54"/>
      <c r="M53" s="54"/>
      <c r="N53" s="54"/>
      <c r="O53" s="54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100">
        <v>15</v>
      </c>
      <c r="B54" s="101" t="s">
        <v>51</v>
      </c>
      <c r="C54" s="31">
        <f t="shared" si="2"/>
        <v>1</v>
      </c>
      <c r="D54" s="20" t="str">
        <f t="shared" ref="D54" si="3">TEXT(SUM(D29:AG29),"[h]")</f>
        <v>0</v>
      </c>
      <c r="E54" s="20" t="str">
        <f t="shared" ref="E54" si="4">TEXT(SUM(D29:AG29),"mm ss")</f>
        <v>00 00</v>
      </c>
      <c r="F54" s="15"/>
      <c r="G54" s="15"/>
      <c r="H54" s="15"/>
      <c r="I54" s="15"/>
      <c r="J54" s="15"/>
      <c r="K54" s="15"/>
      <c r="L54" s="54"/>
      <c r="M54" s="54"/>
      <c r="N54" s="54"/>
      <c r="O54" s="54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x14ac:dyDescent="0.2">
      <c r="A55" s="13"/>
      <c r="B55" s="12"/>
      <c r="C55" s="12"/>
      <c r="D55" s="14"/>
      <c r="E55" s="15"/>
      <c r="F55" s="15"/>
      <c r="G55" s="15"/>
      <c r="H55" s="15"/>
      <c r="I55" s="15"/>
      <c r="J55" s="15"/>
      <c r="K55" s="15"/>
      <c r="L55" s="54"/>
      <c r="M55" s="54"/>
      <c r="N55" s="54"/>
      <c r="O55" s="54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4"/>
      <c r="B56" s="24" t="s">
        <v>13</v>
      </c>
      <c r="C56" s="19"/>
      <c r="D56" s="18"/>
      <c r="E56" s="18"/>
      <c r="F56" s="18"/>
      <c r="G56" s="18"/>
      <c r="H56" s="18"/>
      <c r="I56" s="18"/>
      <c r="J56" s="18"/>
      <c r="K56" s="18"/>
      <c r="L56" s="55"/>
      <c r="M56" s="55"/>
      <c r="N56" s="55"/>
      <c r="O56" s="55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</row>
    <row r="57" spans="1:33" x14ac:dyDescent="0.2">
      <c r="A57"/>
      <c r="B57" s="12" t="s">
        <v>16</v>
      </c>
      <c r="C57" s="25">
        <f>(SUM(C40:C52))/(100%*13)</f>
        <v>0.99992251305792967</v>
      </c>
      <c r="G57" s="37"/>
      <c r="L57" s="56"/>
      <c r="M57" s="56"/>
      <c r="N57" s="56"/>
      <c r="O57" s="56"/>
    </row>
    <row r="58" spans="1:33" x14ac:dyDescent="0.2">
      <c r="L58" s="56"/>
      <c r="M58" s="56"/>
      <c r="N58" s="56"/>
      <c r="O58" s="56"/>
    </row>
    <row r="59" spans="1:33" x14ac:dyDescent="0.2">
      <c r="L59" s="56"/>
      <c r="M59" s="56"/>
      <c r="N59" s="56"/>
      <c r="O59" s="56"/>
    </row>
    <row r="60" spans="1:33" x14ac:dyDescent="0.2">
      <c r="L60" s="56"/>
      <c r="M60" s="56"/>
      <c r="N60" s="56"/>
      <c r="O60" s="56"/>
    </row>
    <row r="61" spans="1:33" x14ac:dyDescent="0.2">
      <c r="A61" s="58"/>
    </row>
    <row r="62" spans="1:33" x14ac:dyDescent="0.2">
      <c r="A62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70" spans="1:32" x14ac:dyDescent="0.2">
      <c r="A70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2" x14ac:dyDescent="0.2">
      <c r="A71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spans="1:32" x14ac:dyDescent="0.2">
      <c r="A72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spans="1:32" x14ac:dyDescent="0.2">
      <c r="A73"/>
      <c r="D73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</sheetData>
  <mergeCells count="14">
    <mergeCell ref="A38:A39"/>
    <mergeCell ref="B38:B39"/>
    <mergeCell ref="C38:C39"/>
    <mergeCell ref="D38:E38"/>
    <mergeCell ref="A29:B33"/>
    <mergeCell ref="D33:AG33"/>
    <mergeCell ref="D28:AG28"/>
    <mergeCell ref="A10:A11"/>
    <mergeCell ref="B10:B11"/>
    <mergeCell ref="C10:C11"/>
    <mergeCell ref="D32:AG32"/>
    <mergeCell ref="D30:AG30"/>
    <mergeCell ref="D29:AG29"/>
    <mergeCell ref="D31:AG31"/>
  </mergeCells>
  <phoneticPr fontId="9" type="noConversion"/>
  <conditionalFormatting sqref="D15:F15 D13:D21 D17:E18">
    <cfRule type="cellIs" dxfId="97" priority="300" stopIfTrue="1" operator="greaterThan">
      <formula>0</formula>
    </cfRule>
  </conditionalFormatting>
  <conditionalFormatting sqref="I15:M15">
    <cfRule type="cellIs" dxfId="96" priority="299" stopIfTrue="1" operator="greaterThan">
      <formula>0</formula>
    </cfRule>
  </conditionalFormatting>
  <conditionalFormatting sqref="O15:AD15">
    <cfRule type="cellIs" dxfId="95" priority="298" stopIfTrue="1" operator="greaterThan">
      <formula>0</formula>
    </cfRule>
  </conditionalFormatting>
  <conditionalFormatting sqref="G15">
    <cfRule type="cellIs" dxfId="94" priority="292" stopIfTrue="1" operator="greaterThan">
      <formula>0</formula>
    </cfRule>
  </conditionalFormatting>
  <conditionalFormatting sqref="N15">
    <cfRule type="cellIs" dxfId="93" priority="291" stopIfTrue="1" operator="greaterThan">
      <formula>0</formula>
    </cfRule>
  </conditionalFormatting>
  <conditionalFormatting sqref="H15">
    <cfRule type="cellIs" dxfId="92" priority="285" stopIfTrue="1" operator="greaterThan">
      <formula>0</formula>
    </cfRule>
  </conditionalFormatting>
  <conditionalFormatting sqref="D13:F13">
    <cfRule type="cellIs" dxfId="91" priority="254" stopIfTrue="1" operator="greaterThan">
      <formula>0</formula>
    </cfRule>
  </conditionalFormatting>
  <conditionalFormatting sqref="D14:F14">
    <cfRule type="cellIs" dxfId="90" priority="270" stopIfTrue="1" operator="greaterThan">
      <formula>0</formula>
    </cfRule>
  </conditionalFormatting>
  <conditionalFormatting sqref="I14:M14">
    <cfRule type="cellIs" dxfId="89" priority="269" stopIfTrue="1" operator="greaterThan">
      <formula>0</formula>
    </cfRule>
  </conditionalFormatting>
  <conditionalFormatting sqref="O14:AD14">
    <cfRule type="cellIs" dxfId="88" priority="268" stopIfTrue="1" operator="greaterThan">
      <formula>0</formula>
    </cfRule>
  </conditionalFormatting>
  <conditionalFormatting sqref="G14">
    <cfRule type="cellIs" dxfId="87" priority="267" stopIfTrue="1" operator="greaterThan">
      <formula>0</formula>
    </cfRule>
  </conditionalFormatting>
  <conditionalFormatting sqref="N14">
    <cfRule type="cellIs" dxfId="86" priority="266" stopIfTrue="1" operator="greaterThan">
      <formula>0</formula>
    </cfRule>
  </conditionalFormatting>
  <conditionalFormatting sqref="H14">
    <cfRule type="cellIs" dxfId="85" priority="265" stopIfTrue="1" operator="greaterThan">
      <formula>0</formula>
    </cfRule>
  </conditionalFormatting>
  <conditionalFormatting sqref="D16:F16">
    <cfRule type="cellIs" dxfId="84" priority="246" stopIfTrue="1" operator="greaterThan">
      <formula>0</formula>
    </cfRule>
  </conditionalFormatting>
  <conditionalFormatting sqref="I13:M13">
    <cfRule type="cellIs" dxfId="83" priority="253" stopIfTrue="1" operator="greaterThan">
      <formula>0</formula>
    </cfRule>
  </conditionalFormatting>
  <conditionalFormatting sqref="O13:AD13">
    <cfRule type="cellIs" dxfId="82" priority="252" stopIfTrue="1" operator="greaterThan">
      <formula>0</formula>
    </cfRule>
  </conditionalFormatting>
  <conditionalFormatting sqref="G13">
    <cfRule type="cellIs" dxfId="81" priority="251" stopIfTrue="1" operator="greaterThan">
      <formula>0</formula>
    </cfRule>
  </conditionalFormatting>
  <conditionalFormatting sqref="N13">
    <cfRule type="cellIs" dxfId="80" priority="250" stopIfTrue="1" operator="greaterThan">
      <formula>0</formula>
    </cfRule>
  </conditionalFormatting>
  <conditionalFormatting sqref="H13">
    <cfRule type="cellIs" dxfId="79" priority="249" stopIfTrue="1" operator="greaterThan">
      <formula>0</formula>
    </cfRule>
  </conditionalFormatting>
  <conditionalFormatting sqref="AE13">
    <cfRule type="cellIs" dxfId="78" priority="248" stopIfTrue="1" operator="greaterThan">
      <formula>0</formula>
    </cfRule>
  </conditionalFormatting>
  <conditionalFormatting sqref="I16:M16">
    <cfRule type="cellIs" dxfId="77" priority="245" stopIfTrue="1" operator="greaterThan">
      <formula>0</formula>
    </cfRule>
  </conditionalFormatting>
  <conditionalFormatting sqref="O16:Q16">
    <cfRule type="cellIs" dxfId="76" priority="244" stopIfTrue="1" operator="greaterThan">
      <formula>0</formula>
    </cfRule>
  </conditionalFormatting>
  <conditionalFormatting sqref="N16">
    <cfRule type="cellIs" dxfId="75" priority="242" stopIfTrue="1" operator="greaterThan">
      <formula>0</formula>
    </cfRule>
  </conditionalFormatting>
  <conditionalFormatting sqref="H16">
    <cfRule type="cellIs" dxfId="74" priority="241" stopIfTrue="1" operator="greaterThan">
      <formula>0</formula>
    </cfRule>
  </conditionalFormatting>
  <conditionalFormatting sqref="D19:E19">
    <cfRule type="cellIs" dxfId="73" priority="226" stopIfTrue="1" operator="greaterThan">
      <formula>0</formula>
    </cfRule>
  </conditionalFormatting>
  <conditionalFormatting sqref="D20">
    <cfRule type="cellIs" dxfId="72" priority="212" stopIfTrue="1" operator="greaterThan">
      <formula>0</formula>
    </cfRule>
  </conditionalFormatting>
  <conditionalFormatting sqref="S16">
    <cfRule type="cellIs" dxfId="71" priority="203" stopIfTrue="1" operator="greaterThan">
      <formula>0</formula>
    </cfRule>
  </conditionalFormatting>
  <conditionalFormatting sqref="W16">
    <cfRule type="cellIs" dxfId="70" priority="199" stopIfTrue="1" operator="greaterThan">
      <formula>0</formula>
    </cfRule>
  </conditionalFormatting>
  <conditionalFormatting sqref="V16">
    <cfRule type="cellIs" dxfId="69" priority="200" stopIfTrue="1" operator="greaterThan">
      <formula>0</formula>
    </cfRule>
  </conditionalFormatting>
  <conditionalFormatting sqref="R16">
    <cfRule type="cellIs" dxfId="68" priority="204" stopIfTrue="1" operator="greaterThan">
      <formula>0</formula>
    </cfRule>
  </conditionalFormatting>
  <conditionalFormatting sqref="T16">
    <cfRule type="cellIs" dxfId="67" priority="202" stopIfTrue="1" operator="greaterThan">
      <formula>0</formula>
    </cfRule>
  </conditionalFormatting>
  <conditionalFormatting sqref="U16">
    <cfRule type="cellIs" dxfId="66" priority="201" stopIfTrue="1" operator="greaterThan">
      <formula>0</formula>
    </cfRule>
  </conditionalFormatting>
  <conditionalFormatting sqref="X16">
    <cfRule type="cellIs" dxfId="65" priority="198" stopIfTrue="1" operator="greaterThan">
      <formula>0</formula>
    </cfRule>
  </conditionalFormatting>
  <conditionalFormatting sqref="Y16">
    <cfRule type="cellIs" dxfId="64" priority="197" stopIfTrue="1" operator="greaterThan">
      <formula>0</formula>
    </cfRule>
  </conditionalFormatting>
  <conditionalFormatting sqref="Z16">
    <cfRule type="cellIs" dxfId="63" priority="196" stopIfTrue="1" operator="greaterThan">
      <formula>0</formula>
    </cfRule>
  </conditionalFormatting>
  <conditionalFormatting sqref="AA16">
    <cfRule type="cellIs" dxfId="62" priority="195" stopIfTrue="1" operator="greaterThan">
      <formula>0</formula>
    </cfRule>
  </conditionalFormatting>
  <conditionalFormatting sqref="AB16">
    <cfRule type="cellIs" dxfId="61" priority="194" stopIfTrue="1" operator="greaterThan">
      <formula>0</formula>
    </cfRule>
  </conditionalFormatting>
  <conditionalFormatting sqref="AC16">
    <cfRule type="cellIs" dxfId="60" priority="193" stopIfTrue="1" operator="greaterThan">
      <formula>0</formula>
    </cfRule>
  </conditionalFormatting>
  <conditionalFormatting sqref="AD16">
    <cfRule type="cellIs" dxfId="59" priority="192" stopIfTrue="1" operator="greaterThan">
      <formula>0</formula>
    </cfRule>
  </conditionalFormatting>
  <conditionalFormatting sqref="D22:E23 D26:E26">
    <cfRule type="cellIs" dxfId="58" priority="149" stopIfTrue="1" operator="greaterThan">
      <formula>0</formula>
    </cfRule>
  </conditionalFormatting>
  <conditionalFormatting sqref="AG13">
    <cfRule type="cellIs" dxfId="57" priority="139" stopIfTrue="1" operator="greaterThan">
      <formula>0</formula>
    </cfRule>
  </conditionalFormatting>
  <conditionalFormatting sqref="AG13">
    <cfRule type="cellIs" dxfId="56" priority="130" stopIfTrue="1" operator="greaterThan">
      <formula>0</formula>
    </cfRule>
  </conditionalFormatting>
  <conditionalFormatting sqref="AG15">
    <cfRule type="cellIs" dxfId="55" priority="142" stopIfTrue="1" operator="greaterThan">
      <formula>0</formula>
    </cfRule>
  </conditionalFormatting>
  <conditionalFormatting sqref="AG14">
    <cfRule type="cellIs" dxfId="54" priority="141" stopIfTrue="1" operator="greaterThan">
      <formula>0</formula>
    </cfRule>
  </conditionalFormatting>
  <conditionalFormatting sqref="AG16">
    <cfRule type="cellIs" dxfId="53" priority="136" stopIfTrue="1" operator="greaterThan">
      <formula>0</formula>
    </cfRule>
  </conditionalFormatting>
  <conditionalFormatting sqref="AG15">
    <cfRule type="cellIs" dxfId="52" priority="133" stopIfTrue="1" operator="greaterThan">
      <formula>0</formula>
    </cfRule>
  </conditionalFormatting>
  <conditionalFormatting sqref="AG14">
    <cfRule type="cellIs" dxfId="51" priority="132" stopIfTrue="1" operator="greaterThan">
      <formula>0</formula>
    </cfRule>
  </conditionalFormatting>
  <conditionalFormatting sqref="AG16">
    <cfRule type="cellIs" dxfId="50" priority="127" stopIfTrue="1" operator="greaterThan">
      <formula>0</formula>
    </cfRule>
  </conditionalFormatting>
  <conditionalFormatting sqref="K37">
    <cfRule type="cellIs" dxfId="49" priority="102" stopIfTrue="1" operator="greaterThan">
      <formula>0</formula>
    </cfRule>
  </conditionalFormatting>
  <conditionalFormatting sqref="E21">
    <cfRule type="cellIs" dxfId="48" priority="107" stopIfTrue="1" operator="greaterThan">
      <formula>0</formula>
    </cfRule>
  </conditionalFormatting>
  <conditionalFormatting sqref="D27:J27 M27 AC27:AD27 O27:AA27">
    <cfRule type="cellIs" dxfId="47" priority="116" stopIfTrue="1" operator="greaterThan">
      <formula>0</formula>
    </cfRule>
  </conditionalFormatting>
  <conditionalFormatting sqref="AG27">
    <cfRule type="cellIs" dxfId="46" priority="114" stopIfTrue="1" operator="greaterThan">
      <formula>0</formula>
    </cfRule>
  </conditionalFormatting>
  <conditionalFormatting sqref="AG27">
    <cfRule type="cellIs" dxfId="45" priority="113" stopIfTrue="1" operator="greaterThan">
      <formula>0</formula>
    </cfRule>
  </conditionalFormatting>
  <conditionalFormatting sqref="L37">
    <cfRule type="cellIs" dxfId="44" priority="101" stopIfTrue="1" operator="greaterThan">
      <formula>0</formula>
    </cfRule>
  </conditionalFormatting>
  <conditionalFormatting sqref="K27:L27">
    <cfRule type="cellIs" dxfId="43" priority="94" stopIfTrue="1" operator="greaterThan">
      <formula>0</formula>
    </cfRule>
  </conditionalFormatting>
  <conditionalFormatting sqref="K42">
    <cfRule type="cellIs" dxfId="42" priority="93" stopIfTrue="1" operator="greaterThan">
      <formula>0</formula>
    </cfRule>
  </conditionalFormatting>
  <conditionalFormatting sqref="AE14">
    <cfRule type="cellIs" dxfId="41" priority="84" stopIfTrue="1" operator="greaterThan">
      <formula>0</formula>
    </cfRule>
  </conditionalFormatting>
  <conditionalFormatting sqref="AE15">
    <cfRule type="cellIs" dxfId="40" priority="83" stopIfTrue="1" operator="greaterThan">
      <formula>0</formula>
    </cfRule>
  </conditionalFormatting>
  <conditionalFormatting sqref="AE16">
    <cfRule type="cellIs" dxfId="39" priority="82" stopIfTrue="1" operator="greaterThan">
      <formula>0</formula>
    </cfRule>
  </conditionalFormatting>
  <conditionalFormatting sqref="AE27">
    <cfRule type="cellIs" dxfId="38" priority="73" stopIfTrue="1" operator="greaterThan">
      <formula>0</formula>
    </cfRule>
  </conditionalFormatting>
  <conditionalFormatting sqref="AB27">
    <cfRule type="cellIs" dxfId="37" priority="70" stopIfTrue="1" operator="greaterThan">
      <formula>0</formula>
    </cfRule>
  </conditionalFormatting>
  <conditionalFormatting sqref="E20">
    <cfRule type="cellIs" dxfId="36" priority="65" stopIfTrue="1" operator="greaterThan">
      <formula>0</formula>
    </cfRule>
  </conditionalFormatting>
  <conditionalFormatting sqref="AF13">
    <cfRule type="cellIs" dxfId="35" priority="39" stopIfTrue="1" operator="greaterThan">
      <formula>0</formula>
    </cfRule>
  </conditionalFormatting>
  <conditionalFormatting sqref="AF14">
    <cfRule type="cellIs" dxfId="34" priority="38" stopIfTrue="1" operator="greaterThan">
      <formula>0</formula>
    </cfRule>
  </conditionalFormatting>
  <conditionalFormatting sqref="AF15">
    <cfRule type="cellIs" dxfId="33" priority="37" stopIfTrue="1" operator="greaterThan">
      <formula>0</formula>
    </cfRule>
  </conditionalFormatting>
  <conditionalFormatting sqref="AF16">
    <cfRule type="cellIs" dxfId="32" priority="36" stopIfTrue="1" operator="greaterThan">
      <formula>0</formula>
    </cfRule>
  </conditionalFormatting>
  <conditionalFormatting sqref="AF27">
    <cfRule type="cellIs" dxfId="31" priority="28" stopIfTrue="1" operator="greaterThan">
      <formula>0</formula>
    </cfRule>
  </conditionalFormatting>
  <conditionalFormatting sqref="F26:M26 O26:AG26 F17 H17:X17 F22:AG23 F20:H21 K20:AG21 Z17:AC17 AE17:AG17 F18:AG19">
    <cfRule type="cellIs" dxfId="30" priority="25" stopIfTrue="1" operator="greaterThan">
      <formula>0</formula>
    </cfRule>
  </conditionalFormatting>
  <conditionalFormatting sqref="N26:N27">
    <cfRule type="cellIs" dxfId="29" priority="23" stopIfTrue="1" operator="greaterThan">
      <formula>0</formula>
    </cfRule>
  </conditionalFormatting>
  <conditionalFormatting sqref="G16">
    <cfRule type="cellIs" dxfId="28" priority="21" stopIfTrue="1" operator="greaterThan">
      <formula>0</formula>
    </cfRule>
  </conditionalFormatting>
  <conditionalFormatting sqref="G17">
    <cfRule type="cellIs" dxfId="27" priority="20" stopIfTrue="1" operator="greaterThan">
      <formula>0</formula>
    </cfRule>
  </conditionalFormatting>
  <conditionalFormatting sqref="G17">
    <cfRule type="cellIs" dxfId="26" priority="19" stopIfTrue="1" operator="greaterThan">
      <formula>0</formula>
    </cfRule>
  </conditionalFormatting>
  <conditionalFormatting sqref="I20:J21">
    <cfRule type="cellIs" dxfId="25" priority="18" stopIfTrue="1" operator="greaterThan">
      <formula>0</formula>
    </cfRule>
  </conditionalFormatting>
  <conditionalFormatting sqref="I20:J21">
    <cfRule type="cellIs" dxfId="24" priority="17" stopIfTrue="1" operator="greaterThan">
      <formula>0</formula>
    </cfRule>
  </conditionalFormatting>
  <conditionalFormatting sqref="Y17">
    <cfRule type="cellIs" dxfId="23" priority="16" stopIfTrue="1" operator="greaterThan">
      <formula>0</formula>
    </cfRule>
  </conditionalFormatting>
  <conditionalFormatting sqref="Y17">
    <cfRule type="cellIs" dxfId="22" priority="15" stopIfTrue="1" operator="greaterThan">
      <formula>0</formula>
    </cfRule>
  </conditionalFormatting>
  <conditionalFormatting sqref="AD17">
    <cfRule type="cellIs" dxfId="21" priority="12" stopIfTrue="1" operator="greaterThan">
      <formula>0</formula>
    </cfRule>
  </conditionalFormatting>
  <conditionalFormatting sqref="AD17">
    <cfRule type="cellIs" dxfId="20" priority="11" stopIfTrue="1" operator="greaterThan">
      <formula>0</formula>
    </cfRule>
  </conditionalFormatting>
  <conditionalFormatting sqref="D24">
    <cfRule type="cellIs" dxfId="19" priority="10" stopIfTrue="1" operator="greaterThan">
      <formula>0</formula>
    </cfRule>
  </conditionalFormatting>
  <conditionalFormatting sqref="E24:R24">
    <cfRule type="cellIs" dxfId="17" priority="9" stopIfTrue="1" operator="greaterThan">
      <formula>0</formula>
    </cfRule>
  </conditionalFormatting>
  <conditionalFormatting sqref="S24:S25">
    <cfRule type="cellIs" dxfId="11" priority="6" stopIfTrue="1" operator="greaterThan">
      <formula>0</formula>
    </cfRule>
  </conditionalFormatting>
  <conditionalFormatting sqref="T24:AG25">
    <cfRule type="cellIs" dxfId="9" priority="5" stopIfTrue="1" operator="greaterThan">
      <formula>0</formula>
    </cfRule>
  </conditionalFormatting>
  <conditionalFormatting sqref="E25:R25">
    <cfRule type="cellIs" dxfId="5" priority="3" stopIfTrue="1" operator="greaterThan">
      <formula>0</formula>
    </cfRule>
  </conditionalFormatting>
  <conditionalFormatting sqref="D25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2023-12-07T03:49:48Z</dcterms:modified>
</cp:coreProperties>
</file>