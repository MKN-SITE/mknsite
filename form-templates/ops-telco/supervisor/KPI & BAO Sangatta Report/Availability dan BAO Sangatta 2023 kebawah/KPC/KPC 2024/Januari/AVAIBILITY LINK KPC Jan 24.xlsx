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420" windowWidth="15480" windowHeight="1122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7" i="11" l="1"/>
  <c r="D57" i="11"/>
  <c r="E56" i="11"/>
  <c r="D56" i="11"/>
  <c r="D54" i="11"/>
  <c r="E54" i="11"/>
  <c r="E53" i="11"/>
  <c r="D53" i="11"/>
  <c r="E52" i="11"/>
  <c r="D52" i="11"/>
  <c r="E51" i="11"/>
  <c r="D51" i="11"/>
  <c r="E50" i="11"/>
  <c r="D50" i="11"/>
  <c r="E49" i="11"/>
  <c r="D49" i="11"/>
  <c r="E48" i="11"/>
  <c r="D48" i="11"/>
  <c r="E47" i="11"/>
  <c r="D47" i="11"/>
  <c r="E46" i="11"/>
  <c r="D45" i="11"/>
  <c r="E44" i="11"/>
  <c r="D44" i="11"/>
  <c r="E43" i="11"/>
  <c r="D43" i="11"/>
  <c r="E55" i="11"/>
  <c r="D55" i="11"/>
  <c r="C53" i="11" l="1"/>
  <c r="C54" i="11"/>
  <c r="C52" i="11"/>
  <c r="C43" i="11"/>
  <c r="C44" i="11"/>
  <c r="E45" i="11"/>
  <c r="D46" i="11"/>
  <c r="C47" i="11" l="1"/>
  <c r="C51" i="11"/>
  <c r="C49" i="11"/>
  <c r="C45" i="11"/>
  <c r="C50" i="11"/>
  <c r="C48" i="11"/>
  <c r="C46" i="11"/>
  <c r="C63" i="11" l="1"/>
</calcChain>
</file>

<file path=xl/sharedStrings.xml><?xml version="1.0" encoding="utf-8"?>
<sst xmlns="http://schemas.openxmlformats.org/spreadsheetml/2006/main" count="114" uniqueCount="54">
  <si>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</si>
  <si>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</si>
  <si>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</si>
  <si>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</si>
  <si>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</si>
  <si>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</si>
  <si>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</si>
  <si>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</si>
  <si>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</si>
  <si>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</si>
  <si>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</si>
  <si>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</si>
  <si>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</si>
  <si>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</si>
  <si>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</si>
  <si>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</si>
  <si>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</si>
  <si>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</si>
  <si>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</si>
  <si>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</si>
  <si>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</si>
  <si>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</si>
  <si>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</si>
  <si>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</si>
  <si>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</si>
  <si>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</si>
  <si>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</si>
  <si>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</si>
  <si>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</si>
  <si>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</si>
  <si>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31</t>
  </si>
  <si>
    <t>Remaks</t>
  </si>
  <si>
    <t>M5 to PTH</t>
  </si>
  <si>
    <t>M5 to HATARI</t>
  </si>
  <si>
    <t>SURYA to BINTANG</t>
  </si>
  <si>
    <t>BINTANG to AB</t>
  </si>
  <si>
    <t>AB to FARNORTH</t>
  </si>
  <si>
    <t>HATARI to AB</t>
  </si>
  <si>
    <t>PTH to LBTT</t>
  </si>
  <si>
    <t>P11 to PTH</t>
  </si>
  <si>
    <t>FARNORTH to LIGNITE</t>
  </si>
  <si>
    <t>FARNORTH to 15000</t>
  </si>
  <si>
    <t>FARNORTH to MIDDLE</t>
  </si>
  <si>
    <t>LBTT to 15000</t>
  </si>
  <si>
    <t>14</t>
  </si>
  <si>
    <t>PTH to GALAXI</t>
  </si>
  <si>
    <t>15</t>
  </si>
  <si>
    <t>MIDDLE to LIGNITE</t>
  </si>
  <si>
    <t>M5 to SURYA</t>
  </si>
  <si>
    <t>FARNORTH to 15K</t>
  </si>
  <si>
    <t xml:space="preserve">LBTT to 15K </t>
  </si>
  <si>
    <t xml:space="preserve">M5 to SURYA </t>
  </si>
  <si>
    <t>PTH to Galaxi</t>
  </si>
  <si>
    <t xml:space="preserve">    High BER / Obstacle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</si>
</sst>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3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  <font>
      <b/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13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0" fillId="0" borderId="2" xfId="0" applyBorder="1"/>
    <xf numFmtId="164" fontId="0" fillId="0" borderId="1" xfId="0" applyBorder="1"/>
    <xf numFmtId="164" fontId="6" fillId="0" borderId="2" xfId="0" applyFont="1" applyBorder="1"/>
    <xf numFmtId="164" fontId="38" fillId="0" borderId="0" xfId="0" applyFont="1" applyAlignment="1"/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46" fontId="0" fillId="0" borderId="1" xfId="0" applyNumberFormat="1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164" fontId="6" fillId="0" borderId="0" xfId="0" applyFont="1" applyFill="1"/>
    <xf numFmtId="164" fontId="41" fillId="0" borderId="0" xfId="0" applyFont="1"/>
    <xf numFmtId="164" fontId="41" fillId="0" borderId="0" xfId="0" applyFont="1" applyFill="1" applyBorder="1"/>
    <xf numFmtId="164" fontId="36" fillId="0" borderId="15" xfId="0" applyFont="1" applyBorder="1" applyAlignment="1">
      <alignment horizontal="center" wrapText="1"/>
    </xf>
    <xf numFmtId="164" fontId="12" fillId="0" borderId="1" xfId="0" applyFont="1" applyBorder="1" applyAlignment="1">
      <alignment horizontal="left" vertical="center"/>
    </xf>
    <xf numFmtId="16" fontId="8" fillId="0" borderId="23" xfId="0" applyNumberFormat="1" applyFont="1" applyBorder="1" applyAlignment="1">
      <alignment horizontal="center"/>
    </xf>
    <xf numFmtId="16" fontId="8" fillId="0" borderId="5" xfId="0" applyNumberFormat="1" applyFont="1" applyBorder="1" applyAlignment="1">
      <alignment horizont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4" fontId="35" fillId="0" borderId="1" xfId="0" applyFont="1" applyFill="1" applyBorder="1"/>
    <xf numFmtId="164" fontId="35" fillId="0" borderId="3" xfId="0" applyFont="1" applyFill="1" applyBorder="1"/>
    <xf numFmtId="16" fontId="8" fillId="0" borderId="23" xfId="0" applyNumberFormat="1" applyFont="1" applyFill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0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37" fillId="0" borderId="3" xfId="0" applyNumberFormat="1" applyFont="1" applyBorder="1" applyAlignment="1">
      <alignment horizontal="center" vertical="center"/>
    </xf>
    <xf numFmtId="49" fontId="37" fillId="0" borderId="20" xfId="0" applyNumberFormat="1" applyFont="1" applyBorder="1" applyAlignment="1">
      <alignment horizontal="center" vertical="center"/>
    </xf>
    <xf numFmtId="49" fontId="37" fillId="0" borderId="5" xfId="0" applyNumberFormat="1" applyFont="1" applyBorder="1" applyAlignment="1">
      <alignment horizontal="center" vertical="center"/>
    </xf>
    <xf numFmtId="164" fontId="42" fillId="0" borderId="3" xfId="0" applyFont="1" applyBorder="1" applyAlignment="1">
      <alignment horizontal="center" vertical="center"/>
    </xf>
    <xf numFmtId="164" fontId="42" fillId="0" borderId="20" xfId="0" applyFont="1" applyBorder="1" applyAlignment="1">
      <alignment horizontal="center" vertical="center"/>
    </xf>
    <xf numFmtId="164" fontId="42" fillId="0" borderId="5" xfId="0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top"/>
    </xf>
    <xf numFmtId="164" fontId="38" fillId="0" borderId="19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0" xfId="0" applyFont="1" applyBorder="1" applyAlignment="1">
      <alignment horizontal="left" vertical="center"/>
    </xf>
    <xf numFmtId="164" fontId="39" fillId="0" borderId="4" xfId="0" applyFont="1" applyBorder="1" applyAlignment="1">
      <alignment vertical="center"/>
    </xf>
    <xf numFmtId="164" fontId="39" fillId="0" borderId="19" xfId="0" applyFont="1" applyBorder="1" applyAlignment="1">
      <alignment vertical="center"/>
    </xf>
    <xf numFmtId="164" fontId="39" fillId="0" borderId="2" xfId="0" applyFont="1" applyBorder="1" applyAlignment="1">
      <alignment vertical="center"/>
    </xf>
    <xf numFmtId="164" fontId="6" fillId="0" borderId="0" xfId="0" applyFont="1" applyFill="1" applyAlignment="1">
      <alignment horizontal="left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82"/>
  <sheetViews>
    <sheetView tabSelected="1" zoomScale="90" zoomScaleNormal="9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B29" sqref="B29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  <col min="34" max="34" width="10.425781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9">
        <v>45292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1" t="s">
        <v>30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x14ac:dyDescent="0.2">
      <c r="A9" s="87"/>
      <c r="B9" s="87"/>
      <c r="C9" s="87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</row>
    <row r="10" spans="1:34" s="3" customFormat="1" x14ac:dyDescent="0.2">
      <c r="A10" s="92" t="s">
        <v>2</v>
      </c>
      <c r="B10" s="94" t="s">
        <v>0</v>
      </c>
      <c r="C10" s="94" t="s">
        <v>8</v>
      </c>
      <c r="D10" s="91">
        <v>44197</v>
      </c>
      <c r="E10" s="91">
        <v>44198</v>
      </c>
      <c r="F10" s="91">
        <v>44199</v>
      </c>
      <c r="G10" s="91">
        <v>44200</v>
      </c>
      <c r="H10" s="91">
        <v>44201</v>
      </c>
      <c r="I10" s="91">
        <v>44202</v>
      </c>
      <c r="J10" s="91">
        <v>44203</v>
      </c>
      <c r="K10" s="91">
        <v>44204</v>
      </c>
      <c r="L10" s="91">
        <v>44205</v>
      </c>
      <c r="M10" s="91">
        <v>44206</v>
      </c>
      <c r="N10" s="91">
        <v>44207</v>
      </c>
      <c r="O10" s="91">
        <v>44208</v>
      </c>
      <c r="P10" s="91">
        <v>44209</v>
      </c>
      <c r="Q10" s="91">
        <v>44210</v>
      </c>
      <c r="R10" s="91">
        <v>44211</v>
      </c>
      <c r="S10" s="91">
        <v>44212</v>
      </c>
      <c r="T10" s="91">
        <v>44213</v>
      </c>
      <c r="U10" s="91">
        <v>44214</v>
      </c>
      <c r="V10" s="91">
        <v>44215</v>
      </c>
      <c r="W10" s="91">
        <v>44216</v>
      </c>
      <c r="X10" s="91">
        <v>44217</v>
      </c>
      <c r="Y10" s="91">
        <v>44218</v>
      </c>
      <c r="Z10" s="85">
        <v>44219</v>
      </c>
      <c r="AA10" s="85">
        <v>44220</v>
      </c>
      <c r="AB10" s="85">
        <v>44221</v>
      </c>
      <c r="AC10" s="85">
        <v>44222</v>
      </c>
      <c r="AD10" s="85">
        <v>44223</v>
      </c>
      <c r="AE10" s="85">
        <v>44224</v>
      </c>
      <c r="AF10" s="85">
        <v>44225</v>
      </c>
      <c r="AG10" s="85">
        <v>44226</v>
      </c>
      <c r="AH10" s="86">
        <v>44227</v>
      </c>
    </row>
    <row r="11" spans="1:34" s="1" customFormat="1" x14ac:dyDescent="0.2">
      <c r="A11" s="93"/>
      <c r="B11" s="95"/>
      <c r="C11" s="95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84" t="s">
        <v>7</v>
      </c>
    </row>
    <row r="12" spans="1:34" x14ac:dyDescent="0.2">
      <c r="A12" s="45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3"/>
      <c r="AG12" s="62"/>
      <c r="AH12" s="63"/>
    </row>
    <row r="13" spans="1:34" s="12" customFormat="1" ht="15.75" x14ac:dyDescent="0.25">
      <c r="A13" s="46" t="s">
        <v>26</v>
      </c>
      <c r="B13" s="89" t="s">
        <v>51</v>
      </c>
      <c r="C13" s="36"/>
      <c r="D13" s="78">
        <v>0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9">
        <v>0</v>
      </c>
      <c r="AF13" s="78">
        <v>0</v>
      </c>
      <c r="AG13" s="78">
        <v>0</v>
      </c>
      <c r="AH13" s="78">
        <v>0</v>
      </c>
    </row>
    <row r="14" spans="1:34" s="12" customFormat="1" ht="15.75" x14ac:dyDescent="0.25">
      <c r="A14" s="46" t="s">
        <v>17</v>
      </c>
      <c r="B14" s="89" t="s">
        <v>32</v>
      </c>
      <c r="C14" s="36"/>
      <c r="D14" s="78">
        <v>0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9">
        <v>0</v>
      </c>
      <c r="AF14" s="78">
        <v>0</v>
      </c>
      <c r="AG14" s="78">
        <v>0</v>
      </c>
      <c r="AH14" s="78">
        <v>0</v>
      </c>
    </row>
    <row r="15" spans="1:34" s="12" customFormat="1" ht="15.75" x14ac:dyDescent="0.25">
      <c r="A15" s="46" t="s">
        <v>18</v>
      </c>
      <c r="B15" s="89" t="s">
        <v>33</v>
      </c>
      <c r="C15" s="36"/>
      <c r="D15" s="78">
        <v>0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9">
        <v>0</v>
      </c>
      <c r="AF15" s="78">
        <v>0</v>
      </c>
      <c r="AG15" s="78">
        <v>0</v>
      </c>
      <c r="AH15" s="78">
        <v>0</v>
      </c>
    </row>
    <row r="16" spans="1:34" s="12" customFormat="1" ht="15.75" x14ac:dyDescent="0.25">
      <c r="A16" s="46" t="s">
        <v>19</v>
      </c>
      <c r="B16" s="89" t="s">
        <v>34</v>
      </c>
      <c r="C16" s="36"/>
      <c r="D16" s="78">
        <v>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7.106481481481481E-3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3.7500000000000003E-3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  <c r="AF16" s="78">
        <v>0</v>
      </c>
      <c r="AG16" s="78">
        <v>0</v>
      </c>
      <c r="AH16" s="78">
        <v>0</v>
      </c>
    </row>
    <row r="17" spans="1:38" s="12" customFormat="1" ht="15.75" x14ac:dyDescent="0.25">
      <c r="A17" s="46" t="s">
        <v>20</v>
      </c>
      <c r="B17" s="89" t="s">
        <v>35</v>
      </c>
      <c r="C17" s="36"/>
      <c r="D17" s="78">
        <v>0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  <c r="AF17" s="78">
        <v>0</v>
      </c>
      <c r="AG17" s="78">
        <v>0</v>
      </c>
      <c r="AH17" s="78">
        <v>0</v>
      </c>
    </row>
    <row r="18" spans="1:38" s="12" customFormat="1" ht="15.75" x14ac:dyDescent="0.25">
      <c r="A18" s="46" t="s">
        <v>21</v>
      </c>
      <c r="B18" s="89" t="s">
        <v>36</v>
      </c>
      <c r="C18" s="36"/>
      <c r="D18" s="78">
        <v>0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  <c r="AF18" s="78">
        <v>0</v>
      </c>
      <c r="AG18" s="78">
        <v>0</v>
      </c>
      <c r="AH18" s="78">
        <v>0</v>
      </c>
      <c r="AL18" s="68"/>
    </row>
    <row r="19" spans="1:38" s="12" customFormat="1" ht="15.75" x14ac:dyDescent="0.25">
      <c r="A19" s="46" t="s">
        <v>22</v>
      </c>
      <c r="B19" s="89" t="s">
        <v>37</v>
      </c>
      <c r="C19" s="36"/>
      <c r="D19" s="78">
        <v>0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  <c r="AF19" s="78">
        <v>0</v>
      </c>
      <c r="AG19" s="78">
        <v>0</v>
      </c>
      <c r="AH19" s="78">
        <v>0</v>
      </c>
    </row>
    <row r="20" spans="1:38" s="12" customFormat="1" ht="15.75" x14ac:dyDescent="0.25">
      <c r="A20" s="46" t="s">
        <v>23</v>
      </c>
      <c r="B20" s="90" t="s">
        <v>41</v>
      </c>
      <c r="C20" s="36"/>
      <c r="D20" s="79">
        <v>0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</row>
    <row r="21" spans="1:38" s="12" customFormat="1" ht="15.75" x14ac:dyDescent="0.25">
      <c r="A21" s="46" t="s">
        <v>24</v>
      </c>
      <c r="B21" s="90" t="s">
        <v>42</v>
      </c>
      <c r="C21" s="36"/>
      <c r="D21" s="78">
        <v>0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  <c r="AF21" s="78">
        <v>0</v>
      </c>
      <c r="AG21" s="78">
        <v>0</v>
      </c>
      <c r="AH21" s="78">
        <v>0</v>
      </c>
    </row>
    <row r="22" spans="1:38" s="12" customFormat="1" ht="15.75" x14ac:dyDescent="0.25">
      <c r="A22" s="46" t="s">
        <v>25</v>
      </c>
      <c r="B22" s="90" t="s">
        <v>40</v>
      </c>
      <c r="C22" s="36"/>
      <c r="D22" s="79">
        <v>0</v>
      </c>
      <c r="E22" s="79">
        <v>0</v>
      </c>
      <c r="F22" s="79">
        <v>0</v>
      </c>
      <c r="G22" s="79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9">
        <v>0</v>
      </c>
      <c r="T22" s="78">
        <v>0</v>
      </c>
      <c r="U22" s="79">
        <v>0</v>
      </c>
      <c r="V22" s="79">
        <v>0</v>
      </c>
      <c r="W22" s="79">
        <v>0</v>
      </c>
      <c r="X22" s="79">
        <v>0</v>
      </c>
      <c r="Y22" s="79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  <c r="AF22" s="78">
        <v>0</v>
      </c>
      <c r="AG22" s="79">
        <v>0</v>
      </c>
      <c r="AH22" s="78">
        <v>0</v>
      </c>
    </row>
    <row r="23" spans="1:38" s="12" customFormat="1" ht="15.75" x14ac:dyDescent="0.25">
      <c r="A23" s="46" t="s">
        <v>27</v>
      </c>
      <c r="B23" s="90" t="s">
        <v>47</v>
      </c>
      <c r="C23" s="53"/>
      <c r="D23" s="79">
        <v>0</v>
      </c>
      <c r="E23" s="79">
        <v>0</v>
      </c>
      <c r="F23" s="79">
        <v>0</v>
      </c>
      <c r="G23" s="79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9">
        <v>0</v>
      </c>
      <c r="T23" s="78">
        <v>0</v>
      </c>
      <c r="U23" s="79">
        <v>0</v>
      </c>
      <c r="V23" s="79">
        <v>0</v>
      </c>
      <c r="W23" s="79">
        <v>0</v>
      </c>
      <c r="X23" s="79">
        <v>0</v>
      </c>
      <c r="Y23" s="79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  <c r="AF23" s="78">
        <v>0</v>
      </c>
      <c r="AG23" s="79">
        <v>0</v>
      </c>
      <c r="AH23" s="78">
        <v>0</v>
      </c>
    </row>
    <row r="24" spans="1:38" s="12" customFormat="1" ht="15.75" x14ac:dyDescent="0.25">
      <c r="A24" s="46" t="s">
        <v>28</v>
      </c>
      <c r="B24" s="89" t="s">
        <v>39</v>
      </c>
      <c r="C24" s="36"/>
      <c r="D24" s="79">
        <v>0</v>
      </c>
      <c r="E24" s="79">
        <v>0</v>
      </c>
      <c r="F24" s="79">
        <v>0</v>
      </c>
      <c r="G24" s="79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9">
        <v>0</v>
      </c>
      <c r="T24" s="78">
        <v>0</v>
      </c>
      <c r="U24" s="79">
        <v>0</v>
      </c>
      <c r="V24" s="79">
        <v>0</v>
      </c>
      <c r="W24" s="79">
        <v>0</v>
      </c>
      <c r="X24" s="79">
        <v>0</v>
      </c>
      <c r="Y24" s="79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  <c r="AF24" s="78">
        <v>0</v>
      </c>
      <c r="AG24" s="79">
        <v>0</v>
      </c>
      <c r="AH24" s="78">
        <v>0</v>
      </c>
    </row>
    <row r="25" spans="1:38" s="12" customFormat="1" ht="15.75" x14ac:dyDescent="0.25">
      <c r="A25" s="46" t="s">
        <v>29</v>
      </c>
      <c r="B25" s="89" t="s">
        <v>38</v>
      </c>
      <c r="C25" s="36"/>
      <c r="D25" s="79">
        <v>0</v>
      </c>
      <c r="E25" s="79">
        <v>0</v>
      </c>
      <c r="F25" s="79">
        <v>0</v>
      </c>
      <c r="G25" s="79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9">
        <v>0</v>
      </c>
      <c r="T25" s="78">
        <v>0</v>
      </c>
      <c r="U25" s="79">
        <v>0</v>
      </c>
      <c r="V25" s="79">
        <v>0</v>
      </c>
      <c r="W25" s="79">
        <v>0</v>
      </c>
      <c r="X25" s="79">
        <v>0</v>
      </c>
      <c r="Y25" s="79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  <c r="AF25" s="78">
        <v>0</v>
      </c>
      <c r="AG25" s="79">
        <v>0</v>
      </c>
      <c r="AH25" s="78">
        <v>0</v>
      </c>
    </row>
    <row r="26" spans="1:38" s="12" customFormat="1" ht="15.75" x14ac:dyDescent="0.25">
      <c r="A26" s="46" t="s">
        <v>44</v>
      </c>
      <c r="B26" s="90" t="s">
        <v>52</v>
      </c>
      <c r="C26" s="36"/>
      <c r="D26" s="79">
        <v>0</v>
      </c>
      <c r="E26" s="79">
        <v>0</v>
      </c>
      <c r="F26" s="79">
        <v>0</v>
      </c>
      <c r="G26" s="79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9">
        <v>0</v>
      </c>
      <c r="T26" s="78">
        <v>0</v>
      </c>
      <c r="U26" s="79">
        <v>0</v>
      </c>
      <c r="V26" s="79">
        <v>0</v>
      </c>
      <c r="W26" s="79">
        <v>0</v>
      </c>
      <c r="X26" s="79">
        <v>0</v>
      </c>
      <c r="Y26" s="79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  <c r="AF26" s="78">
        <v>0</v>
      </c>
      <c r="AG26" s="79">
        <v>0</v>
      </c>
      <c r="AH26" s="78">
        <v>0</v>
      </c>
    </row>
    <row r="27" spans="1:38" s="12" customFormat="1" ht="15.75" x14ac:dyDescent="0.25">
      <c r="A27" s="46" t="s">
        <v>46</v>
      </c>
      <c r="B27" s="90" t="s">
        <v>43</v>
      </c>
      <c r="C27" s="48"/>
      <c r="D27" s="79">
        <v>0</v>
      </c>
      <c r="E27" s="79">
        <v>0</v>
      </c>
      <c r="F27" s="79">
        <v>0</v>
      </c>
      <c r="G27" s="79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9">
        <v>0</v>
      </c>
      <c r="T27" s="78">
        <v>0</v>
      </c>
      <c r="U27" s="79">
        <v>0</v>
      </c>
      <c r="V27" s="79">
        <v>0</v>
      </c>
      <c r="W27" s="79">
        <v>0</v>
      </c>
      <c r="X27" s="79">
        <v>0</v>
      </c>
      <c r="Y27" s="79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  <c r="AF27" s="78">
        <v>0</v>
      </c>
      <c r="AG27" s="79">
        <v>0</v>
      </c>
      <c r="AH27" s="78">
        <v>0</v>
      </c>
    </row>
    <row r="28" spans="1:38" s="12" customFormat="1" ht="16.5" customHeight="1" x14ac:dyDescent="0.25">
      <c r="A28" s="54"/>
      <c r="B28" s="32"/>
      <c r="C28" s="5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64"/>
    </row>
    <row r="29" spans="1:38" s="12" customFormat="1" ht="16.5" customHeight="1" x14ac:dyDescent="0.25">
      <c r="A29" s="83"/>
      <c r="B29" s="32"/>
      <c r="C29" s="76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43"/>
    </row>
    <row r="30" spans="1:38" s="12" customFormat="1" ht="16.5" customHeight="1" x14ac:dyDescent="0.2">
      <c r="A30" s="98" t="s">
        <v>29</v>
      </c>
      <c r="B30" s="101" t="s">
        <v>31</v>
      </c>
      <c r="C30" s="72">
        <v>45305</v>
      </c>
      <c r="D30" s="109" t="s">
        <v>53</v>
      </c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1"/>
      <c r="AH30" s="43"/>
    </row>
    <row r="31" spans="1:38" s="12" customFormat="1" ht="16.5" customHeight="1" x14ac:dyDescent="0.2">
      <c r="A31" s="99"/>
      <c r="B31" s="102"/>
      <c r="C31" s="67">
        <v>45313</v>
      </c>
      <c r="D31" s="109" t="s">
        <v>53</v>
      </c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1"/>
      <c r="AH31" s="43"/>
    </row>
    <row r="32" spans="1:38" s="12" customFormat="1" ht="16.5" customHeight="1" x14ac:dyDescent="0.2">
      <c r="A32" s="99"/>
      <c r="B32" s="102"/>
      <c r="C32" s="72"/>
      <c r="D32" s="109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1"/>
      <c r="AH32" s="43"/>
    </row>
    <row r="33" spans="1:34" s="12" customFormat="1" ht="15" customHeight="1" x14ac:dyDescent="0.2">
      <c r="A33" s="99"/>
      <c r="B33" s="102"/>
      <c r="C33" s="67"/>
      <c r="D33" s="109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1"/>
      <c r="AH33" s="43"/>
    </row>
    <row r="34" spans="1:34" s="12" customFormat="1" ht="15" customHeight="1" x14ac:dyDescent="0.2">
      <c r="A34" s="99"/>
      <c r="B34" s="102"/>
      <c r="C34" s="72"/>
      <c r="D34" s="109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1"/>
      <c r="AH34" s="43"/>
    </row>
    <row r="35" spans="1:34" s="12" customFormat="1" ht="15" customHeight="1" x14ac:dyDescent="0.2">
      <c r="A35" s="99"/>
      <c r="B35" s="102"/>
      <c r="C35" s="72"/>
      <c r="D35" s="109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1"/>
      <c r="AH35" s="43"/>
    </row>
    <row r="36" spans="1:34" s="12" customFormat="1" ht="15" customHeight="1" x14ac:dyDescent="0.2">
      <c r="A36" s="100"/>
      <c r="B36" s="103"/>
      <c r="C36" s="72"/>
      <c r="D36" s="109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1"/>
      <c r="AH36" s="43"/>
    </row>
    <row r="37" spans="1:34" s="12" customFormat="1" ht="15" x14ac:dyDescent="0.2">
      <c r="A37" s="75"/>
      <c r="B37" s="75"/>
      <c r="C37" s="76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15"/>
      <c r="AB37" s="31"/>
    </row>
    <row r="38" spans="1:34" s="12" customFormat="1" ht="15" x14ac:dyDescent="0.2">
      <c r="A38" s="13"/>
      <c r="B38" s="42"/>
      <c r="C38" s="43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15"/>
      <c r="AB38" s="31"/>
    </row>
    <row r="39" spans="1:34" s="12" customFormat="1" x14ac:dyDescent="0.2">
      <c r="A39" s="13"/>
      <c r="D39" s="73"/>
      <c r="E39" s="15"/>
      <c r="F39" s="15"/>
      <c r="G39" s="112"/>
      <c r="H39" s="112"/>
      <c r="I39" s="112"/>
      <c r="J39" s="112"/>
      <c r="K39" s="112"/>
      <c r="L39" s="15"/>
      <c r="M39" s="15"/>
      <c r="N39" s="15"/>
      <c r="O39" s="15"/>
      <c r="AB39" s="31"/>
    </row>
    <row r="40" spans="1:34" s="12" customFormat="1" x14ac:dyDescent="0.2">
      <c r="A40" s="23" t="s">
        <v>12</v>
      </c>
      <c r="D40" s="14"/>
      <c r="E40" s="15"/>
      <c r="F40" s="15"/>
      <c r="G40" s="15"/>
      <c r="H40" s="15"/>
      <c r="I40" s="15"/>
      <c r="J40" s="15"/>
      <c r="K40" s="56"/>
      <c r="L40" s="56"/>
      <c r="M40" s="15"/>
      <c r="O40" s="15"/>
      <c r="AB40" s="31"/>
    </row>
    <row r="41" spans="1:34" s="12" customFormat="1" x14ac:dyDescent="0.2">
      <c r="A41" s="96" t="s">
        <v>2</v>
      </c>
      <c r="B41" s="96" t="s">
        <v>9</v>
      </c>
      <c r="C41" s="96" t="s">
        <v>1</v>
      </c>
      <c r="D41" s="106" t="s">
        <v>7</v>
      </c>
      <c r="E41" s="107"/>
      <c r="F41" s="15"/>
      <c r="G41" s="15"/>
      <c r="H41" s="15"/>
      <c r="I41" s="15"/>
      <c r="J41" s="15"/>
      <c r="K41" s="57"/>
      <c r="L41" s="57"/>
      <c r="M41" s="15"/>
      <c r="O41" s="15"/>
      <c r="AB41" s="31"/>
    </row>
    <row r="42" spans="1:34" s="12" customFormat="1" x14ac:dyDescent="0.2">
      <c r="A42" s="97"/>
      <c r="B42" s="97"/>
      <c r="C42" s="97"/>
      <c r="D42" s="27" t="s">
        <v>10</v>
      </c>
      <c r="E42" s="22" t="s">
        <v>11</v>
      </c>
      <c r="F42" s="15"/>
      <c r="G42" s="15"/>
      <c r="H42" s="15"/>
      <c r="I42" s="15"/>
      <c r="J42" s="15"/>
      <c r="K42" s="15"/>
      <c r="L42" s="15"/>
      <c r="M42" s="15"/>
      <c r="O42" s="15"/>
      <c r="AB42" s="31"/>
    </row>
    <row r="43" spans="1:34" s="12" customFormat="1" ht="15.75" x14ac:dyDescent="0.25">
      <c r="A43" s="40" t="s">
        <v>26</v>
      </c>
      <c r="B43" s="32" t="s">
        <v>48</v>
      </c>
      <c r="C43" s="37">
        <f t="shared" ref="C43:C51" si="0">1-(((D43*3600)+(LEFT(E43,2)*60)+RIGHT(E43,2))/((60*60*24)*$C$8))</f>
        <v>1</v>
      </c>
      <c r="D43" s="20" t="str">
        <f>TEXT(SUM(D13:AH13),"[h]")</f>
        <v>0</v>
      </c>
      <c r="E43" s="20" t="str">
        <f>TEXT(SUM(D13:AH13),"mm ss")</f>
        <v>00 00</v>
      </c>
      <c r="F43" s="15"/>
      <c r="G43" s="21"/>
      <c r="H43" s="15"/>
      <c r="I43" s="15"/>
      <c r="J43" s="15"/>
      <c r="K43" s="15"/>
      <c r="L43" s="15"/>
      <c r="M43" s="15"/>
      <c r="O43" s="15"/>
      <c r="AB43" s="31"/>
    </row>
    <row r="44" spans="1:34" s="12" customFormat="1" ht="15.75" x14ac:dyDescent="0.25">
      <c r="A44" s="40" t="s">
        <v>17</v>
      </c>
      <c r="B44" s="32" t="s">
        <v>32</v>
      </c>
      <c r="C44" s="37">
        <f t="shared" si="0"/>
        <v>1</v>
      </c>
      <c r="D44" s="20" t="str">
        <f>TEXT(SUM(D14:AG14),"[h]")</f>
        <v>0</v>
      </c>
      <c r="E44" s="20" t="str">
        <f>TEXT(SUM(D14:AG14),"mm ss")</f>
        <v>00 00</v>
      </c>
      <c r="F44" s="104"/>
      <c r="G44" s="104"/>
      <c r="H44" s="104"/>
      <c r="I44" s="104"/>
      <c r="J44" s="104"/>
      <c r="K44" s="104"/>
      <c r="L44" s="104"/>
      <c r="M44" s="104"/>
      <c r="N44" s="104"/>
      <c r="O44" s="15"/>
    </row>
    <row r="45" spans="1:34" s="12" customFormat="1" ht="15.75" x14ac:dyDescent="0.25">
      <c r="A45" s="40" t="s">
        <v>18</v>
      </c>
      <c r="B45" s="32" t="s">
        <v>33</v>
      </c>
      <c r="C45" s="37">
        <f t="shared" si="0"/>
        <v>1</v>
      </c>
      <c r="D45" s="20" t="str">
        <f>TEXT(SUM(D15:AG15),"[h]")</f>
        <v>0</v>
      </c>
      <c r="E45" s="20" t="str">
        <f t="shared" ref="E45" si="1">TEXT(SUM(D15:AG15),"mm ss")</f>
        <v>00 00</v>
      </c>
      <c r="F45" s="15"/>
      <c r="G45" s="21"/>
      <c r="H45" s="65"/>
      <c r="I45" s="15"/>
      <c r="J45" s="15"/>
      <c r="K45" s="15"/>
      <c r="L45" s="15"/>
      <c r="M45" s="15"/>
      <c r="O45" s="15"/>
    </row>
    <row r="46" spans="1:34" s="12" customFormat="1" ht="15.75" x14ac:dyDescent="0.25">
      <c r="A46" s="40" t="s">
        <v>19</v>
      </c>
      <c r="B46" s="32" t="s">
        <v>34</v>
      </c>
      <c r="C46" s="37">
        <f t="shared" si="0"/>
        <v>0.99964979091995221</v>
      </c>
      <c r="D46" s="20" t="str">
        <f t="shared" ref="D46" si="2">TEXT(SUM(D16:AG16),"[h]")</f>
        <v>0</v>
      </c>
      <c r="E46" s="20" t="str">
        <f t="shared" ref="E46:E53" si="3">TEXT(SUM(D16:AG16),"mm ss")</f>
        <v>15 38</v>
      </c>
      <c r="F46" s="15"/>
      <c r="G46" s="21"/>
      <c r="H46" s="15"/>
      <c r="I46" s="15"/>
      <c r="J46" s="15"/>
      <c r="K46" s="15"/>
      <c r="L46" s="15"/>
      <c r="M46" s="15"/>
      <c r="O46" s="15"/>
    </row>
    <row r="47" spans="1:34" s="12" customFormat="1" ht="15.75" x14ac:dyDescent="0.25">
      <c r="A47" s="40" t="s">
        <v>20</v>
      </c>
      <c r="B47" s="32" t="s">
        <v>35</v>
      </c>
      <c r="C47" s="37">
        <f t="shared" si="0"/>
        <v>1</v>
      </c>
      <c r="D47" s="20" t="str">
        <f t="shared" ref="D47:D53" si="4">TEXT(SUM(D17:AG17),"[h]")</f>
        <v>0</v>
      </c>
      <c r="E47" s="20" t="str">
        <f t="shared" si="3"/>
        <v>00 00</v>
      </c>
      <c r="F47" s="15"/>
      <c r="G47" s="21"/>
      <c r="H47" s="15"/>
      <c r="I47" s="15"/>
      <c r="J47" s="15"/>
      <c r="K47" s="15"/>
      <c r="L47" s="15"/>
      <c r="M47" s="15"/>
      <c r="O47" s="15"/>
    </row>
    <row r="48" spans="1:34" s="12" customFormat="1" ht="15.75" x14ac:dyDescent="0.25">
      <c r="A48" s="40" t="s">
        <v>21</v>
      </c>
      <c r="B48" s="32" t="s">
        <v>36</v>
      </c>
      <c r="C48" s="37">
        <f t="shared" si="0"/>
        <v>1</v>
      </c>
      <c r="D48" s="20" t="str">
        <f t="shared" si="4"/>
        <v>0</v>
      </c>
      <c r="E48" s="20" t="str">
        <f t="shared" si="3"/>
        <v>00 00</v>
      </c>
      <c r="F48" s="15"/>
      <c r="G48" s="21"/>
      <c r="H48" s="15"/>
      <c r="I48" s="15"/>
      <c r="J48" s="66"/>
      <c r="K48" s="15"/>
      <c r="L48" s="15"/>
      <c r="M48" s="15"/>
      <c r="O48" s="15"/>
    </row>
    <row r="49" spans="1:34" s="12" customFormat="1" ht="15.75" x14ac:dyDescent="0.25">
      <c r="A49" s="40" t="s">
        <v>22</v>
      </c>
      <c r="B49" s="32" t="s">
        <v>37</v>
      </c>
      <c r="C49" s="37">
        <f t="shared" si="0"/>
        <v>1</v>
      </c>
      <c r="D49" s="20" t="str">
        <f t="shared" si="4"/>
        <v>0</v>
      </c>
      <c r="E49" s="20" t="str">
        <f t="shared" si="3"/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15"/>
    </row>
    <row r="50" spans="1:34" s="16" customFormat="1" ht="15.75" x14ac:dyDescent="0.25">
      <c r="A50" s="40" t="s">
        <v>23</v>
      </c>
      <c r="B50" s="32" t="s">
        <v>38</v>
      </c>
      <c r="C50" s="37">
        <f t="shared" si="0"/>
        <v>1</v>
      </c>
      <c r="D50" s="20" t="str">
        <f t="shared" si="4"/>
        <v>0</v>
      </c>
      <c r="E50" s="20" t="str">
        <f t="shared" si="3"/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59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spans="1:34" ht="15.75" x14ac:dyDescent="0.25">
      <c r="A51" s="40" t="s">
        <v>24</v>
      </c>
      <c r="B51" s="32" t="s">
        <v>39</v>
      </c>
      <c r="C51" s="37">
        <f t="shared" si="0"/>
        <v>1</v>
      </c>
      <c r="D51" s="20" t="str">
        <f t="shared" si="4"/>
        <v>0</v>
      </c>
      <c r="E51" s="20" t="str">
        <f t="shared" si="3"/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59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spans="1:34" ht="15.75" x14ac:dyDescent="0.25">
      <c r="A52" s="40" t="s">
        <v>25</v>
      </c>
      <c r="B52" s="47" t="s">
        <v>49</v>
      </c>
      <c r="C52" s="33">
        <f>1-(((D52*3600)+(LEFT(E52,2)*60)+RIGHT(E52,2))/((60*60*24)*$C$8))</f>
        <v>1</v>
      </c>
      <c r="D52" s="20" t="str">
        <f t="shared" si="4"/>
        <v>0</v>
      </c>
      <c r="E52" s="20" t="str">
        <f t="shared" si="3"/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59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ht="15.75" x14ac:dyDescent="0.25">
      <c r="A53" s="40" t="s">
        <v>27</v>
      </c>
      <c r="B53" s="47" t="s">
        <v>42</v>
      </c>
      <c r="C53" s="33">
        <f t="shared" ref="C53:C54" si="5">1-(((D53*3600)+(LEFT(E53,2)*60)+RIGHT(E53,2))/((60*60*24)*$C$8))</f>
        <v>1</v>
      </c>
      <c r="D53" s="20" t="str">
        <f t="shared" si="4"/>
        <v>0</v>
      </c>
      <c r="E53" s="20" t="str">
        <f t="shared" si="3"/>
        <v>00 00</v>
      </c>
      <c r="F53" s="15"/>
      <c r="G53" s="21"/>
      <c r="H53" s="15"/>
      <c r="I53" s="15"/>
      <c r="J53" s="15"/>
      <c r="K53" s="15"/>
      <c r="L53" s="15"/>
      <c r="M53" s="15"/>
      <c r="N53" s="15"/>
      <c r="O53" s="59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spans="1:34" ht="15.75" x14ac:dyDescent="0.25">
      <c r="A54" s="40" t="s">
        <v>28</v>
      </c>
      <c r="B54" s="47" t="s">
        <v>40</v>
      </c>
      <c r="C54" s="33">
        <f t="shared" si="5"/>
        <v>1</v>
      </c>
      <c r="D54" s="20" t="str">
        <f>TEXT(SUM(D24:AH24),"[h]")</f>
        <v>0</v>
      </c>
      <c r="E54" s="20" t="str">
        <f>TEXT(SUM(D24:AH24),"mm ss")</f>
        <v>00 00</v>
      </c>
      <c r="F54" s="15"/>
      <c r="G54" s="21"/>
      <c r="H54" s="15"/>
      <c r="I54" s="15"/>
      <c r="J54" s="15"/>
      <c r="K54" s="15"/>
      <c r="L54" s="15"/>
      <c r="M54" s="15"/>
      <c r="N54" s="15"/>
      <c r="O54" s="60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6"/>
      <c r="AH54" s="16"/>
    </row>
    <row r="55" spans="1:34" ht="15.75" x14ac:dyDescent="0.25">
      <c r="A55" s="40" t="s">
        <v>29</v>
      </c>
      <c r="B55" s="47" t="s">
        <v>50</v>
      </c>
      <c r="C55" s="33">
        <v>1</v>
      </c>
      <c r="D55" s="20" t="str">
        <f>TEXT(SUM(D25:AH25),"[h]")</f>
        <v>0</v>
      </c>
      <c r="E55" s="20" t="str">
        <f>TEXT(SUM(D25:AH25),"mm ss")</f>
        <v>00 00</v>
      </c>
      <c r="F55" s="15"/>
      <c r="G55" s="21"/>
      <c r="H55" s="15"/>
      <c r="I55" s="15"/>
      <c r="J55" s="15"/>
      <c r="K55" s="15"/>
      <c r="L55" s="15"/>
      <c r="M55" s="15"/>
      <c r="N55" s="15"/>
      <c r="O55" s="60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6"/>
      <c r="AH55" s="16"/>
    </row>
    <row r="56" spans="1:34" ht="15.75" x14ac:dyDescent="0.25">
      <c r="A56" s="40" t="s">
        <v>44</v>
      </c>
      <c r="B56" s="47" t="s">
        <v>45</v>
      </c>
      <c r="C56" s="33">
        <v>1</v>
      </c>
      <c r="D56" s="20" t="str">
        <f>TEXT(SUM(D26:AH26),"[h]")</f>
        <v>0</v>
      </c>
      <c r="E56" s="20" t="str">
        <f>TEXT(SUM(D26:AH26),"mm ss")</f>
        <v>00 00</v>
      </c>
      <c r="F56" s="15"/>
      <c r="G56" s="21"/>
      <c r="H56" s="15"/>
      <c r="I56" s="15"/>
      <c r="J56" s="15"/>
      <c r="K56" s="15"/>
      <c r="L56" s="15"/>
      <c r="M56" s="15"/>
      <c r="N56" s="15"/>
      <c r="O56" s="60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6"/>
      <c r="AH56" s="16"/>
    </row>
    <row r="57" spans="1:34" ht="15.75" x14ac:dyDescent="0.25">
      <c r="A57" s="40" t="s">
        <v>46</v>
      </c>
      <c r="B57" s="47" t="s">
        <v>47</v>
      </c>
      <c r="C57" s="33">
        <v>1</v>
      </c>
      <c r="D57" s="20" t="str">
        <f>TEXT(SUM(D27:AH27),"[h]")</f>
        <v>0</v>
      </c>
      <c r="E57" s="20" t="str">
        <f>TEXT(SUM(D27:AH27),"mm ss")</f>
        <v>00 00</v>
      </c>
      <c r="F57" s="15"/>
      <c r="G57" s="21"/>
      <c r="H57" s="15"/>
      <c r="I57" s="15"/>
      <c r="J57" s="15"/>
      <c r="K57" s="15"/>
      <c r="L57" s="15"/>
      <c r="M57" s="15"/>
      <c r="N57" s="15"/>
      <c r="O57" s="60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6"/>
      <c r="AH57" s="16"/>
    </row>
    <row r="58" spans="1:34" ht="15.75" x14ac:dyDescent="0.25">
      <c r="A58" s="58"/>
      <c r="B58" s="32"/>
      <c r="C58" s="33"/>
      <c r="D58" s="20"/>
      <c r="E58" s="20"/>
      <c r="F58" s="15"/>
      <c r="G58" s="21"/>
      <c r="H58" s="15"/>
      <c r="I58" s="15"/>
      <c r="J58" s="15"/>
      <c r="K58" s="15"/>
      <c r="L58" s="59"/>
      <c r="M58" s="59"/>
      <c r="N58" s="59"/>
      <c r="O58" s="61"/>
    </row>
    <row r="59" spans="1:34" ht="15.75" x14ac:dyDescent="0.25">
      <c r="A59" s="49"/>
      <c r="B59" s="50"/>
      <c r="C59" s="51"/>
      <c r="D59" s="52"/>
      <c r="E59" s="52"/>
      <c r="F59" s="15"/>
      <c r="G59" s="21"/>
      <c r="H59" s="15"/>
      <c r="I59" s="15"/>
      <c r="J59" s="15"/>
      <c r="K59" s="15"/>
      <c r="L59" s="59"/>
      <c r="M59" s="59"/>
      <c r="N59" s="59"/>
      <c r="O59" s="61"/>
    </row>
    <row r="60" spans="1:34" x14ac:dyDescent="0.2">
      <c r="A60" s="13"/>
      <c r="B60" s="12"/>
      <c r="C60" s="26"/>
      <c r="D60" s="25"/>
      <c r="E60" s="15"/>
      <c r="F60" s="15"/>
      <c r="G60" s="15"/>
      <c r="H60" s="15"/>
      <c r="I60" s="15"/>
      <c r="J60" s="15"/>
      <c r="K60" s="15"/>
      <c r="L60" s="59"/>
      <c r="M60" s="59"/>
      <c r="N60" s="59"/>
      <c r="O60" s="61"/>
    </row>
    <row r="61" spans="1:34" x14ac:dyDescent="0.2">
      <c r="A61" s="13"/>
      <c r="B61" s="12"/>
      <c r="C61" s="12"/>
      <c r="D61" s="14"/>
      <c r="E61" s="15"/>
      <c r="F61" s="15"/>
      <c r="G61" s="15"/>
      <c r="H61" s="15"/>
      <c r="I61" s="15"/>
      <c r="J61" s="15"/>
      <c r="K61" s="15"/>
      <c r="L61" s="59"/>
      <c r="M61" s="59"/>
      <c r="N61" s="59"/>
      <c r="O61" s="61"/>
    </row>
    <row r="62" spans="1:34" x14ac:dyDescent="0.2">
      <c r="A62" s="14"/>
      <c r="B62" s="24" t="s">
        <v>13</v>
      </c>
      <c r="C62" s="19"/>
      <c r="D62" s="18"/>
      <c r="E62" s="18"/>
      <c r="F62" s="18"/>
      <c r="G62" s="18"/>
      <c r="H62" s="18"/>
      <c r="I62" s="18"/>
      <c r="J62" s="18"/>
      <c r="K62" s="18"/>
      <c r="L62" s="60"/>
      <c r="M62" s="60"/>
      <c r="N62" s="60"/>
      <c r="O62" s="61"/>
    </row>
    <row r="63" spans="1:34" x14ac:dyDescent="0.2">
      <c r="A63"/>
      <c r="B63" s="12" t="s">
        <v>16</v>
      </c>
      <c r="C63" s="27">
        <f>(SUM(C43:C57))/(100%*15)</f>
        <v>0.99997665272799685</v>
      </c>
      <c r="G63" s="38"/>
      <c r="L63" s="61"/>
      <c r="M63" s="61"/>
      <c r="N63" s="61"/>
      <c r="O63" s="61"/>
    </row>
    <row r="64" spans="1:34" x14ac:dyDescent="0.2">
      <c r="C64" s="69"/>
      <c r="L64" s="61"/>
      <c r="M64" s="61"/>
      <c r="N64" s="61"/>
    </row>
    <row r="65" spans="1:32" x14ac:dyDescent="0.2">
      <c r="B65" s="81"/>
      <c r="C65" s="69"/>
      <c r="L65" s="61"/>
      <c r="M65" s="61"/>
      <c r="N65" s="61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 spans="1:32" x14ac:dyDescent="0.2">
      <c r="B66" s="82"/>
      <c r="C66" s="69"/>
      <c r="L66" s="61"/>
      <c r="M66" s="61"/>
      <c r="N66" s="61"/>
    </row>
    <row r="67" spans="1:32" x14ac:dyDescent="0.2">
      <c r="B67" s="82"/>
      <c r="C67" s="69"/>
      <c r="L67" s="61"/>
      <c r="M67" s="61"/>
      <c r="N67" s="61"/>
    </row>
    <row r="68" spans="1:32" x14ac:dyDescent="0.2">
      <c r="B68" s="12"/>
      <c r="C68" s="69"/>
      <c r="L68" s="61"/>
      <c r="M68" s="61"/>
      <c r="N68" s="61"/>
    </row>
    <row r="69" spans="1:32" x14ac:dyDescent="0.2">
      <c r="B69" s="80"/>
      <c r="C69" s="69"/>
      <c r="D69" s="71"/>
      <c r="E69" s="70"/>
    </row>
    <row r="70" spans="1:32" x14ac:dyDescent="0.2">
      <c r="A70"/>
      <c r="B70" s="80"/>
      <c r="C70" s="69"/>
      <c r="D70" s="71"/>
    </row>
    <row r="71" spans="1:32" x14ac:dyDescent="0.2">
      <c r="B71" s="80"/>
      <c r="C71" s="69"/>
      <c r="D71" s="71"/>
    </row>
    <row r="72" spans="1:32" x14ac:dyDescent="0.2">
      <c r="B72" s="80"/>
      <c r="C72" s="69"/>
      <c r="D72" s="71"/>
    </row>
    <row r="73" spans="1:32" x14ac:dyDescent="0.2">
      <c r="B73" s="80"/>
      <c r="C73" s="69"/>
      <c r="D73" s="71"/>
      <c r="O73" s="29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">
      <c r="B74" s="69"/>
      <c r="C74" s="69"/>
      <c r="O74" s="2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">
      <c r="B75" s="80"/>
      <c r="C75" s="69"/>
      <c r="O75" s="29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spans="1:32" x14ac:dyDescent="0.2">
      <c r="B76" s="80"/>
      <c r="C76" s="69"/>
      <c r="O76" s="29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spans="1:32" x14ac:dyDescent="0.2">
      <c r="B77" s="80"/>
      <c r="C77" s="69"/>
    </row>
    <row r="78" spans="1:32" x14ac:dyDescent="0.2">
      <c r="A78"/>
      <c r="B78" s="80"/>
      <c r="C78" s="69"/>
      <c r="E78" s="28"/>
      <c r="F78" s="29"/>
      <c r="G78" s="29"/>
      <c r="H78" s="29"/>
      <c r="I78" s="29"/>
      <c r="J78" s="29"/>
      <c r="K78" s="29"/>
      <c r="L78" s="29"/>
      <c r="M78" s="29"/>
      <c r="N78" s="29"/>
    </row>
    <row r="79" spans="1:32" x14ac:dyDescent="0.2">
      <c r="A79"/>
      <c r="B79" s="80"/>
      <c r="C79" s="69"/>
      <c r="E79" s="28"/>
      <c r="F79" s="29"/>
      <c r="G79" s="29"/>
      <c r="H79" s="29"/>
      <c r="I79" s="29"/>
      <c r="J79" s="29"/>
      <c r="K79" s="29"/>
      <c r="L79" s="29"/>
      <c r="M79" s="29"/>
      <c r="N79" s="29"/>
    </row>
    <row r="80" spans="1:32" x14ac:dyDescent="0.2">
      <c r="A80"/>
      <c r="B80" s="80"/>
      <c r="C80" s="69"/>
      <c r="E80" s="28"/>
      <c r="F80" s="29"/>
      <c r="G80" s="29"/>
      <c r="H80" s="29"/>
      <c r="I80" s="29"/>
      <c r="J80" s="29"/>
      <c r="K80" s="29"/>
      <c r="L80" s="29"/>
      <c r="M80" s="29"/>
      <c r="N80" s="29"/>
    </row>
    <row r="81" spans="1:14" x14ac:dyDescent="0.2">
      <c r="A81"/>
      <c r="B81" s="80"/>
      <c r="C81" s="69"/>
      <c r="D81"/>
      <c r="E81" s="28"/>
      <c r="F81" s="29"/>
      <c r="G81" s="29"/>
      <c r="H81" s="29"/>
      <c r="I81" s="29"/>
      <c r="J81" s="29"/>
      <c r="K81" s="29"/>
      <c r="L81" s="29"/>
      <c r="M81" s="29"/>
      <c r="N81" s="29"/>
    </row>
    <row r="82" spans="1:14" x14ac:dyDescent="0.2">
      <c r="B82" s="74"/>
    </row>
  </sheetData>
  <mergeCells count="20">
    <mergeCell ref="F44:N44"/>
    <mergeCell ref="D28:AG28"/>
    <mergeCell ref="D41:E41"/>
    <mergeCell ref="D29:AG29"/>
    <mergeCell ref="D30:AG30"/>
    <mergeCell ref="D31:AG31"/>
    <mergeCell ref="D32:AG32"/>
    <mergeCell ref="D33:AG33"/>
    <mergeCell ref="D34:AG34"/>
    <mergeCell ref="D35:AG35"/>
    <mergeCell ref="D36:AG36"/>
    <mergeCell ref="G39:K39"/>
    <mergeCell ref="A10:A11"/>
    <mergeCell ref="B10:B11"/>
    <mergeCell ref="C10:C11"/>
    <mergeCell ref="A41:A42"/>
    <mergeCell ref="B41:B42"/>
    <mergeCell ref="C41:C42"/>
    <mergeCell ref="A30:A36"/>
    <mergeCell ref="B30:B36"/>
  </mergeCells>
  <phoneticPr fontId="9" type="noConversion"/>
  <conditionalFormatting sqref="D15:F15 G21 S21 D13:D19 S17 D18:G18 D17:E17 U17 U21:Y21 W17 D21">
    <cfRule type="cellIs" dxfId="86" priority="331" stopIfTrue="1" operator="greaterThan">
      <formula>0</formula>
    </cfRule>
  </conditionalFormatting>
  <conditionalFormatting sqref="I15:M15">
    <cfRule type="cellIs" dxfId="85" priority="330" stopIfTrue="1" operator="greaterThan">
      <formula>0</formula>
    </cfRule>
  </conditionalFormatting>
  <conditionalFormatting sqref="W18:Y18 O15:S15 S18 AB15:AD15 U18 U15:Z15">
    <cfRule type="cellIs" dxfId="84" priority="329" stopIfTrue="1" operator="greaterThan">
      <formula>0</formula>
    </cfRule>
  </conditionalFormatting>
  <conditionalFormatting sqref="G15">
    <cfRule type="cellIs" dxfId="83" priority="323" stopIfTrue="1" operator="greaterThan">
      <formula>0</formula>
    </cfRule>
  </conditionalFormatting>
  <conditionalFormatting sqref="H15">
    <cfRule type="cellIs" dxfId="82" priority="316" stopIfTrue="1" operator="greaterThan">
      <formula>0</formula>
    </cfRule>
  </conditionalFormatting>
  <conditionalFormatting sqref="V18">
    <cfRule type="cellIs" dxfId="81" priority="310" stopIfTrue="1" operator="greaterThan">
      <formula>0</formula>
    </cfRule>
  </conditionalFormatting>
  <conditionalFormatting sqref="AF15">
    <cfRule type="cellIs" dxfId="80" priority="307" stopIfTrue="1" operator="greaterThan">
      <formula>0</formula>
    </cfRule>
  </conditionalFormatting>
  <conditionalFormatting sqref="D14:F14">
    <cfRule type="cellIs" dxfId="79" priority="301" stopIfTrue="1" operator="greaterThan">
      <formula>0</formula>
    </cfRule>
  </conditionalFormatting>
  <conditionalFormatting sqref="I14:M14">
    <cfRule type="cellIs" dxfId="78" priority="300" stopIfTrue="1" operator="greaterThan">
      <formula>0</formula>
    </cfRule>
  </conditionalFormatting>
  <conditionalFormatting sqref="O14:S14 AB14:AD14 U14:Z14">
    <cfRule type="cellIs" dxfId="77" priority="299" stopIfTrue="1" operator="greaterThan">
      <formula>0</formula>
    </cfRule>
  </conditionalFormatting>
  <conditionalFormatting sqref="G14">
    <cfRule type="cellIs" dxfId="76" priority="298" stopIfTrue="1" operator="greaterThan">
      <formula>0</formula>
    </cfRule>
  </conditionalFormatting>
  <conditionalFormatting sqref="H14">
    <cfRule type="cellIs" dxfId="75" priority="296" stopIfTrue="1" operator="greaterThan">
      <formula>0</formula>
    </cfRule>
  </conditionalFormatting>
  <conditionalFormatting sqref="AF14">
    <cfRule type="cellIs" dxfId="74" priority="295" stopIfTrue="1" operator="greaterThan">
      <formula>0</formula>
    </cfRule>
  </conditionalFormatting>
  <conditionalFormatting sqref="D13:F13">
    <cfRule type="cellIs" dxfId="73" priority="285" stopIfTrue="1" operator="greaterThan">
      <formula>0</formula>
    </cfRule>
  </conditionalFormatting>
  <conditionalFormatting sqref="D16:E16">
    <cfRule type="cellIs" dxfId="72" priority="277" stopIfTrue="1" operator="greaterThan">
      <formula>0</formula>
    </cfRule>
  </conditionalFormatting>
  <conditionalFormatting sqref="I13:M13">
    <cfRule type="cellIs" dxfId="71" priority="284" stopIfTrue="1" operator="greaterThan">
      <formula>0</formula>
    </cfRule>
  </conditionalFormatting>
  <conditionalFormatting sqref="O13:S13 AB13:AD13 U13:Z13">
    <cfRule type="cellIs" dxfId="70" priority="283" stopIfTrue="1" operator="greaterThan">
      <formula>0</formula>
    </cfRule>
  </conditionalFormatting>
  <conditionalFormatting sqref="G13">
    <cfRule type="cellIs" dxfId="69" priority="282" stopIfTrue="1" operator="greaterThan">
      <formula>0</formula>
    </cfRule>
  </conditionalFormatting>
  <conditionalFormatting sqref="H13">
    <cfRule type="cellIs" dxfId="68" priority="280" stopIfTrue="1" operator="greaterThan">
      <formula>0</formula>
    </cfRule>
  </conditionalFormatting>
  <conditionalFormatting sqref="AF13">
    <cfRule type="cellIs" dxfId="67" priority="279" stopIfTrue="1" operator="greaterThan">
      <formula>0</formula>
    </cfRule>
  </conditionalFormatting>
  <conditionalFormatting sqref="S19 U18:Y19 U17 W17">
    <cfRule type="cellIs" dxfId="66" priority="255" stopIfTrue="1" operator="greaterThan">
      <formula>0</formula>
    </cfRule>
  </conditionalFormatting>
  <conditionalFormatting sqref="D19:F19">
    <cfRule type="cellIs" dxfId="65" priority="257" stopIfTrue="1" operator="greaterThan">
      <formula>0</formula>
    </cfRule>
  </conditionalFormatting>
  <conditionalFormatting sqref="G19">
    <cfRule type="cellIs" dxfId="64" priority="254" stopIfTrue="1" operator="greaterThan">
      <formula>0</formula>
    </cfRule>
  </conditionalFormatting>
  <conditionalFormatting sqref="V19">
    <cfRule type="cellIs" dxfId="63" priority="249" stopIfTrue="1" operator="greaterThan">
      <formula>0</formula>
    </cfRule>
  </conditionalFormatting>
  <conditionalFormatting sqref="W16">
    <cfRule type="cellIs" dxfId="62" priority="230" stopIfTrue="1" operator="greaterThan">
      <formula>0</formula>
    </cfRule>
  </conditionalFormatting>
  <conditionalFormatting sqref="X16">
    <cfRule type="cellIs" dxfId="61" priority="229" stopIfTrue="1" operator="greaterThan">
      <formula>0</formula>
    </cfRule>
  </conditionalFormatting>
  <conditionalFormatting sqref="Y16">
    <cfRule type="cellIs" dxfId="60" priority="228" stopIfTrue="1" operator="greaterThan">
      <formula>0</formula>
    </cfRule>
  </conditionalFormatting>
  <conditionalFormatting sqref="D22:G23 S22:S23 U22:Y23 U27:Y27 S27 D27:G27">
    <cfRule type="cellIs" dxfId="59" priority="180" stopIfTrue="1" operator="greaterThan">
      <formula>0</formula>
    </cfRule>
  </conditionalFormatting>
  <conditionalFormatting sqref="AG13">
    <cfRule type="cellIs" dxfId="58" priority="170" stopIfTrue="1" operator="greaterThan">
      <formula>0</formula>
    </cfRule>
  </conditionalFormatting>
  <conditionalFormatting sqref="AG13">
    <cfRule type="cellIs" dxfId="57" priority="161" stopIfTrue="1" operator="greaterThan">
      <formula>0</formula>
    </cfRule>
  </conditionalFormatting>
  <conditionalFormatting sqref="AG21 AG17:AG18">
    <cfRule type="cellIs" dxfId="56" priority="174" stopIfTrue="1" operator="greaterThan">
      <formula>0</formula>
    </cfRule>
  </conditionalFormatting>
  <conditionalFormatting sqref="AG15">
    <cfRule type="cellIs" dxfId="55" priority="173" stopIfTrue="1" operator="greaterThan">
      <formula>0</formula>
    </cfRule>
  </conditionalFormatting>
  <conditionalFormatting sqref="AG14">
    <cfRule type="cellIs" dxfId="54" priority="172" stopIfTrue="1" operator="greaterThan">
      <formula>0</formula>
    </cfRule>
  </conditionalFormatting>
  <conditionalFormatting sqref="AG19">
    <cfRule type="cellIs" dxfId="53" priority="169" stopIfTrue="1" operator="greaterThan">
      <formula>0</formula>
    </cfRule>
  </conditionalFormatting>
  <conditionalFormatting sqref="AG16">
    <cfRule type="cellIs" dxfId="52" priority="167" stopIfTrue="1" operator="greaterThan">
      <formula>0</formula>
    </cfRule>
  </conditionalFormatting>
  <conditionalFormatting sqref="AG21 AG17:AG18">
    <cfRule type="cellIs" dxfId="51" priority="165" stopIfTrue="1" operator="greaterThan">
      <formula>0</formula>
    </cfRule>
  </conditionalFormatting>
  <conditionalFormatting sqref="AG15">
    <cfRule type="cellIs" dxfId="50" priority="164" stopIfTrue="1" operator="greaterThan">
      <formula>0</formula>
    </cfRule>
  </conditionalFormatting>
  <conditionalFormatting sqref="AG14">
    <cfRule type="cellIs" dxfId="49" priority="163" stopIfTrue="1" operator="greaterThan">
      <formula>0</formula>
    </cfRule>
  </conditionalFormatting>
  <conditionalFormatting sqref="AG19">
    <cfRule type="cellIs" dxfId="48" priority="160" stopIfTrue="1" operator="greaterThan">
      <formula>0</formula>
    </cfRule>
  </conditionalFormatting>
  <conditionalFormatting sqref="AG16">
    <cfRule type="cellIs" dxfId="47" priority="158" stopIfTrue="1" operator="greaterThan">
      <formula>0</formula>
    </cfRule>
  </conditionalFormatting>
  <conditionalFormatting sqref="AF13">
    <cfRule type="cellIs" dxfId="46" priority="152" stopIfTrue="1" operator="greaterThan">
      <formula>0</formula>
    </cfRule>
  </conditionalFormatting>
  <conditionalFormatting sqref="AF15">
    <cfRule type="cellIs" dxfId="45" priority="155" stopIfTrue="1" operator="greaterThan">
      <formula>0</formula>
    </cfRule>
  </conditionalFormatting>
  <conditionalFormatting sqref="AF14">
    <cfRule type="cellIs" dxfId="44" priority="154" stopIfTrue="1" operator="greaterThan">
      <formula>0</formula>
    </cfRule>
  </conditionalFormatting>
  <conditionalFormatting sqref="AH13:AH23 AH27">
    <cfRule type="cellIs" dxfId="43" priority="120" stopIfTrue="1" operator="greaterThan">
      <formula>0</formula>
    </cfRule>
  </conditionalFormatting>
  <conditionalFormatting sqref="AG22:AG23 AG27">
    <cfRule type="cellIs" dxfId="42" priority="139" stopIfTrue="1" operator="greaterThan">
      <formula>0</formula>
    </cfRule>
  </conditionalFormatting>
  <conditionalFormatting sqref="E21:F21">
    <cfRule type="cellIs" dxfId="41" priority="138" stopIfTrue="1" operator="greaterThan">
      <formula>0</formula>
    </cfRule>
  </conditionalFormatting>
  <conditionalFormatting sqref="E20:F20">
    <cfRule type="cellIs" dxfId="40" priority="137" stopIfTrue="1" operator="greaterThan">
      <formula>0</formula>
    </cfRule>
  </conditionalFormatting>
  <conditionalFormatting sqref="K40">
    <cfRule type="cellIs" dxfId="39" priority="133" stopIfTrue="1" operator="greaterThan">
      <formula>0</formula>
    </cfRule>
  </conditionalFormatting>
  <conditionalFormatting sqref="L40">
    <cfRule type="cellIs" dxfId="38" priority="132" stopIfTrue="1" operator="greaterThan">
      <formula>0</formula>
    </cfRule>
  </conditionalFormatting>
  <conditionalFormatting sqref="AH13:AH23 AH27">
    <cfRule type="cellIs" dxfId="37" priority="121" stopIfTrue="1" operator="greaterThan">
      <formula>0</formula>
    </cfRule>
  </conditionalFormatting>
  <conditionalFormatting sqref="AL18">
    <cfRule type="cellIs" dxfId="36" priority="119" stopIfTrue="1" operator="greaterThan">
      <formula>0</formula>
    </cfRule>
  </conditionalFormatting>
  <conditionalFormatting sqref="AL18">
    <cfRule type="cellIs" dxfId="35" priority="118" stopIfTrue="1" operator="greaterThan">
      <formula>0</formula>
    </cfRule>
  </conditionalFormatting>
  <conditionalFormatting sqref="AA13:AA15">
    <cfRule type="cellIs" dxfId="34" priority="117" stopIfTrue="1" operator="greaterThan">
      <formula>0</formula>
    </cfRule>
  </conditionalFormatting>
  <conditionalFormatting sqref="N13:N15">
    <cfRule type="cellIs" dxfId="33" priority="99" stopIfTrue="1" operator="greaterThan">
      <formula>0</formula>
    </cfRule>
  </conditionalFormatting>
  <conditionalFormatting sqref="X17">
    <cfRule type="cellIs" dxfId="32" priority="79" stopIfTrue="1" operator="greaterThan">
      <formula>0</formula>
    </cfRule>
  </conditionalFormatting>
  <conditionalFormatting sqref="H21:R22 I18:R19 H23:I23 K23:R23 I17:L17 N17 P17:R17 P16 K27:R27 H27:I27">
    <cfRule type="cellIs" dxfId="31" priority="97" stopIfTrue="1" operator="greaterThan">
      <formula>0</formula>
    </cfRule>
  </conditionalFormatting>
  <conditionalFormatting sqref="AG20">
    <cfRule type="cellIs" dxfId="30" priority="95" stopIfTrue="1" operator="greaterThan">
      <formula>0</formula>
    </cfRule>
  </conditionalFormatting>
  <conditionalFormatting sqref="D17:E17">
    <cfRule type="cellIs" dxfId="29" priority="94" stopIfTrue="1" operator="greaterThan">
      <formula>0</formula>
    </cfRule>
  </conditionalFormatting>
  <conditionalFormatting sqref="D17:E17">
    <cfRule type="cellIs" dxfId="28" priority="93" stopIfTrue="1" operator="greaterThan">
      <formula>0</formula>
    </cfRule>
  </conditionalFormatting>
  <conditionalFormatting sqref="G17">
    <cfRule type="cellIs" dxfId="27" priority="89" stopIfTrue="1" operator="greaterThan">
      <formula>0</formula>
    </cfRule>
  </conditionalFormatting>
  <conditionalFormatting sqref="T13:T15 T17:T19 T27 T21:T23">
    <cfRule type="cellIs" dxfId="26" priority="85" stopIfTrue="1" operator="greaterThan">
      <formula>0</formula>
    </cfRule>
  </conditionalFormatting>
  <conditionalFormatting sqref="H17:H19">
    <cfRule type="cellIs" dxfId="25" priority="69" stopIfTrue="1" operator="greaterThan">
      <formula>0</formula>
    </cfRule>
  </conditionalFormatting>
  <conditionalFormatting sqref="AE13:AE15">
    <cfRule type="cellIs" dxfId="24" priority="59" stopIfTrue="1" operator="greaterThan">
      <formula>0</formula>
    </cfRule>
  </conditionalFormatting>
  <conditionalFormatting sqref="Y17">
    <cfRule type="cellIs" dxfId="23" priority="58" stopIfTrue="1" operator="greaterThan">
      <formula>0</formula>
    </cfRule>
  </conditionalFormatting>
  <conditionalFormatting sqref="F16:F17">
    <cfRule type="cellIs" dxfId="22" priority="50" stopIfTrue="1" operator="greaterThan">
      <formula>0</formula>
    </cfRule>
  </conditionalFormatting>
  <conditionalFormatting sqref="J23 J27">
    <cfRule type="cellIs" dxfId="21" priority="49" stopIfTrue="1" operator="greaterThan">
      <formula>0</formula>
    </cfRule>
  </conditionalFormatting>
  <conditionalFormatting sqref="M17">
    <cfRule type="cellIs" dxfId="20" priority="48" stopIfTrue="1" operator="greaterThan">
      <formula>0</formula>
    </cfRule>
  </conditionalFormatting>
  <conditionalFormatting sqref="O16:O17">
    <cfRule type="cellIs" dxfId="19" priority="47" stopIfTrue="1" operator="greaterThan">
      <formula>0</formula>
    </cfRule>
  </conditionalFormatting>
  <conditionalFormatting sqref="V16:V17">
    <cfRule type="cellIs" dxfId="18" priority="46" stopIfTrue="1" operator="greaterThan">
      <formula>0</formula>
    </cfRule>
  </conditionalFormatting>
  <conditionalFormatting sqref="Z27:AF27 Z17:AF19 Z21:AF23 AE20:AF20 AD16:AF16">
    <cfRule type="cellIs" dxfId="17" priority="45" stopIfTrue="1" operator="greaterThan">
      <formula>0</formula>
    </cfRule>
  </conditionalFormatting>
  <conditionalFormatting sqref="Q16:R16 T16:U16">
    <cfRule type="cellIs" dxfId="16" priority="39" stopIfTrue="1" operator="greaterThan">
      <formula>0</formula>
    </cfRule>
  </conditionalFormatting>
  <conditionalFormatting sqref="Q16:R16 T16:U16">
    <cfRule type="cellIs" dxfId="15" priority="38" stopIfTrue="1" operator="greaterThan">
      <formula>0</formula>
    </cfRule>
  </conditionalFormatting>
  <conditionalFormatting sqref="D20">
    <cfRule type="cellIs" dxfId="14" priority="36" stopIfTrue="1" operator="greaterThan">
      <formula>0</formula>
    </cfRule>
  </conditionalFormatting>
  <conditionalFormatting sqref="U24:Y26 S24:S26 D24:G26">
    <cfRule type="cellIs" dxfId="13" priority="27" stopIfTrue="1" operator="greaterThan">
      <formula>0</formula>
    </cfRule>
  </conditionalFormatting>
  <conditionalFormatting sqref="AH24:AH26">
    <cfRule type="cellIs" dxfId="12" priority="24" stopIfTrue="1" operator="greaterThan">
      <formula>0</formula>
    </cfRule>
  </conditionalFormatting>
  <conditionalFormatting sqref="AG24:AG26">
    <cfRule type="cellIs" dxfId="11" priority="26" stopIfTrue="1" operator="greaterThan">
      <formula>0</formula>
    </cfRule>
  </conditionalFormatting>
  <conditionalFormatting sqref="AH24:AH26">
    <cfRule type="cellIs" dxfId="10" priority="25" stopIfTrue="1" operator="greaterThan">
      <formula>0</formula>
    </cfRule>
  </conditionalFormatting>
  <conditionalFormatting sqref="K24:R26 H24:I26">
    <cfRule type="cellIs" dxfId="9" priority="23" stopIfTrue="1" operator="greaterThan">
      <formula>0</formula>
    </cfRule>
  </conditionalFormatting>
  <conditionalFormatting sqref="T24:T26">
    <cfRule type="cellIs" dxfId="8" priority="22" stopIfTrue="1" operator="greaterThan">
      <formula>0</formula>
    </cfRule>
  </conditionalFormatting>
  <conditionalFormatting sqref="J24:J26">
    <cfRule type="cellIs" dxfId="7" priority="21" stopIfTrue="1" operator="greaterThan">
      <formula>0</formula>
    </cfRule>
  </conditionalFormatting>
  <conditionalFormatting sqref="Z24:AF26">
    <cfRule type="cellIs" dxfId="6" priority="20" stopIfTrue="1" operator="greaterThan">
      <formula>0</formula>
    </cfRule>
  </conditionalFormatting>
  <conditionalFormatting sqref="G20:Y20">
    <cfRule type="cellIs" dxfId="5" priority="11" stopIfTrue="1" operator="greaterThan">
      <formula>0</formula>
    </cfRule>
  </conditionalFormatting>
  <conditionalFormatting sqref="Z20:AD20">
    <cfRule type="cellIs" dxfId="4" priority="9" stopIfTrue="1" operator="greaterThan">
      <formula>0</formula>
    </cfRule>
  </conditionalFormatting>
  <conditionalFormatting sqref="Z16:AC16">
    <cfRule type="cellIs" dxfId="3" priority="7" stopIfTrue="1" operator="greaterThan">
      <formula>0</formula>
    </cfRule>
  </conditionalFormatting>
  <conditionalFormatting sqref="G16:N16">
    <cfRule type="cellIs" dxfId="2" priority="5" stopIfTrue="1" operator="greaterThan">
      <formula>0</formula>
    </cfRule>
  </conditionalFormatting>
  <conditionalFormatting sqref="S16">
    <cfRule type="cellIs" dxfId="1" priority="2" stopIfTrue="1" operator="greaterThan">
      <formula>0</formula>
    </cfRule>
  </conditionalFormatting>
  <conditionalFormatting sqref="S16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2024-02-01T03:52:16Z</dcterms:modified>
</cp:coreProperties>
</file>