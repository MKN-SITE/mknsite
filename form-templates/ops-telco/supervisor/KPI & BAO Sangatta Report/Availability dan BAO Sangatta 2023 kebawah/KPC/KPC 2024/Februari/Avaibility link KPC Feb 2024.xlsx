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TELCO CREW\# MONTHLY REPORT AVAIBILITY\KPC\KPC 2024\Februari\"/>
    </mc:Choice>
  </mc:AlternateContent>
  <xr:revisionPtr revIDLastSave="0" documentId="13_ncr:1_{28B6D9D3-B9D2-4680-83B6-D208396D8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aibility ALU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1" l="1"/>
  <c r="E52" i="11" l="1"/>
  <c r="D52" i="11"/>
  <c r="C52" i="11" s="1"/>
  <c r="E57" i="11"/>
  <c r="D57" i="11"/>
  <c r="C57" i="11" s="1"/>
  <c r="E54" i="11" l="1"/>
  <c r="D54" i="11"/>
  <c r="D55" i="11"/>
  <c r="C54" i="11" l="1"/>
  <c r="D43" i="11"/>
  <c r="E56" i="11" l="1"/>
  <c r="D56" i="11"/>
  <c r="C56" i="11" l="1"/>
  <c r="D44" i="11"/>
  <c r="E55" i="11" l="1"/>
  <c r="E53" i="11"/>
  <c r="C55" i="11" l="1"/>
  <c r="D53" i="11"/>
  <c r="C53" i="11" s="1"/>
  <c r="E43" i="11"/>
  <c r="C43" i="11" s="1"/>
  <c r="E44" i="11"/>
  <c r="C44" i="11" s="1"/>
  <c r="D45" i="11"/>
  <c r="E45" i="11"/>
  <c r="D46" i="11"/>
  <c r="E46" i="11"/>
  <c r="D47" i="11"/>
  <c r="E47" i="11"/>
  <c r="D48" i="11"/>
  <c r="E48" i="11"/>
  <c r="D49" i="11"/>
  <c r="D50" i="11"/>
  <c r="E50" i="11"/>
  <c r="D51" i="11"/>
  <c r="E51" i="11"/>
  <c r="C47" i="11" l="1"/>
  <c r="C51" i="11"/>
  <c r="C49" i="11"/>
  <c r="C63" i="11" s="1"/>
  <c r="C45" i="11"/>
  <c r="C50" i="11"/>
  <c r="C48" i="11"/>
  <c r="C46" i="11"/>
</calcChain>
</file>

<file path=xl/sharedStrings.xml><?xml version="1.0" encoding="utf-8"?>
<sst xmlns="http://schemas.openxmlformats.org/spreadsheetml/2006/main" count="111" uniqueCount="57">
  <si>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</si>
  <si>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</si>
  <si>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</si>
  <si>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</si>
  <si>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</si>
  <si>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</si>
  <si>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</si>
  <si>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</si>
  <si>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</si>
  <si>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</si>
  <si>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</si>
  <si>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</si>
  <si>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</si>
  <si>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</si>
  <si>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</si>
  <si>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</si>
  <si>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</si>
  <si>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</si>
  <si>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</si>
  <si>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</si>
  <si>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</si>
  <si>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</si>
  <si>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</si>
  <si>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</si>
  <si>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</si>
  <si>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</si>
  <si>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</si>
  <si>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</si>
  <si>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</si>
  <si>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</si>
  <si>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</si>
  <si>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</si>
  <si>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</si>
  <si>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</si>
  <si>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</si>
  <si>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</si>
  <si>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Lignit</t>
  </si>
  <si>
    <t>12</t>
  </si>
  <si>
    <t>13</t>
  </si>
  <si>
    <t>LBTT to 15K</t>
  </si>
  <si>
    <t>LBTT to 15000</t>
  </si>
  <si>
    <t xml:space="preserve">M5 to SURYA ODU </t>
  </si>
  <si>
    <t>Remaks</t>
  </si>
  <si>
    <t>29</t>
  </si>
  <si>
    <t>M5 to SURYA</t>
  </si>
  <si>
    <t>PTH to P11</t>
  </si>
  <si>
    <t>FARNORTH to 15k</t>
  </si>
  <si>
    <t>FARNORTH to Middle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</si>
  <si>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</si>
  <si>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</si>
  <si>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</si>
  <si>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</si>
  <si>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</si>
  <si>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</si>
  <si>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</si>
  <si>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High BER / RSL Tinggi Menunggu Trimming</t>
  </si>
  <si>
    <t>Penggantian ODU NEC Harapan to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</si>
</sst>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6" fillId="0" borderId="2" xfId="0" applyFont="1" applyBorder="1"/>
    <xf numFmtId="164" fontId="37" fillId="0" borderId="3" xfId="0" applyFont="1" applyBorder="1" applyAlignment="1">
      <alignment vertical="center"/>
    </xf>
    <xf numFmtId="164" fontId="38" fillId="0" borderId="0" xfId="0" applyFo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/>
    <xf numFmtId="164" fontId="40" fillId="0" borderId="0" xfId="0" applyFo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4" fontId="6" fillId="0" borderId="25" xfId="0" applyFont="1" applyBorder="1"/>
    <xf numFmtId="21" fontId="6" fillId="0" borderId="25" xfId="0" applyNumberFormat="1" applyFont="1" applyBorder="1"/>
    <xf numFmtId="165" fontId="39" fillId="0" borderId="4" xfId="0" applyNumberFormat="1" applyFont="1" applyBorder="1" applyAlignment="1">
      <alignment horizontal="center" vertical="center"/>
    </xf>
    <xf numFmtId="164" fontId="39" fillId="0" borderId="25" xfId="0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164" fontId="39" fillId="0" borderId="25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top"/>
    </xf>
    <xf numFmtId="164" fontId="38" fillId="0" borderId="0" xfId="0" applyFont="1" applyAlignment="1">
      <alignment horizontal="center" vertical="center"/>
    </xf>
    <xf numFmtId="164" fontId="38" fillId="0" borderId="2" xfId="0" applyFont="1" applyBorder="1" applyAlignment="1">
      <alignment horizontal="center" vertical="center"/>
    </xf>
    <xf numFmtId="164" fontId="39" fillId="0" borderId="2" xfId="0" applyFont="1" applyBorder="1" applyAlignment="1">
      <alignment horizontal="left" vertical="center"/>
    </xf>
    <xf numFmtId="0" fontId="6" fillId="0" borderId="23" xfId="0" applyNumberFormat="1" applyFont="1" applyBorder="1" applyAlignment="1">
      <alignment horizontal="left" vertical="top" wrapText="1"/>
    </xf>
    <xf numFmtId="49" fontId="6" fillId="0" borderId="20" xfId="0" applyNumberFormat="1" applyFont="1" applyBorder="1" applyAlignment="1">
      <alignment horizontal="center"/>
    </xf>
    <xf numFmtId="164" fontId="39" fillId="0" borderId="26" xfId="0" applyFont="1" applyBorder="1" applyAlignment="1">
      <alignment horizontal="left" vertical="center"/>
    </xf>
    <xf numFmtId="164" fontId="39" fillId="0" borderId="24" xfId="0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164" fontId="0" fillId="0" borderId="1" xfId="0" applyBorder="1"/>
    <xf numFmtId="16" fontId="8" fillId="0" borderId="5" xfId="0" applyNumberFormat="1" applyFont="1" applyBorder="1" applyAlignment="1">
      <alignment horizontal="center"/>
    </xf>
    <xf numFmtId="164" fontId="0" fillId="0" borderId="28" xfId="0" applyBorder="1" applyAlignment="1">
      <alignment horizontal="left"/>
    </xf>
    <xf numFmtId="49" fontId="6" fillId="0" borderId="29" xfId="0" applyNumberFormat="1" applyFont="1" applyBorder="1" applyAlignment="1">
      <alignment horizontal="center"/>
    </xf>
    <xf numFmtId="164" fontId="35" fillId="0" borderId="29" xfId="0" applyFont="1" applyBorder="1"/>
    <xf numFmtId="164" fontId="37" fillId="0" borderId="29" xfId="0" applyFont="1" applyBorder="1" applyAlignment="1">
      <alignment vertical="center"/>
    </xf>
    <xf numFmtId="46" fontId="0" fillId="0" borderId="29" xfId="0" applyNumberFormat="1" applyBorder="1"/>
    <xf numFmtId="46" fontId="0" fillId="0" borderId="22" xfId="0" applyNumberFormat="1" applyBorder="1"/>
    <xf numFmtId="46" fontId="0" fillId="0" borderId="1" xfId="0" applyNumberFormat="1" applyBorder="1" applyAlignment="1">
      <alignment horizontal="right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25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82"/>
  <sheetViews>
    <sheetView tabSelected="1" zoomScale="90" zoomScaleNormal="90" workbookViewId="0">
      <pane xSplit="3" ySplit="11" topLeftCell="D57" activePane="bottomRight" state="frozen"/>
      <selection pane="topRight" activeCell="D1" sqref="D1"/>
      <selection pane="bottomLeft" activeCell="A12" sqref="A12"/>
      <selection pane="bottomRight" activeCell="E51" sqref="E51"/>
    </sheetView>
  </sheetViews>
  <sheetFormatPr defaultRowHeight="13.2" x14ac:dyDescent="0.25"/>
  <cols>
    <col min="1" max="1" width="5.6640625" style="2" customWidth="1"/>
    <col min="2" max="2" width="45.5546875" customWidth="1"/>
    <col min="3" max="3" width="26.6640625" bestFit="1" customWidth="1"/>
    <col min="4" max="15" width="10.5546875" style="10" customWidth="1"/>
    <col min="16" max="31" width="10.5546875" customWidth="1"/>
    <col min="32" max="32" width="11.33203125" customWidth="1"/>
  </cols>
  <sheetData>
    <row r="1" spans="1:32" s="3" customFormat="1" ht="13.8" x14ac:dyDescent="0.25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2" s="3" customFormat="1" ht="13.8" x14ac:dyDescent="0.25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2" s="3" customFormat="1" x14ac:dyDescent="0.25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2" s="3" customFormat="1" x14ac:dyDescent="0.25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2" s="3" customFormat="1" x14ac:dyDescent="0.25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2" s="3" customFormat="1" x14ac:dyDescent="0.25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2" s="3" customFormat="1" x14ac:dyDescent="0.25">
      <c r="A7" s="5" t="s">
        <v>5</v>
      </c>
      <c r="B7" s="6"/>
      <c r="C7" s="36">
        <v>45323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2" s="3" customFormat="1" x14ac:dyDescent="0.25">
      <c r="A8" s="5" t="s">
        <v>6</v>
      </c>
      <c r="B8" s="7"/>
      <c r="C8" s="38" t="s">
        <v>43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2" s="3" customFormat="1" ht="13.8" thickBot="1" x14ac:dyDescent="0.3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F9" s="88"/>
    </row>
    <row r="10" spans="1:32" s="3" customFormat="1" x14ac:dyDescent="0.25">
      <c r="A10" s="97" t="s">
        <v>2</v>
      </c>
      <c r="B10" s="99" t="s">
        <v>0</v>
      </c>
      <c r="C10" s="99" t="s">
        <v>8</v>
      </c>
      <c r="D10" s="41">
        <v>45323</v>
      </c>
      <c r="E10" s="41">
        <v>45324</v>
      </c>
      <c r="F10" s="41">
        <v>45325</v>
      </c>
      <c r="G10" s="41">
        <v>45326</v>
      </c>
      <c r="H10" s="41">
        <v>45327</v>
      </c>
      <c r="I10" s="41">
        <v>45328</v>
      </c>
      <c r="J10" s="41">
        <v>45329</v>
      </c>
      <c r="K10" s="41">
        <v>45330</v>
      </c>
      <c r="L10" s="41">
        <v>45331</v>
      </c>
      <c r="M10" s="41">
        <v>45332</v>
      </c>
      <c r="N10" s="41">
        <v>45333</v>
      </c>
      <c r="O10" s="41">
        <v>45334</v>
      </c>
      <c r="P10" s="41">
        <v>45335</v>
      </c>
      <c r="Q10" s="41">
        <v>45336</v>
      </c>
      <c r="R10" s="41">
        <v>45337</v>
      </c>
      <c r="S10" s="41">
        <v>45338</v>
      </c>
      <c r="T10" s="41">
        <v>45339</v>
      </c>
      <c r="U10" s="41">
        <v>45340</v>
      </c>
      <c r="V10" s="41">
        <v>45341</v>
      </c>
      <c r="W10" s="41">
        <v>45342</v>
      </c>
      <c r="X10" s="41">
        <v>45343</v>
      </c>
      <c r="Y10" s="41">
        <v>45344</v>
      </c>
      <c r="Z10" s="41">
        <v>45345</v>
      </c>
      <c r="AA10" s="41">
        <v>45346</v>
      </c>
      <c r="AB10" s="41">
        <v>45347</v>
      </c>
      <c r="AC10" s="41">
        <v>45348</v>
      </c>
      <c r="AD10" s="41">
        <v>45349</v>
      </c>
      <c r="AE10" s="41">
        <v>45350</v>
      </c>
      <c r="AF10" s="87">
        <v>45351</v>
      </c>
    </row>
    <row r="11" spans="1:32" s="1" customFormat="1" x14ac:dyDescent="0.25">
      <c r="A11" s="98"/>
      <c r="B11" s="100"/>
      <c r="C11" s="100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</row>
    <row r="12" spans="1:32" x14ac:dyDescent="0.25">
      <c r="A12" s="42"/>
      <c r="B12" s="30"/>
      <c r="C12" s="31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86"/>
    </row>
    <row r="13" spans="1:32" s="11" customFormat="1" ht="15.75" customHeight="1" x14ac:dyDescent="0.3">
      <c r="A13" s="43" t="s">
        <v>34</v>
      </c>
      <c r="B13" s="28" t="s">
        <v>44</v>
      </c>
      <c r="C13" s="32"/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</row>
    <row r="14" spans="1:32" s="11" customFormat="1" ht="15.75" customHeight="1" x14ac:dyDescent="0.3">
      <c r="A14" s="43" t="s">
        <v>25</v>
      </c>
      <c r="B14" s="28" t="s">
        <v>22</v>
      </c>
      <c r="C14" s="32"/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</row>
    <row r="15" spans="1:32" s="11" customFormat="1" ht="15.75" customHeight="1" x14ac:dyDescent="0.3">
      <c r="A15" s="43" t="s">
        <v>26</v>
      </c>
      <c r="B15" s="28" t="s">
        <v>16</v>
      </c>
      <c r="C15" s="32"/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</row>
    <row r="16" spans="1:32" s="11" customFormat="1" ht="15.75" customHeight="1" x14ac:dyDescent="0.3">
      <c r="A16" s="43" t="s">
        <v>27</v>
      </c>
      <c r="B16" s="28" t="s">
        <v>17</v>
      </c>
      <c r="C16" s="32"/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9.9652777777777778E-3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</row>
    <row r="17" spans="1:32" s="11" customFormat="1" ht="15.75" customHeight="1" x14ac:dyDescent="0.3">
      <c r="A17" s="43" t="s">
        <v>28</v>
      </c>
      <c r="B17" s="28" t="s">
        <v>18</v>
      </c>
      <c r="C17" s="32"/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</row>
    <row r="18" spans="1:32" s="11" customFormat="1" ht="15.75" customHeight="1" x14ac:dyDescent="0.3">
      <c r="A18" s="43" t="s">
        <v>29</v>
      </c>
      <c r="B18" s="28" t="s">
        <v>19</v>
      </c>
      <c r="C18" s="32"/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</row>
    <row r="19" spans="1:32" s="11" customFormat="1" ht="15.75" customHeight="1" x14ac:dyDescent="0.3">
      <c r="A19" s="43" t="s">
        <v>30</v>
      </c>
      <c r="B19" s="28" t="s">
        <v>20</v>
      </c>
      <c r="C19" s="32"/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94">
        <v>1.3888888888888888E-2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</row>
    <row r="20" spans="1:32" s="11" customFormat="1" ht="15.75" customHeight="1" x14ac:dyDescent="0.3">
      <c r="A20" s="43" t="s">
        <v>31</v>
      </c>
      <c r="B20" s="28" t="s">
        <v>23</v>
      </c>
      <c r="C20" s="32"/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</row>
    <row r="21" spans="1:32" s="11" customFormat="1" ht="15.75" customHeight="1" x14ac:dyDescent="0.3">
      <c r="A21" s="43" t="s">
        <v>32</v>
      </c>
      <c r="B21" s="28" t="s">
        <v>45</v>
      </c>
      <c r="C21" s="32"/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</row>
    <row r="22" spans="1:32" s="11" customFormat="1" ht="15.75" customHeight="1" x14ac:dyDescent="0.3">
      <c r="A22" s="43" t="s">
        <v>33</v>
      </c>
      <c r="B22" s="44" t="s">
        <v>49</v>
      </c>
      <c r="C22" s="32"/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</row>
    <row r="23" spans="1:32" s="11" customFormat="1" ht="15.75" customHeight="1" x14ac:dyDescent="0.3">
      <c r="A23" s="43" t="s">
        <v>35</v>
      </c>
      <c r="B23" s="44" t="s">
        <v>46</v>
      </c>
      <c r="C23" s="32"/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33">
        <v>0</v>
      </c>
      <c r="L23" s="33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33">
        <v>0</v>
      </c>
      <c r="AB23" s="46">
        <v>0</v>
      </c>
      <c r="AC23" s="46">
        <v>0</v>
      </c>
      <c r="AD23" s="46">
        <v>0</v>
      </c>
      <c r="AE23" s="46">
        <v>0</v>
      </c>
      <c r="AF23" s="33">
        <v>0</v>
      </c>
    </row>
    <row r="24" spans="1:32" s="11" customFormat="1" ht="15.75" customHeight="1" x14ac:dyDescent="0.3">
      <c r="A24" s="43" t="s">
        <v>37</v>
      </c>
      <c r="B24" s="44" t="s">
        <v>47</v>
      </c>
      <c r="C24" s="51"/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33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33">
        <v>0</v>
      </c>
      <c r="AB24" s="46">
        <v>0</v>
      </c>
      <c r="AC24" s="46">
        <v>0</v>
      </c>
      <c r="AD24" s="46">
        <v>0</v>
      </c>
      <c r="AE24" s="46">
        <v>0</v>
      </c>
      <c r="AF24" s="33">
        <v>0</v>
      </c>
    </row>
    <row r="25" spans="1:32" s="11" customFormat="1" ht="15.75" customHeight="1" x14ac:dyDescent="0.3">
      <c r="A25" s="43" t="s">
        <v>38</v>
      </c>
      <c r="B25" s="44" t="s">
        <v>36</v>
      </c>
      <c r="C25" s="45"/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33">
        <v>0</v>
      </c>
      <c r="AB25" s="46">
        <v>0</v>
      </c>
      <c r="AC25" s="46">
        <v>0</v>
      </c>
      <c r="AD25" s="46">
        <v>0</v>
      </c>
      <c r="AE25" s="46">
        <v>0</v>
      </c>
      <c r="AF25" s="33">
        <v>0</v>
      </c>
    </row>
    <row r="26" spans="1:32" s="11" customFormat="1" ht="15.75" customHeight="1" x14ac:dyDescent="0.3">
      <c r="A26" s="80" t="s">
        <v>48</v>
      </c>
      <c r="B26" s="44" t="s">
        <v>39</v>
      </c>
      <c r="C26" s="58"/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33">
        <v>0</v>
      </c>
    </row>
    <row r="27" spans="1:32" s="11" customFormat="1" ht="15.75" customHeight="1" x14ac:dyDescent="0.3">
      <c r="A27" s="89" t="s">
        <v>50</v>
      </c>
      <c r="B27" s="28" t="s">
        <v>51</v>
      </c>
      <c r="C27" s="91"/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33">
        <v>0</v>
      </c>
    </row>
    <row r="28" spans="1:32" s="11" customFormat="1" ht="12.75" customHeight="1" x14ac:dyDescent="0.3">
      <c r="A28" s="89"/>
      <c r="B28" s="90"/>
      <c r="C28" s="91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3"/>
      <c r="AF28" s="61"/>
    </row>
    <row r="29" spans="1:32" s="11" customFormat="1" ht="16.5" customHeight="1" x14ac:dyDescent="0.25">
      <c r="A29" s="83"/>
      <c r="B29" s="84"/>
      <c r="C29" s="85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7"/>
      <c r="AF29" s="76"/>
    </row>
    <row r="30" spans="1:32" s="11" customFormat="1" ht="16.5" customHeight="1" x14ac:dyDescent="0.25">
      <c r="A30" s="103">
        <v>14</v>
      </c>
      <c r="B30" s="106" t="s">
        <v>42</v>
      </c>
      <c r="C30" s="60">
        <v>45331</v>
      </c>
      <c r="D30" s="81"/>
      <c r="E30" s="109" t="s">
        <v>55</v>
      </c>
      <c r="F30" s="109"/>
      <c r="G30" s="109"/>
      <c r="H30" s="109"/>
      <c r="I30" s="109"/>
      <c r="J30" s="109"/>
      <c r="K30" s="109"/>
      <c r="L30" s="109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2"/>
      <c r="AF30" s="67"/>
    </row>
    <row r="31" spans="1:32" s="11" customFormat="1" ht="16.5" customHeight="1" x14ac:dyDescent="0.25">
      <c r="A31" s="104"/>
      <c r="B31" s="107"/>
      <c r="C31" s="63">
        <v>45332</v>
      </c>
      <c r="D31" s="74"/>
      <c r="E31" s="109" t="s">
        <v>56</v>
      </c>
      <c r="F31" s="109"/>
      <c r="G31" s="109"/>
      <c r="H31" s="109"/>
      <c r="I31" s="109"/>
      <c r="J31" s="109"/>
      <c r="K31" s="109"/>
      <c r="L31" s="109"/>
      <c r="M31" s="109"/>
      <c r="N31" s="109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8"/>
      <c r="AF31" s="67"/>
    </row>
    <row r="32" spans="1:32" s="11" customFormat="1" ht="16.5" customHeight="1" x14ac:dyDescent="0.25">
      <c r="A32" s="104"/>
      <c r="B32" s="107"/>
      <c r="C32" s="63"/>
      <c r="D32" s="74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8"/>
      <c r="AF32" s="67"/>
    </row>
    <row r="33" spans="1:32" s="11" customFormat="1" ht="16.5" customHeight="1" x14ac:dyDescent="0.25">
      <c r="A33" s="104"/>
      <c r="B33" s="107"/>
      <c r="C33" s="63"/>
      <c r="D33" s="74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8"/>
      <c r="AF33" s="67"/>
    </row>
    <row r="34" spans="1:32" s="11" customFormat="1" ht="15" customHeight="1" x14ac:dyDescent="0.25">
      <c r="A34" s="104"/>
      <c r="B34" s="107"/>
      <c r="C34" s="70"/>
      <c r="D34" s="75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79"/>
      <c r="AF34" s="40"/>
    </row>
    <row r="35" spans="1:32" s="11" customFormat="1" ht="15" customHeight="1" x14ac:dyDescent="0.25">
      <c r="A35" s="104"/>
      <c r="B35" s="107"/>
      <c r="C35" s="70"/>
      <c r="D35" s="73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57"/>
    </row>
    <row r="36" spans="1:32" s="11" customFormat="1" ht="15" customHeight="1" x14ac:dyDescent="0.25">
      <c r="A36" s="105"/>
      <c r="B36" s="108"/>
      <c r="C36" s="70"/>
      <c r="D36" s="71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57"/>
      <c r="AA36" s="68"/>
      <c r="AB36" s="69"/>
      <c r="AC36" s="68"/>
      <c r="AD36" s="68"/>
      <c r="AE36" s="57"/>
    </row>
    <row r="37" spans="1:32" s="11" customFormat="1" ht="15" x14ac:dyDescent="0.25">
      <c r="A37" s="65"/>
      <c r="B37" s="65"/>
      <c r="C37" s="66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AB37" s="27"/>
    </row>
    <row r="38" spans="1:32" s="11" customFormat="1" ht="15" x14ac:dyDescent="0.25">
      <c r="A38" s="12"/>
      <c r="B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AB38" s="27"/>
    </row>
    <row r="39" spans="1:32" s="11" customFormat="1" x14ac:dyDescent="0.25">
      <c r="A39" s="12"/>
      <c r="D39" s="64"/>
      <c r="AB39" s="27"/>
    </row>
    <row r="40" spans="1:32" s="11" customFormat="1" x14ac:dyDescent="0.25">
      <c r="A40" s="20" t="s">
        <v>12</v>
      </c>
      <c r="D40" s="12"/>
      <c r="K40" s="52"/>
      <c r="L40" s="52"/>
      <c r="AB40" s="27"/>
    </row>
    <row r="41" spans="1:32" s="11" customFormat="1" x14ac:dyDescent="0.25">
      <c r="A41" s="101" t="s">
        <v>2</v>
      </c>
      <c r="B41" s="101" t="s">
        <v>9</v>
      </c>
      <c r="C41" s="101" t="s">
        <v>1</v>
      </c>
      <c r="D41" s="95" t="s">
        <v>7</v>
      </c>
      <c r="E41" s="96"/>
      <c r="AB41" s="27"/>
    </row>
    <row r="42" spans="1:32" s="11" customFormat="1" x14ac:dyDescent="0.25">
      <c r="A42" s="102"/>
      <c r="B42" s="102"/>
      <c r="C42" s="102"/>
      <c r="D42" s="23" t="s">
        <v>10</v>
      </c>
      <c r="E42" s="19" t="s">
        <v>11</v>
      </c>
      <c r="AB42" s="27"/>
    </row>
    <row r="43" spans="1:32" s="11" customFormat="1" ht="15.6" x14ac:dyDescent="0.3">
      <c r="A43" s="37" t="s">
        <v>34</v>
      </c>
      <c r="B43" s="28" t="s">
        <v>41</v>
      </c>
      <c r="C43" s="34">
        <f t="shared" ref="C43:C51" si="0">1-(((D43*3600)+(LEFT(E43,2)*60)+RIGHT(E43,2))/((60*60*24)*$C$8))</f>
        <v>1</v>
      </c>
      <c r="D43" s="17" t="str">
        <f>TEXT(SUM(D13:AE26),"[h]")</f>
        <v>0</v>
      </c>
      <c r="E43" s="17" t="str">
        <f t="shared" ref="E43:E53" si="1">TEXT(SUM(D13:AF13),"mm ss")</f>
        <v>00 00</v>
      </c>
      <c r="G43" s="18"/>
      <c r="AB43" s="27"/>
    </row>
    <row r="44" spans="1:32" s="11" customFormat="1" ht="15.6" x14ac:dyDescent="0.3">
      <c r="A44" s="37" t="s">
        <v>25</v>
      </c>
      <c r="B44" s="28" t="s">
        <v>22</v>
      </c>
      <c r="C44" s="34">
        <f t="shared" si="0"/>
        <v>1</v>
      </c>
      <c r="D44" s="17" t="str">
        <f t="shared" ref="D44:D53" si="2">TEXT(SUM(D14:AF14),"[h]")</f>
        <v>0</v>
      </c>
      <c r="E44" s="17" t="str">
        <f t="shared" si="1"/>
        <v>00 00</v>
      </c>
      <c r="G44" s="18"/>
      <c r="AB44" s="27"/>
    </row>
    <row r="45" spans="1:32" s="11" customFormat="1" ht="15.6" x14ac:dyDescent="0.3">
      <c r="A45" s="37" t="s">
        <v>26</v>
      </c>
      <c r="B45" s="48" t="s">
        <v>16</v>
      </c>
      <c r="C45" s="34">
        <f t="shared" si="0"/>
        <v>1</v>
      </c>
      <c r="D45" s="17" t="str">
        <f t="shared" si="2"/>
        <v>0</v>
      </c>
      <c r="E45" s="17" t="str">
        <f t="shared" si="1"/>
        <v>00 00</v>
      </c>
      <c r="G45" s="18"/>
      <c r="H45" s="59"/>
    </row>
    <row r="46" spans="1:32" s="11" customFormat="1" ht="15.6" x14ac:dyDescent="0.3">
      <c r="A46" s="37" t="s">
        <v>27</v>
      </c>
      <c r="B46" s="28" t="s">
        <v>17</v>
      </c>
      <c r="C46" s="34">
        <f t="shared" si="0"/>
        <v>0.99965636973180072</v>
      </c>
      <c r="D46" s="17" t="str">
        <f t="shared" si="2"/>
        <v>0</v>
      </c>
      <c r="E46" s="17" t="str">
        <f t="shared" si="1"/>
        <v>14 21</v>
      </c>
      <c r="G46" s="18"/>
    </row>
    <row r="47" spans="1:32" s="11" customFormat="1" ht="15.6" x14ac:dyDescent="0.3">
      <c r="A47" s="37" t="s">
        <v>28</v>
      </c>
      <c r="B47" s="28" t="s">
        <v>18</v>
      </c>
      <c r="C47" s="34">
        <f t="shared" si="0"/>
        <v>1</v>
      </c>
      <c r="D47" s="17" t="str">
        <f t="shared" si="2"/>
        <v>0</v>
      </c>
      <c r="E47" s="17" t="str">
        <f t="shared" si="1"/>
        <v>00 00</v>
      </c>
      <c r="G47" s="18"/>
    </row>
    <row r="48" spans="1:32" s="11" customFormat="1" ht="15.6" x14ac:dyDescent="0.3">
      <c r="A48" s="37" t="s">
        <v>29</v>
      </c>
      <c r="B48" s="28" t="s">
        <v>19</v>
      </c>
      <c r="C48" s="34">
        <f t="shared" si="0"/>
        <v>1</v>
      </c>
      <c r="D48" s="17" t="str">
        <f t="shared" si="2"/>
        <v>0</v>
      </c>
      <c r="E48" s="17" t="str">
        <f t="shared" si="1"/>
        <v>00 00</v>
      </c>
      <c r="G48" s="18"/>
      <c r="J48" s="21"/>
    </row>
    <row r="49" spans="1:32" s="11" customFormat="1" ht="15.6" x14ac:dyDescent="0.3">
      <c r="A49" s="37" t="s">
        <v>30</v>
      </c>
      <c r="B49" s="28" t="s">
        <v>24</v>
      </c>
      <c r="C49" s="34">
        <f t="shared" si="0"/>
        <v>0.99952107279693492</v>
      </c>
      <c r="D49" s="17" t="str">
        <f t="shared" si="2"/>
        <v>0</v>
      </c>
      <c r="E49" s="17" t="str">
        <f t="shared" si="1"/>
        <v>20 00</v>
      </c>
      <c r="G49" s="18"/>
    </row>
    <row r="50" spans="1:32" s="11" customFormat="1" ht="15.6" x14ac:dyDescent="0.3">
      <c r="A50" s="37" t="s">
        <v>31</v>
      </c>
      <c r="B50" s="28" t="s">
        <v>23</v>
      </c>
      <c r="C50" s="34">
        <f t="shared" si="0"/>
        <v>1</v>
      </c>
      <c r="D50" s="17" t="str">
        <f t="shared" si="2"/>
        <v>0</v>
      </c>
      <c r="E50" s="17" t="str">
        <f t="shared" si="1"/>
        <v>00 00</v>
      </c>
      <c r="G50" s="18"/>
    </row>
    <row r="51" spans="1:32" s="11" customFormat="1" ht="15.6" x14ac:dyDescent="0.3">
      <c r="A51" s="37" t="s">
        <v>32</v>
      </c>
      <c r="B51" s="28" t="s">
        <v>45</v>
      </c>
      <c r="C51" s="34">
        <f t="shared" si="0"/>
        <v>1</v>
      </c>
      <c r="D51" s="17" t="str">
        <f t="shared" si="2"/>
        <v>0</v>
      </c>
      <c r="E51" s="17" t="str">
        <f t="shared" si="1"/>
        <v>00 00</v>
      </c>
      <c r="G51" s="18"/>
      <c r="O51" s="54"/>
    </row>
    <row r="52" spans="1:32" s="11" customFormat="1" ht="15.6" x14ac:dyDescent="0.3">
      <c r="A52" s="37" t="s">
        <v>33</v>
      </c>
      <c r="B52" s="28" t="s">
        <v>49</v>
      </c>
      <c r="C52" s="34">
        <f t="shared" ref="C52" si="3">1-(((D52*3600)+(LEFT(E52,2)*60)+RIGHT(E52,2))/((60*60*24)*$C$8))</f>
        <v>1</v>
      </c>
      <c r="D52" s="17" t="str">
        <f t="shared" si="2"/>
        <v>0</v>
      </c>
      <c r="E52" s="17" t="str">
        <f t="shared" si="1"/>
        <v>00 00</v>
      </c>
      <c r="G52" s="18"/>
      <c r="O52" s="54"/>
    </row>
    <row r="53" spans="1:32" s="11" customFormat="1" ht="15.6" x14ac:dyDescent="0.3">
      <c r="A53" s="37" t="s">
        <v>35</v>
      </c>
      <c r="B53" s="28" t="s">
        <v>21</v>
      </c>
      <c r="C53" s="29">
        <f>1-(((D53*3600)+(LEFT(E53,2)*60)+RIGHT(E53,2))/((60*60*24)*$C$8))</f>
        <v>1</v>
      </c>
      <c r="D53" s="17" t="str">
        <f t="shared" si="2"/>
        <v>0</v>
      </c>
      <c r="E53" s="17" t="str">
        <f t="shared" si="1"/>
        <v>00 00</v>
      </c>
      <c r="G53" s="18"/>
      <c r="O53" s="54"/>
    </row>
    <row r="54" spans="1:32" s="11" customFormat="1" ht="15.6" x14ac:dyDescent="0.3">
      <c r="A54" s="37" t="s">
        <v>37</v>
      </c>
      <c r="B54" s="28" t="s">
        <v>52</v>
      </c>
      <c r="C54" s="29">
        <f>1-(((D54*3600)+(LEFT(E54,2)*60)+RIGHT(E54,2))/((60*60*24)*$C$8))</f>
        <v>1</v>
      </c>
      <c r="D54" s="17" t="str">
        <f>TEXT(SUM(D24:AE24),"[h]")</f>
        <v>0</v>
      </c>
      <c r="E54" s="17" t="str">
        <f>TEXT(SUM(D24:AE24),"mm ss")</f>
        <v>00 00</v>
      </c>
      <c r="G54" s="18"/>
      <c r="O54" s="54"/>
    </row>
    <row r="55" spans="1:32" s="11" customFormat="1" ht="15.6" x14ac:dyDescent="0.3">
      <c r="A55" s="37" t="s">
        <v>38</v>
      </c>
      <c r="B55" s="28" t="s">
        <v>53</v>
      </c>
      <c r="C55" s="29">
        <f t="shared" ref="C55:C56" si="4">1-(((D55*3600)+(LEFT(E55,2)*60)+RIGHT(E55,2))/((60*60*24)*$C$8))</f>
        <v>1</v>
      </c>
      <c r="D55" s="17" t="str">
        <f>TEXT(SUM(D25:AF25),"[h]")</f>
        <v>0</v>
      </c>
      <c r="E55" s="17" t="str">
        <f>TEXT(SUM(D25:AF25),"mm ss")</f>
        <v>00 00</v>
      </c>
      <c r="G55" s="18"/>
      <c r="O55" s="54"/>
    </row>
    <row r="56" spans="1:32" s="13" customFormat="1" ht="15.6" x14ac:dyDescent="0.3">
      <c r="A56" s="53" t="s">
        <v>48</v>
      </c>
      <c r="B56" s="28" t="s">
        <v>40</v>
      </c>
      <c r="C56" s="29">
        <f t="shared" si="4"/>
        <v>1</v>
      </c>
      <c r="D56" s="17" t="str">
        <f>TEXT(SUM(D26:AF26),"[h]")</f>
        <v>0</v>
      </c>
      <c r="E56" s="17" t="str">
        <f>TEXT(SUM(D26:AF26),"mm ss")</f>
        <v>00 00</v>
      </c>
      <c r="F56" s="11"/>
      <c r="G56" s="18"/>
      <c r="H56" s="11"/>
      <c r="I56" s="11"/>
      <c r="J56" s="11"/>
      <c r="K56" s="11"/>
      <c r="L56" s="54"/>
      <c r="M56" s="54"/>
      <c r="N56" s="54"/>
      <c r="O56" s="5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s="13" customFormat="1" ht="15.6" x14ac:dyDescent="0.3">
      <c r="A57" s="53" t="s">
        <v>50</v>
      </c>
      <c r="B57" s="28" t="s">
        <v>51</v>
      </c>
      <c r="C57" s="29">
        <f t="shared" ref="C57" si="5">1-(((D57*3600)+(LEFT(E57,2)*60)+RIGHT(E57,2))/((60*60*24)*$C$8))</f>
        <v>1</v>
      </c>
      <c r="D57" s="17" t="str">
        <f t="shared" ref="D57" si="6">TEXT(SUM(D27:AF27),"[h]")</f>
        <v>0</v>
      </c>
      <c r="E57" s="17" t="str">
        <f t="shared" ref="E57" si="7">TEXT(SUM(D27:AF27),"mm ss")</f>
        <v>00 00</v>
      </c>
      <c r="F57" s="11"/>
      <c r="G57" s="18"/>
      <c r="H57" s="11"/>
      <c r="I57" s="11"/>
      <c r="J57" s="11"/>
      <c r="K57" s="11"/>
      <c r="L57" s="54"/>
      <c r="M57" s="54"/>
      <c r="N57" s="54"/>
      <c r="O57" s="5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s="13" customFormat="1" ht="15.6" x14ac:dyDescent="0.3">
      <c r="A58" s="53"/>
      <c r="B58" s="28"/>
      <c r="C58" s="29"/>
      <c r="D58" s="17"/>
      <c r="E58" s="17"/>
      <c r="F58" s="11"/>
      <c r="G58" s="18"/>
      <c r="H58" s="11"/>
      <c r="I58" s="11"/>
      <c r="J58" s="11"/>
      <c r="K58" s="11"/>
      <c r="L58" s="54"/>
      <c r="M58" s="54"/>
      <c r="N58" s="54"/>
      <c r="O58" s="5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1:32" ht="15.6" x14ac:dyDescent="0.3">
      <c r="A59" s="47"/>
      <c r="B59" s="48"/>
      <c r="C59" s="49"/>
      <c r="D59" s="50"/>
      <c r="E59" s="50"/>
      <c r="F59" s="11"/>
      <c r="G59" s="18"/>
      <c r="H59" s="11"/>
      <c r="I59" s="11"/>
      <c r="J59" s="11"/>
      <c r="K59" s="11"/>
      <c r="L59" s="54"/>
      <c r="M59" s="54"/>
      <c r="N59" s="54"/>
      <c r="O59" s="56"/>
    </row>
    <row r="60" spans="1:32" x14ac:dyDescent="0.25">
      <c r="A60" s="12"/>
      <c r="B60" s="11"/>
      <c r="C60" s="22"/>
      <c r="D60" s="12"/>
      <c r="E60" s="11"/>
      <c r="F60" s="11"/>
      <c r="G60" s="11"/>
      <c r="H60" s="11"/>
      <c r="I60" s="11"/>
      <c r="J60" s="11"/>
      <c r="K60" s="11"/>
      <c r="L60" s="54"/>
      <c r="M60" s="54"/>
      <c r="N60" s="54"/>
      <c r="O60" s="56"/>
    </row>
    <row r="61" spans="1:32" x14ac:dyDescent="0.25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4"/>
      <c r="M61" s="54"/>
      <c r="N61" s="54"/>
      <c r="O61" s="56"/>
    </row>
    <row r="62" spans="1:32" x14ac:dyDescent="0.25">
      <c r="A62" s="12"/>
      <c r="B62" s="21" t="s">
        <v>13</v>
      </c>
      <c r="C62" s="16"/>
      <c r="D62" s="15"/>
      <c r="E62" s="15"/>
      <c r="F62" s="15"/>
      <c r="G62" s="15"/>
      <c r="H62" s="15"/>
      <c r="I62" s="15"/>
      <c r="J62" s="15"/>
      <c r="K62" s="15"/>
      <c r="L62" s="55"/>
      <c r="M62" s="55"/>
      <c r="N62" s="55"/>
      <c r="O62" s="56"/>
    </row>
    <row r="63" spans="1:32" x14ac:dyDescent="0.25">
      <c r="A63"/>
      <c r="B63" s="11" t="s">
        <v>54</v>
      </c>
      <c r="C63" s="23">
        <f>(SUM(C43:C57))/(100%*15)</f>
        <v>0.99994516283524915</v>
      </c>
      <c r="G63" s="35"/>
      <c r="L63" s="56"/>
      <c r="M63" s="56"/>
      <c r="N63" s="56"/>
      <c r="O63" s="56"/>
    </row>
    <row r="64" spans="1:32" x14ac:dyDescent="0.25">
      <c r="L64" s="56"/>
      <c r="M64" s="56"/>
      <c r="N64" s="56"/>
      <c r="O64" s="56"/>
    </row>
    <row r="65" spans="1:32" x14ac:dyDescent="0.25">
      <c r="L65" s="56"/>
      <c r="M65" s="56"/>
      <c r="N65" s="56"/>
    </row>
    <row r="66" spans="1:32" x14ac:dyDescent="0.25">
      <c r="L66" s="56"/>
      <c r="M66" s="56"/>
      <c r="N66" s="5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</row>
    <row r="67" spans="1:32" x14ac:dyDescent="0.25">
      <c r="B67" s="11"/>
      <c r="L67" s="56"/>
      <c r="M67" s="56"/>
      <c r="N67" s="56"/>
    </row>
    <row r="68" spans="1:32" x14ac:dyDescent="0.25">
      <c r="B68" s="11"/>
      <c r="L68" s="56"/>
      <c r="M68" s="56"/>
      <c r="N68" s="56"/>
    </row>
    <row r="69" spans="1:32" x14ac:dyDescent="0.25">
      <c r="B69" s="11"/>
      <c r="E69" s="62"/>
    </row>
    <row r="70" spans="1:32" x14ac:dyDescent="0.25">
      <c r="A70"/>
      <c r="B70" s="11"/>
    </row>
    <row r="71" spans="1:32" x14ac:dyDescent="0.25">
      <c r="B71" s="11"/>
    </row>
    <row r="72" spans="1:32" x14ac:dyDescent="0.25">
      <c r="B72" s="11"/>
    </row>
    <row r="73" spans="1:32" x14ac:dyDescent="0.25">
      <c r="B73" s="11"/>
    </row>
    <row r="74" spans="1:32" x14ac:dyDescent="0.25">
      <c r="O74" s="25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x14ac:dyDescent="0.25">
      <c r="B75" s="11"/>
      <c r="O75" s="25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x14ac:dyDescent="0.25">
      <c r="B76" s="11"/>
      <c r="O76" s="25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x14ac:dyDescent="0.25">
      <c r="B77" s="11"/>
      <c r="O77" s="25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x14ac:dyDescent="0.25">
      <c r="A78"/>
      <c r="B78" s="11"/>
      <c r="E78" s="24"/>
      <c r="F78" s="25"/>
      <c r="G78" s="25"/>
      <c r="H78" s="25"/>
      <c r="I78" s="25"/>
      <c r="J78" s="25"/>
      <c r="K78" s="25"/>
      <c r="L78" s="25"/>
      <c r="M78" s="25"/>
      <c r="N78" s="25"/>
    </row>
    <row r="79" spans="1:32" x14ac:dyDescent="0.25">
      <c r="A79"/>
      <c r="B79" s="11"/>
      <c r="E79" s="24"/>
      <c r="F79" s="25"/>
      <c r="G79" s="25"/>
      <c r="H79" s="25"/>
      <c r="I79" s="25"/>
      <c r="J79" s="25"/>
      <c r="K79" s="25"/>
      <c r="L79" s="25"/>
      <c r="M79" s="25"/>
      <c r="N79" s="25"/>
    </row>
    <row r="80" spans="1:32" x14ac:dyDescent="0.25">
      <c r="A80"/>
      <c r="B80" s="11"/>
      <c r="E80" s="24"/>
      <c r="F80" s="25"/>
      <c r="G80" s="25"/>
      <c r="H80" s="25"/>
      <c r="I80" s="25"/>
      <c r="J80" s="25"/>
      <c r="K80" s="25"/>
      <c r="L80" s="25"/>
      <c r="M80" s="25"/>
      <c r="N80" s="25"/>
    </row>
    <row r="81" spans="1:14" x14ac:dyDescent="0.25">
      <c r="A81"/>
      <c r="B81" s="11"/>
      <c r="D81"/>
      <c r="E81" s="24"/>
      <c r="F81" s="25"/>
      <c r="G81" s="25"/>
      <c r="H81" s="25"/>
      <c r="I81" s="25"/>
      <c r="J81" s="25"/>
      <c r="K81" s="25"/>
      <c r="L81" s="25"/>
      <c r="M81" s="25"/>
      <c r="N81" s="25"/>
    </row>
    <row r="82" spans="1:14" x14ac:dyDescent="0.25">
      <c r="B82" s="21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E30:L30"/>
    <mergeCell ref="E31:N31"/>
    <mergeCell ref="E32:N32"/>
    <mergeCell ref="E33:N33"/>
    <mergeCell ref="E34:N34"/>
    <mergeCell ref="E35:N35"/>
    <mergeCell ref="E36:N36"/>
  </mergeCells>
  <phoneticPr fontId="9" type="noConversion"/>
  <conditionalFormatting sqref="D13:D22">
    <cfRule type="cellIs" dxfId="19" priority="170" stopIfTrue="1" operator="greaterThan">
      <formula>0</formula>
    </cfRule>
  </conditionalFormatting>
  <conditionalFormatting sqref="D13:Z19">
    <cfRule type="cellIs" dxfId="18" priority="1" stopIfTrue="1" operator="greaterThan">
      <formula>0</formula>
    </cfRule>
  </conditionalFormatting>
  <conditionalFormatting sqref="D23:Z28">
    <cfRule type="cellIs" dxfId="17" priority="26" stopIfTrue="1" operator="greaterThan">
      <formula>0</formula>
    </cfRule>
  </conditionalFormatting>
  <conditionalFormatting sqref="E20:F22">
    <cfRule type="cellIs" dxfId="16" priority="20" stopIfTrue="1" operator="greaterThan">
      <formula>0</formula>
    </cfRule>
  </conditionalFormatting>
  <conditionalFormatting sqref="G21:O22">
    <cfRule type="cellIs" dxfId="15" priority="21" stopIfTrue="1" operator="greaterThan">
      <formula>0</formula>
    </cfRule>
  </conditionalFormatting>
  <conditionalFormatting sqref="G20:Z20">
    <cfRule type="cellIs" dxfId="14" priority="36" stopIfTrue="1" operator="greaterThan">
      <formula>0</formula>
    </cfRule>
  </conditionalFormatting>
  <conditionalFormatting sqref="K40:L40">
    <cfRule type="cellIs" dxfId="13" priority="59" stopIfTrue="1" operator="greaterThan">
      <formula>0</formula>
    </cfRule>
  </conditionalFormatting>
  <conditionalFormatting sqref="P22:Z22">
    <cfRule type="cellIs" dxfId="12" priority="16" stopIfTrue="1" operator="greaterThan">
      <formula>0</formula>
    </cfRule>
  </conditionalFormatting>
  <conditionalFormatting sqref="P21:AB21">
    <cfRule type="cellIs" dxfId="11" priority="34" stopIfTrue="1" operator="greaterThan">
      <formula>0</formula>
    </cfRule>
  </conditionalFormatting>
  <conditionalFormatting sqref="AA13:AA20">
    <cfRule type="cellIs" dxfId="10" priority="44" stopIfTrue="1" operator="greaterThan">
      <formula>0</formula>
    </cfRule>
  </conditionalFormatting>
  <conditionalFormatting sqref="AA22:AA28">
    <cfRule type="cellIs" dxfId="9" priority="18" stopIfTrue="1" operator="greaterThan">
      <formula>0</formula>
    </cfRule>
  </conditionalFormatting>
  <conditionalFormatting sqref="AB20">
    <cfRule type="cellIs" dxfId="8" priority="172" stopIfTrue="1" operator="greaterThan">
      <formula>0</formula>
    </cfRule>
  </conditionalFormatting>
  <conditionalFormatting sqref="AB18:AC19">
    <cfRule type="cellIs" dxfId="7" priority="182" stopIfTrue="1" operator="greaterThan">
      <formula>0</formula>
    </cfRule>
  </conditionalFormatting>
  <conditionalFormatting sqref="AB22:AD22">
    <cfRule type="cellIs" dxfId="6" priority="17" stopIfTrue="1" operator="greaterThan">
      <formula>0</formula>
    </cfRule>
  </conditionalFormatting>
  <conditionalFormatting sqref="AB13:AE17">
    <cfRule type="cellIs" dxfId="5" priority="149" stopIfTrue="1" operator="greaterThan">
      <formula>0</formula>
    </cfRule>
  </conditionalFormatting>
  <conditionalFormatting sqref="AB23:AE28">
    <cfRule type="cellIs" dxfId="4" priority="28" stopIfTrue="1" operator="greaterThan">
      <formula>0</formula>
    </cfRule>
  </conditionalFormatting>
  <conditionalFormatting sqref="AC20:AC21">
    <cfRule type="cellIs" dxfId="3" priority="171" stopIfTrue="1" operator="greaterThan">
      <formula>0</formula>
    </cfRule>
  </conditionalFormatting>
  <conditionalFormatting sqref="AD18:AD21">
    <cfRule type="cellIs" dxfId="2" priority="168" stopIfTrue="1" operator="greaterThan">
      <formula>0</formula>
    </cfRule>
  </conditionalFormatting>
  <conditionalFormatting sqref="AE18:AE22">
    <cfRule type="cellIs" dxfId="1" priority="10" stopIfTrue="1" operator="greaterThan">
      <formula>0</formula>
    </cfRule>
  </conditionalFormatting>
  <conditionalFormatting sqref="AF13:AF28">
    <cfRule type="cellIs" dxfId="0" priority="1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2024-03-04T00:44:07Z</dcterms:modified>
</cp:coreProperties>
</file>