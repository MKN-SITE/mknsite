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ALU" sheetId="11" r:id="rId1"/>
  </sheets>
  <definedNames>
    <definedName name="_xlnm.Print_Area" localSheetId="0">'Avaibility ALU'!$A$1:$AG$66</definedName>
  </definedNames>
  <calcPr calcId="144525"/>
</workbook>
</file>

<file path=xl/calcChain.xml><?xml version="1.0" encoding="utf-8"?>
<calcChain xmlns="http://schemas.openxmlformats.org/spreadsheetml/2006/main">
  <c r="E56" i="11" l="1"/>
  <c r="D56" i="11"/>
  <c r="C56" i="11" l="1"/>
  <c r="D55" i="11"/>
  <c r="D54" i="11"/>
  <c r="D45" i="11"/>
  <c r="D44" i="11"/>
  <c r="E54" i="11" l="1"/>
  <c r="E55" i="11"/>
  <c r="E53" i="11"/>
  <c r="C54" i="11" l="1"/>
  <c r="C55" i="11"/>
  <c r="D53" i="11"/>
  <c r="C53" i="11" s="1"/>
  <c r="E44" i="11"/>
  <c r="C44" i="11" s="1"/>
  <c r="E45" i="11"/>
  <c r="C45" i="11" s="1"/>
  <c r="D46" i="11"/>
  <c r="E46" i="11"/>
  <c r="D47" i="11"/>
  <c r="E47" i="11"/>
  <c r="D48" i="11"/>
  <c r="E48" i="11"/>
  <c r="D49" i="11"/>
  <c r="E49" i="11"/>
  <c r="D50" i="11"/>
  <c r="E50" i="11"/>
  <c r="D51" i="11"/>
  <c r="E51" i="11"/>
  <c r="D52" i="11"/>
  <c r="E52" i="11"/>
  <c r="C48" i="11" l="1"/>
  <c r="C52" i="11"/>
  <c r="C50" i="11"/>
  <c r="C46" i="11"/>
  <c r="C51" i="11"/>
  <c r="C49" i="11"/>
  <c r="C47" i="11"/>
  <c r="C61" i="11" l="1"/>
</calcChain>
</file>

<file path=xl/sharedStrings.xml><?xml version="1.0" encoding="utf-8"?>
<sst xmlns="http://schemas.openxmlformats.org/spreadsheetml/2006/main" count="116" uniqueCount="57">
  <si>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</si>
  <si>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</si>
  <si>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</si>
  <si>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</si>
  <si>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</si>
  <si>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</si>
  <si>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</si>
  <si>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</si>
  <si>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</si>
  <si>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</si>
  <si>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</si>
  <si>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</si>
  <si>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</si>
  <si>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</si>
  <si>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</si>
  <si>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</si>
  <si>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</si>
  <si>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</si>
  <si>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</si>
  <si>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</si>
  <si>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</si>
  <si>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</si>
  <si>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</si>
  <si>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</si>
  <si>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</si>
  <si>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</si>
  <si>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</si>
  <si>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</si>
  <si>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</si>
  <si>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</si>
  <si>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</si>
  <si>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</si>
  <si>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</si>
  <si>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</si>
  <si>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</si>
  <si>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</si>
  <si>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</si>
  <si>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</si>
  <si>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</si>
  <si>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</si>
  <si>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</si>
  <si>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</si>
  <si>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</si>
  <si>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</si>
  <si>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</si>
  <si>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</si>
  <si>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</si>
  <si>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>30</t>
  </si>
  <si>
    <t xml:space="preserve">M5 to SURYA ODU </t>
  </si>
  <si>
    <t xml:space="preserve">    Intermitten</t>
  </si>
  <si>
    <t>11-12 Sept 2022</t>
  </si>
  <si>
    <t xml:space="preserve">    Problem ODU ( Broken ),Loss Signal to Big</t>
  </si>
  <si>
    <t>14-15 Sept 2022</t>
  </si>
  <si>
    <t xml:space="preserve">    Loss Signal SU-BIG</t>
  </si>
  <si>
    <t>2-8 Sept-22</t>
  </si>
  <si>
    <t xml:space="preserve">    Loss Signal SU- BIG</t>
  </si>
  <si>
    <t>8-9 Sept-22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</si>
</sst>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7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46" fontId="0" fillId="0" borderId="0" xfId="0" applyNumberFormat="1" applyBorder="1"/>
    <xf numFmtId="164" fontId="38" fillId="0" borderId="0" xfId="0" applyFont="1" applyAlignment="1">
      <alignment horizontal="center"/>
    </xf>
    <xf numFmtId="164" fontId="0" fillId="0" borderId="1" xfId="0" applyBorder="1"/>
    <xf numFmtId="49" fontId="6" fillId="0" borderId="22" xfId="0" applyNumberFormat="1" applyFont="1" applyBorder="1" applyAlignment="1">
      <alignment horizontal="center"/>
    </xf>
    <xf numFmtId="164" fontId="35" fillId="0" borderId="23" xfId="0" applyFont="1" applyFill="1" applyBorder="1"/>
    <xf numFmtId="164" fontId="37" fillId="0" borderId="23" xfId="0" applyFont="1" applyBorder="1" applyAlignment="1">
      <alignment vertical="center"/>
    </xf>
    <xf numFmtId="46" fontId="0" fillId="0" borderId="23" xfId="0" applyNumberFormat="1" applyBorder="1"/>
    <xf numFmtId="164" fontId="6" fillId="33" borderId="0" xfId="0" applyFont="1" applyFill="1"/>
    <xf numFmtId="164" fontId="36" fillId="0" borderId="0" xfId="0" applyFont="1" applyBorder="1" applyAlignment="1">
      <alignment horizontal="center" vertical="center" wrapText="1"/>
    </xf>
    <xf numFmtId="164" fontId="6" fillId="0" borderId="0" xfId="0" applyFont="1" applyAlignment="1">
      <alignment vertical="center"/>
    </xf>
    <xf numFmtId="1" fontId="6" fillId="0" borderId="24" xfId="0" applyNumberFormat="1" applyFont="1" applyBorder="1" applyAlignment="1">
      <alignment horizontal="center" vertical="center"/>
    </xf>
    <xf numFmtId="164" fontId="36" fillId="0" borderId="24" xfId="0" applyFont="1" applyBorder="1" applyAlignment="1">
      <alignment vertical="center"/>
    </xf>
    <xf numFmtId="164" fontId="37" fillId="0" borderId="24" xfId="0" applyFont="1" applyBorder="1" applyAlignment="1">
      <alignment vertical="center"/>
    </xf>
    <xf numFmtId="164" fontId="36" fillId="0" borderId="1" xfId="0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/>
    </xf>
    <xf numFmtId="164" fontId="6" fillId="0" borderId="0" xfId="0" applyFont="1" applyBorder="1" applyAlignment="1">
      <alignment horizontal="left" vertical="center"/>
    </xf>
    <xf numFmtId="165" fontId="37" fillId="0" borderId="0" xfId="0" applyNumberFormat="1" applyFont="1" applyBorder="1" applyAlignment="1">
      <alignment horizontal="center"/>
    </xf>
    <xf numFmtId="164" fontId="37" fillId="0" borderId="0" xfId="0" applyFont="1" applyBorder="1" applyAlignment="1">
      <alignment horizontal="center" vertical="center"/>
    </xf>
    <xf numFmtId="164" fontId="36" fillId="0" borderId="3" xfId="0" applyFont="1" applyBorder="1" applyAlignment="1">
      <alignment horizontal="center" vertical="center" wrapText="1"/>
    </xf>
    <xf numFmtId="165" fontId="8" fillId="0" borderId="3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" fontId="8" fillId="0" borderId="26" xfId="0" applyNumberFormat="1" applyFont="1" applyBorder="1" applyAlignment="1">
      <alignment horizontal="center"/>
    </xf>
    <xf numFmtId="164" fontId="0" fillId="0" borderId="5" xfId="0" applyBorder="1"/>
    <xf numFmtId="46" fontId="0" fillId="0" borderId="3" xfId="0" applyNumberFormat="1" applyBorder="1" applyAlignment="1">
      <alignment horizontal="center"/>
    </xf>
    <xf numFmtId="46" fontId="0" fillId="0" borderId="23" xfId="0" applyNumberFormat="1" applyBorder="1" applyAlignment="1">
      <alignment horizontal="center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7" fillId="0" borderId="24" xfId="0" applyFont="1" applyBorder="1" applyAlignment="1">
      <alignment horizontal="center" vertical="center"/>
    </xf>
    <xf numFmtId="164" fontId="37" fillId="0" borderId="25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77"/>
  <sheetViews>
    <sheetView tabSelected="1" zoomScaleNormal="100" workbookViewId="0">
      <selection activeCell="AI16" sqref="AI16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2" width="11.28515625" customWidth="1"/>
    <col min="33" max="33" width="10.140625" customWidth="1"/>
  </cols>
  <sheetData>
    <row r="1" spans="1:33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3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3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3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3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3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3" s="3" customFormat="1" x14ac:dyDescent="0.2">
      <c r="A7" s="5" t="s">
        <v>5</v>
      </c>
      <c r="B7" s="6"/>
      <c r="C7" s="40">
        <v>44805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3" s="3" customFormat="1" x14ac:dyDescent="0.2">
      <c r="A8" s="5" t="s">
        <v>6</v>
      </c>
      <c r="B8" s="8"/>
      <c r="C8" s="42" t="s">
        <v>47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3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3" s="3" customFormat="1" x14ac:dyDescent="0.2">
      <c r="A10" s="93" t="s">
        <v>2</v>
      </c>
      <c r="B10" s="95" t="s">
        <v>0</v>
      </c>
      <c r="C10" s="95" t="s">
        <v>8</v>
      </c>
      <c r="D10" s="46">
        <v>44440</v>
      </c>
      <c r="E10" s="46">
        <v>44441</v>
      </c>
      <c r="F10" s="46">
        <v>44442</v>
      </c>
      <c r="G10" s="46">
        <v>44443</v>
      </c>
      <c r="H10" s="46">
        <v>44444</v>
      </c>
      <c r="I10" s="46">
        <v>44445</v>
      </c>
      <c r="J10" s="46">
        <v>44446</v>
      </c>
      <c r="K10" s="46">
        <v>44447</v>
      </c>
      <c r="L10" s="46">
        <v>44448</v>
      </c>
      <c r="M10" s="46">
        <v>44449</v>
      </c>
      <c r="N10" s="46">
        <v>44450</v>
      </c>
      <c r="O10" s="46">
        <v>44451</v>
      </c>
      <c r="P10" s="46">
        <v>44452</v>
      </c>
      <c r="Q10" s="46">
        <v>44453</v>
      </c>
      <c r="R10" s="46">
        <v>44454</v>
      </c>
      <c r="S10" s="46">
        <v>44455</v>
      </c>
      <c r="T10" s="46">
        <v>44456</v>
      </c>
      <c r="U10" s="46">
        <v>44457</v>
      </c>
      <c r="V10" s="46">
        <v>44458</v>
      </c>
      <c r="W10" s="46">
        <v>44459</v>
      </c>
      <c r="X10" s="46">
        <v>44460</v>
      </c>
      <c r="Y10" s="46">
        <v>44461</v>
      </c>
      <c r="Z10" s="46">
        <v>44462</v>
      </c>
      <c r="AA10" s="46">
        <v>44463</v>
      </c>
      <c r="AB10" s="46">
        <v>44464</v>
      </c>
      <c r="AC10" s="46">
        <v>44465</v>
      </c>
      <c r="AD10" s="46">
        <v>44466</v>
      </c>
      <c r="AE10" s="46">
        <v>44467</v>
      </c>
      <c r="AF10" s="46">
        <v>44468</v>
      </c>
      <c r="AG10" s="82">
        <v>44469</v>
      </c>
    </row>
    <row r="11" spans="1:33" s="1" customFormat="1" x14ac:dyDescent="0.2">
      <c r="A11" s="94"/>
      <c r="B11" s="96"/>
      <c r="C11" s="96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</row>
    <row r="12" spans="1:33" x14ac:dyDescent="0.2">
      <c r="A12" s="47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3"/>
      <c r="AG12" s="83"/>
    </row>
    <row r="13" spans="1:33" s="12" customFormat="1" ht="15.75" x14ac:dyDescent="0.25">
      <c r="A13" s="48" t="s">
        <v>37</v>
      </c>
      <c r="B13" s="32" t="s">
        <v>17</v>
      </c>
      <c r="C13" s="36"/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20">
        <v>0</v>
      </c>
    </row>
    <row r="14" spans="1:33" s="12" customFormat="1" ht="15.75" x14ac:dyDescent="0.25">
      <c r="A14" s="48" t="s">
        <v>28</v>
      </c>
      <c r="B14" s="32" t="s">
        <v>25</v>
      </c>
      <c r="C14" s="36"/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20">
        <v>0</v>
      </c>
    </row>
    <row r="15" spans="1:33" s="12" customFormat="1" ht="15.75" x14ac:dyDescent="0.25">
      <c r="A15" s="48" t="s">
        <v>29</v>
      </c>
      <c r="B15" s="32" t="s">
        <v>18</v>
      </c>
      <c r="C15" s="36"/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20">
        <v>0</v>
      </c>
    </row>
    <row r="16" spans="1:33" s="12" customFormat="1" ht="15.75" x14ac:dyDescent="0.25">
      <c r="A16" s="48" t="s">
        <v>30</v>
      </c>
      <c r="B16" s="32" t="s">
        <v>19</v>
      </c>
      <c r="C16" s="36"/>
      <c r="D16" s="37">
        <v>0</v>
      </c>
      <c r="E16" s="37">
        <v>0</v>
      </c>
      <c r="F16" s="37">
        <v>3.5532407407407405E-3</v>
      </c>
      <c r="G16" s="37">
        <v>0</v>
      </c>
      <c r="H16" s="37">
        <v>0</v>
      </c>
      <c r="I16" s="37">
        <v>0</v>
      </c>
      <c r="J16" s="37">
        <v>0</v>
      </c>
      <c r="K16" s="37">
        <v>3.5648148148148154E-3</v>
      </c>
      <c r="L16" s="37">
        <v>3.5532407407407405E-3</v>
      </c>
      <c r="M16" s="37">
        <v>0</v>
      </c>
      <c r="N16" s="37">
        <v>4.2129629629629628E-2</v>
      </c>
      <c r="O16" s="37">
        <v>8.2407407407407412E-3</v>
      </c>
      <c r="P16" s="37">
        <v>0</v>
      </c>
      <c r="Q16" s="37">
        <v>2.1388888888888888E-2</v>
      </c>
      <c r="R16" s="37">
        <v>1.068287037037037E-2</v>
      </c>
      <c r="S16" s="37">
        <v>0</v>
      </c>
      <c r="T16" s="37">
        <v>0</v>
      </c>
      <c r="U16" s="37">
        <v>0</v>
      </c>
      <c r="V16" s="37">
        <v>0</v>
      </c>
      <c r="W16" s="37">
        <v>7.4884259259259262E-3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4.8379629629629632E-3</v>
      </c>
      <c r="AD16" s="37">
        <v>0</v>
      </c>
      <c r="AE16" s="37">
        <v>1.0694444444444444E-2</v>
      </c>
      <c r="AF16" s="37">
        <v>0</v>
      </c>
      <c r="AG16" s="20">
        <v>0</v>
      </c>
    </row>
    <row r="17" spans="1:33" s="12" customFormat="1" ht="15.75" x14ac:dyDescent="0.25">
      <c r="A17" s="48" t="s">
        <v>31</v>
      </c>
      <c r="B17" s="32" t="s">
        <v>20</v>
      </c>
      <c r="C17" s="36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20">
        <v>0</v>
      </c>
    </row>
    <row r="18" spans="1:33" s="12" customFormat="1" ht="15.75" x14ac:dyDescent="0.25">
      <c r="A18" s="48" t="s">
        <v>32</v>
      </c>
      <c r="B18" s="32" t="s">
        <v>21</v>
      </c>
      <c r="C18" s="36"/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20">
        <v>0</v>
      </c>
    </row>
    <row r="19" spans="1:33" s="12" customFormat="1" ht="15.75" x14ac:dyDescent="0.25">
      <c r="A19" s="48" t="s">
        <v>33</v>
      </c>
      <c r="B19" s="32" t="s">
        <v>22</v>
      </c>
      <c r="C19" s="36"/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20">
        <v>0</v>
      </c>
    </row>
    <row r="20" spans="1:33" s="12" customFormat="1" ht="15.75" x14ac:dyDescent="0.25">
      <c r="A20" s="48" t="s">
        <v>34</v>
      </c>
      <c r="B20" s="32" t="s">
        <v>26</v>
      </c>
      <c r="C20" s="36"/>
      <c r="D20" s="37">
        <v>0</v>
      </c>
      <c r="E20" s="37">
        <v>0.23745370370370369</v>
      </c>
      <c r="F20" s="37">
        <v>0.15319444444444444</v>
      </c>
      <c r="G20" s="37">
        <v>0.1816550925925926</v>
      </c>
      <c r="H20" s="37">
        <v>7.1284722222222222E-2</v>
      </c>
      <c r="I20" s="37">
        <v>0.16033564814814816</v>
      </c>
      <c r="J20" s="37">
        <v>0.31721064814814814</v>
      </c>
      <c r="K20" s="37">
        <v>0.99847222222222232</v>
      </c>
      <c r="L20" s="37">
        <v>0</v>
      </c>
      <c r="M20" s="37">
        <v>0</v>
      </c>
      <c r="N20" s="37">
        <v>1.068287037037037E-2</v>
      </c>
      <c r="O20" s="37">
        <v>0</v>
      </c>
      <c r="P20" s="37">
        <v>0</v>
      </c>
      <c r="Q20" s="37">
        <v>1.0497685185185186E-2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20">
        <v>0</v>
      </c>
    </row>
    <row r="21" spans="1:33" s="12" customFormat="1" ht="15.75" x14ac:dyDescent="0.25">
      <c r="A21" s="48" t="s">
        <v>35</v>
      </c>
      <c r="B21" s="32" t="s">
        <v>24</v>
      </c>
      <c r="C21" s="36"/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20">
        <v>0</v>
      </c>
    </row>
    <row r="22" spans="1:33" s="12" customFormat="1" ht="15.75" x14ac:dyDescent="0.25">
      <c r="A22" s="48" t="s">
        <v>36</v>
      </c>
      <c r="B22" s="49" t="s">
        <v>23</v>
      </c>
      <c r="C22" s="50"/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37">
        <v>0</v>
      </c>
      <c r="L22" s="37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0</v>
      </c>
      <c r="Y22" s="51">
        <v>0</v>
      </c>
      <c r="Z22" s="51">
        <v>0</v>
      </c>
      <c r="AA22" s="51">
        <v>0</v>
      </c>
      <c r="AB22" s="37">
        <v>0</v>
      </c>
      <c r="AC22" s="37">
        <v>0</v>
      </c>
      <c r="AD22" s="51">
        <v>0</v>
      </c>
      <c r="AE22" s="37">
        <v>0</v>
      </c>
      <c r="AF22" s="37">
        <v>0</v>
      </c>
      <c r="AG22" s="20">
        <v>0</v>
      </c>
    </row>
    <row r="23" spans="1:33" s="12" customFormat="1" ht="15.75" x14ac:dyDescent="0.25">
      <c r="A23" s="48" t="s">
        <v>38</v>
      </c>
      <c r="B23" s="49" t="s">
        <v>39</v>
      </c>
      <c r="C23" s="36"/>
      <c r="D23" s="51">
        <v>0</v>
      </c>
      <c r="E23" s="51">
        <v>0</v>
      </c>
      <c r="F23" s="51">
        <v>0</v>
      </c>
      <c r="G23" s="37">
        <v>0</v>
      </c>
      <c r="H23" s="51">
        <v>0</v>
      </c>
      <c r="I23" s="51">
        <v>0</v>
      </c>
      <c r="J23" s="51">
        <v>0</v>
      </c>
      <c r="K23" s="37">
        <v>0</v>
      </c>
      <c r="L23" s="37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3.5532407407407405E-3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37">
        <v>0</v>
      </c>
      <c r="AC23" s="37">
        <v>0</v>
      </c>
      <c r="AD23" s="51">
        <v>0</v>
      </c>
      <c r="AE23" s="37">
        <v>0</v>
      </c>
      <c r="AF23" s="37">
        <v>0</v>
      </c>
      <c r="AG23" s="84">
        <v>0</v>
      </c>
    </row>
    <row r="24" spans="1:33" s="12" customFormat="1" ht="15.75" x14ac:dyDescent="0.25">
      <c r="A24" s="48" t="s">
        <v>41</v>
      </c>
      <c r="B24" s="49" t="s">
        <v>40</v>
      </c>
      <c r="C24" s="50"/>
      <c r="D24" s="51">
        <v>0</v>
      </c>
      <c r="E24" s="51">
        <v>0</v>
      </c>
      <c r="F24" s="51">
        <v>0</v>
      </c>
      <c r="G24" s="51">
        <v>1.4247685185185184E-2</v>
      </c>
      <c r="H24" s="51">
        <v>0</v>
      </c>
      <c r="I24" s="37">
        <v>0</v>
      </c>
      <c r="J24" s="51">
        <v>0</v>
      </c>
      <c r="K24" s="37">
        <v>0</v>
      </c>
      <c r="L24" s="37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37">
        <v>0</v>
      </c>
      <c r="AC24" s="37">
        <v>0</v>
      </c>
      <c r="AD24" s="51">
        <v>0</v>
      </c>
      <c r="AE24" s="37">
        <v>0</v>
      </c>
      <c r="AF24" s="37">
        <v>0</v>
      </c>
      <c r="AG24" s="84">
        <v>3.5532407407407405E-3</v>
      </c>
    </row>
    <row r="25" spans="1:33" s="12" customFormat="1" ht="14.25" customHeight="1" thickBot="1" x14ac:dyDescent="0.3">
      <c r="A25" s="64" t="s">
        <v>42</v>
      </c>
      <c r="B25" s="65" t="s">
        <v>45</v>
      </c>
      <c r="C25" s="66"/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37">
        <v>0</v>
      </c>
      <c r="O25" s="67">
        <v>0</v>
      </c>
      <c r="P25" s="67">
        <v>0</v>
      </c>
      <c r="Q25" s="67">
        <v>0</v>
      </c>
      <c r="R25" s="67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7">
        <v>0</v>
      </c>
      <c r="AD25" s="67">
        <v>0</v>
      </c>
      <c r="AE25" s="67">
        <v>0</v>
      </c>
      <c r="AF25" s="67">
        <v>0</v>
      </c>
      <c r="AG25" s="85">
        <v>0</v>
      </c>
    </row>
    <row r="26" spans="1:33" s="12" customFormat="1" ht="16.5" customHeight="1" x14ac:dyDescent="0.2">
      <c r="A26" s="71"/>
      <c r="B26" s="72"/>
      <c r="C26" s="73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2"/>
    </row>
    <row r="27" spans="1:33" s="12" customFormat="1" ht="16.5" customHeight="1" x14ac:dyDescent="0.2">
      <c r="A27" s="74"/>
      <c r="B27" s="74"/>
      <c r="C27" s="75" t="s">
        <v>54</v>
      </c>
      <c r="D27" s="90" t="s">
        <v>51</v>
      </c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</row>
    <row r="28" spans="1:33" s="12" customFormat="1" ht="16.5" customHeight="1" x14ac:dyDescent="0.2">
      <c r="A28" s="74"/>
      <c r="B28" s="74"/>
      <c r="C28" s="75">
        <v>44807</v>
      </c>
      <c r="D28" s="90" t="s">
        <v>55</v>
      </c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</row>
    <row r="29" spans="1:33" s="12" customFormat="1" ht="16.5" customHeight="1" x14ac:dyDescent="0.2">
      <c r="A29" s="74"/>
      <c r="B29" s="74"/>
      <c r="C29" s="75">
        <v>44808</v>
      </c>
      <c r="D29" s="90" t="s">
        <v>49</v>
      </c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</row>
    <row r="30" spans="1:33" s="12" customFormat="1" ht="16.5" customHeight="1" x14ac:dyDescent="0.2">
      <c r="A30" s="74"/>
      <c r="B30" s="74"/>
      <c r="C30" s="75" t="s">
        <v>56</v>
      </c>
      <c r="D30" s="90" t="s">
        <v>53</v>
      </c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</row>
    <row r="31" spans="1:33" s="12" customFormat="1" ht="16.5" customHeight="1" x14ac:dyDescent="0.2">
      <c r="A31" s="74"/>
      <c r="B31" s="74"/>
      <c r="C31" s="75" t="s">
        <v>50</v>
      </c>
      <c r="D31" s="90" t="s">
        <v>53</v>
      </c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</row>
    <row r="32" spans="1:33" s="12" customFormat="1" ht="16.5" customHeight="1" x14ac:dyDescent="0.2">
      <c r="A32" s="74"/>
      <c r="B32" s="74"/>
      <c r="C32" s="75" t="s">
        <v>52</v>
      </c>
      <c r="D32" s="90" t="s">
        <v>53</v>
      </c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</row>
    <row r="33" spans="1:38" s="12" customFormat="1" ht="16.5" customHeight="1" x14ac:dyDescent="0.2">
      <c r="A33" s="74"/>
      <c r="B33" s="74"/>
      <c r="C33" s="75">
        <v>44821</v>
      </c>
      <c r="D33" s="90" t="s">
        <v>49</v>
      </c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</row>
    <row r="34" spans="1:38" s="12" customFormat="1" ht="16.5" customHeight="1" x14ac:dyDescent="0.2">
      <c r="A34" s="74"/>
      <c r="B34" s="74"/>
      <c r="C34" s="75">
        <v>44824</v>
      </c>
      <c r="D34" s="90" t="s">
        <v>53</v>
      </c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</row>
    <row r="35" spans="1:38" s="12" customFormat="1" ht="16.5" customHeight="1" x14ac:dyDescent="0.2">
      <c r="A35" s="74"/>
      <c r="B35" s="74"/>
      <c r="C35" s="75">
        <v>44830</v>
      </c>
      <c r="D35" s="90" t="s">
        <v>53</v>
      </c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</row>
    <row r="36" spans="1:38" s="12" customFormat="1" ht="15" x14ac:dyDescent="0.2">
      <c r="A36" s="79"/>
      <c r="B36" s="79"/>
      <c r="C36" s="80">
        <v>44832</v>
      </c>
      <c r="D36" s="90" t="s">
        <v>53</v>
      </c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</row>
    <row r="37" spans="1:38" s="12" customFormat="1" ht="15" x14ac:dyDescent="0.2">
      <c r="A37" s="74"/>
      <c r="B37" s="74"/>
      <c r="C37" s="81">
        <v>44834</v>
      </c>
      <c r="D37" s="90" t="s">
        <v>49</v>
      </c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78"/>
      <c r="AI37" s="78"/>
      <c r="AJ37" s="78"/>
    </row>
    <row r="38" spans="1:38" s="12" customFormat="1" ht="15" x14ac:dyDescent="0.2">
      <c r="A38" s="69"/>
      <c r="B38" s="69"/>
      <c r="C38" s="77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</row>
    <row r="39" spans="1:38" s="12" customFormat="1" ht="15" x14ac:dyDescent="0.2">
      <c r="A39" s="13"/>
      <c r="B39" s="43"/>
      <c r="C39" s="44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4"/>
      <c r="AK39" s="76"/>
      <c r="AL39" s="76"/>
    </row>
    <row r="40" spans="1:38" s="12" customFormat="1" x14ac:dyDescent="0.2">
      <c r="A40" s="13"/>
      <c r="D40" s="14"/>
      <c r="E40" s="15"/>
      <c r="F40" s="15"/>
      <c r="G40" s="15"/>
      <c r="H40" s="15"/>
      <c r="I40" s="70"/>
      <c r="J40" s="15"/>
      <c r="K40" s="15"/>
      <c r="L40" s="15"/>
      <c r="M40" s="15"/>
      <c r="N40" s="15"/>
      <c r="O40" s="15"/>
    </row>
    <row r="41" spans="1:38" s="12" customFormat="1" x14ac:dyDescent="0.2">
      <c r="A41" s="23" t="s">
        <v>12</v>
      </c>
      <c r="D41" s="14"/>
      <c r="E41" s="15"/>
      <c r="F41" s="15"/>
      <c r="G41" s="15"/>
      <c r="H41" s="15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</row>
    <row r="42" spans="1:38" s="12" customFormat="1" x14ac:dyDescent="0.2">
      <c r="A42" s="86" t="s">
        <v>2</v>
      </c>
      <c r="B42" s="86" t="s">
        <v>9</v>
      </c>
      <c r="C42" s="86" t="s">
        <v>1</v>
      </c>
      <c r="D42" s="88" t="s">
        <v>7</v>
      </c>
      <c r="E42" s="89"/>
      <c r="F42" s="15"/>
      <c r="G42" s="15"/>
      <c r="H42" s="15"/>
      <c r="I42" s="15"/>
      <c r="J42" s="15"/>
      <c r="K42" s="56"/>
      <c r="L42" s="56"/>
      <c r="M42" s="15"/>
      <c r="O42" s="15"/>
      <c r="AB42" s="31"/>
    </row>
    <row r="43" spans="1:38" s="12" customFormat="1" x14ac:dyDescent="0.2">
      <c r="A43" s="87"/>
      <c r="B43" s="87"/>
      <c r="C43" s="87"/>
      <c r="D43" s="27" t="s">
        <v>10</v>
      </c>
      <c r="E43" s="22" t="s">
        <v>11</v>
      </c>
      <c r="F43" s="15"/>
      <c r="G43" s="15"/>
      <c r="H43" s="15"/>
      <c r="I43" s="15"/>
      <c r="J43" s="15"/>
      <c r="K43" s="15"/>
      <c r="L43" s="15"/>
      <c r="M43" s="15"/>
      <c r="O43" s="15"/>
      <c r="AB43" s="31"/>
    </row>
    <row r="44" spans="1:38" s="12" customFormat="1" ht="15.75" x14ac:dyDescent="0.25">
      <c r="A44" s="41" t="s">
        <v>37</v>
      </c>
      <c r="B44" s="32" t="s">
        <v>48</v>
      </c>
      <c r="C44" s="38">
        <f t="shared" ref="C44:C52" si="0">1-(((D44*3600)+(LEFT(E44,2)*60)+RIGHT(E44,2))/((60*60*24)*$C$8))</f>
        <v>1</v>
      </c>
      <c r="D44" s="20" t="str">
        <f t="shared" ref="D44:D56" si="1">TEXT(SUM(D13:AG13),"[h]")</f>
        <v>0</v>
      </c>
      <c r="E44" s="20" t="str">
        <f t="shared" ref="E44:E56" si="2">TEXT(SUM(D13:AG13),"mm ss")</f>
        <v>00 00</v>
      </c>
      <c r="F44" s="15"/>
      <c r="G44" s="21"/>
      <c r="H44" s="15"/>
      <c r="I44" s="15"/>
      <c r="J44" s="15"/>
      <c r="K44" s="15"/>
      <c r="L44" s="15"/>
      <c r="M44" s="15"/>
      <c r="O44" s="15"/>
      <c r="AB44" s="31"/>
    </row>
    <row r="45" spans="1:38" s="12" customFormat="1" ht="15.75" x14ac:dyDescent="0.25">
      <c r="A45" s="41" t="s">
        <v>28</v>
      </c>
      <c r="B45" s="32" t="s">
        <v>25</v>
      </c>
      <c r="C45" s="38">
        <f t="shared" si="0"/>
        <v>1</v>
      </c>
      <c r="D45" s="20" t="str">
        <f t="shared" si="1"/>
        <v>0</v>
      </c>
      <c r="E45" s="20" t="str">
        <f t="shared" si="2"/>
        <v>00 00</v>
      </c>
      <c r="F45" s="15"/>
      <c r="G45" s="21"/>
      <c r="H45" s="15"/>
      <c r="I45" s="15"/>
      <c r="J45" s="15"/>
      <c r="K45" s="15"/>
      <c r="L45" s="15"/>
      <c r="M45" s="15"/>
      <c r="O45" s="15"/>
      <c r="AB45" s="31"/>
    </row>
    <row r="46" spans="1:38" s="12" customFormat="1" ht="15.75" x14ac:dyDescent="0.25">
      <c r="A46" s="41" t="s">
        <v>29</v>
      </c>
      <c r="B46" s="53" t="s">
        <v>18</v>
      </c>
      <c r="C46" s="38">
        <f t="shared" si="0"/>
        <v>1</v>
      </c>
      <c r="D46" s="20" t="str">
        <f t="shared" si="1"/>
        <v>0</v>
      </c>
      <c r="E46" s="20" t="str">
        <f t="shared" si="2"/>
        <v>00 00</v>
      </c>
      <c r="F46" s="15"/>
      <c r="G46" s="21"/>
      <c r="H46" s="15"/>
      <c r="I46" s="15"/>
      <c r="J46" s="15"/>
      <c r="K46" s="61"/>
      <c r="L46" s="15"/>
      <c r="M46" s="15"/>
      <c r="O46" s="15"/>
      <c r="AB46" s="31"/>
    </row>
    <row r="47" spans="1:38" s="12" customFormat="1" ht="15.75" x14ac:dyDescent="0.25">
      <c r="A47" s="41" t="s">
        <v>30</v>
      </c>
      <c r="B47" s="32" t="s">
        <v>19</v>
      </c>
      <c r="C47" s="38">
        <f t="shared" si="0"/>
        <v>0.99612885802469131</v>
      </c>
      <c r="D47" s="20" t="str">
        <f t="shared" si="1"/>
        <v>2</v>
      </c>
      <c r="E47" s="20" t="str">
        <f t="shared" si="2"/>
        <v>47 14</v>
      </c>
      <c r="F47" s="15"/>
      <c r="G47" s="21"/>
      <c r="H47" s="15"/>
      <c r="I47" s="15"/>
      <c r="J47" s="15"/>
      <c r="K47" s="15"/>
      <c r="L47" s="15"/>
      <c r="M47" s="15"/>
      <c r="O47" s="15"/>
      <c r="AB47" s="31"/>
    </row>
    <row r="48" spans="1:38" s="12" customFormat="1" ht="15.75" x14ac:dyDescent="0.25">
      <c r="A48" s="41" t="s">
        <v>31</v>
      </c>
      <c r="B48" s="32" t="s">
        <v>20</v>
      </c>
      <c r="C48" s="38">
        <f t="shared" si="0"/>
        <v>1</v>
      </c>
      <c r="D48" s="20" t="str">
        <f t="shared" si="1"/>
        <v>0</v>
      </c>
      <c r="E48" s="20" t="str">
        <f t="shared" si="2"/>
        <v>00 00</v>
      </c>
      <c r="F48" s="15"/>
      <c r="G48" s="21"/>
      <c r="H48" s="15"/>
      <c r="I48" s="15"/>
      <c r="J48" s="15"/>
      <c r="K48" s="15"/>
      <c r="L48" s="15"/>
      <c r="M48" s="15"/>
      <c r="O48" s="15"/>
      <c r="AB48" s="31"/>
    </row>
    <row r="49" spans="1:36" s="12" customFormat="1" ht="15.75" x14ac:dyDescent="0.25">
      <c r="A49" s="41" t="s">
        <v>32</v>
      </c>
      <c r="B49" s="32" t="s">
        <v>21</v>
      </c>
      <c r="C49" s="38">
        <f t="shared" si="0"/>
        <v>1</v>
      </c>
      <c r="D49" s="20" t="str">
        <f t="shared" si="1"/>
        <v>0</v>
      </c>
      <c r="E49" s="20" t="str">
        <f t="shared" si="2"/>
        <v>00 00</v>
      </c>
      <c r="F49" s="15"/>
      <c r="G49" s="21"/>
      <c r="H49" s="15"/>
      <c r="I49" s="15"/>
      <c r="J49" s="15"/>
      <c r="K49" s="15"/>
      <c r="L49" s="15"/>
      <c r="M49" s="15"/>
      <c r="O49" s="15"/>
      <c r="AB49" s="31"/>
    </row>
    <row r="50" spans="1:36" s="12" customFormat="1" ht="15.75" x14ac:dyDescent="0.25">
      <c r="A50" s="41" t="s">
        <v>33</v>
      </c>
      <c r="B50" s="32" t="s">
        <v>27</v>
      </c>
      <c r="C50" s="38">
        <f t="shared" si="0"/>
        <v>1</v>
      </c>
      <c r="D50" s="20" t="str">
        <f t="shared" si="1"/>
        <v>0</v>
      </c>
      <c r="E50" s="20" t="str">
        <f t="shared" si="2"/>
        <v>00 00</v>
      </c>
      <c r="F50" s="15"/>
      <c r="G50" s="21"/>
      <c r="H50" s="15"/>
      <c r="I50" s="15"/>
      <c r="J50" s="15"/>
      <c r="K50" s="15"/>
      <c r="L50" s="15"/>
      <c r="M50" s="15"/>
      <c r="N50" s="15"/>
      <c r="O50" s="15"/>
    </row>
    <row r="51" spans="1:36" s="12" customFormat="1" ht="15.75" x14ac:dyDescent="0.25">
      <c r="A51" s="41" t="s">
        <v>34</v>
      </c>
      <c r="B51" s="32" t="s">
        <v>26</v>
      </c>
      <c r="C51" s="38">
        <f t="shared" si="0"/>
        <v>0.92864043209876546</v>
      </c>
      <c r="D51" s="20" t="str">
        <f t="shared" si="1"/>
        <v>51</v>
      </c>
      <c r="E51" s="20" t="str">
        <f t="shared" si="2"/>
        <v>22 44</v>
      </c>
      <c r="F51" s="15"/>
      <c r="G51" s="21"/>
      <c r="H51" s="15"/>
      <c r="I51" s="15"/>
      <c r="J51" s="15"/>
      <c r="K51" s="15"/>
      <c r="L51" s="15"/>
      <c r="M51" s="15"/>
      <c r="N51" s="15"/>
      <c r="O51" s="15"/>
    </row>
    <row r="52" spans="1:36" s="12" customFormat="1" ht="15.75" x14ac:dyDescent="0.25">
      <c r="A52" s="41" t="s">
        <v>35</v>
      </c>
      <c r="B52" s="32" t="s">
        <v>24</v>
      </c>
      <c r="C52" s="38">
        <f t="shared" si="0"/>
        <v>1</v>
      </c>
      <c r="D52" s="20" t="str">
        <f t="shared" si="1"/>
        <v>0</v>
      </c>
      <c r="E52" s="20" t="str">
        <f t="shared" si="2"/>
        <v>00 00</v>
      </c>
      <c r="F52" s="15"/>
      <c r="G52" s="21"/>
      <c r="H52" s="15"/>
      <c r="I52" s="15"/>
      <c r="J52" s="15"/>
      <c r="K52" s="15"/>
      <c r="L52" s="15"/>
      <c r="M52" s="15"/>
      <c r="N52" s="15"/>
      <c r="O52" s="15"/>
    </row>
    <row r="53" spans="1:36" s="16" customFormat="1" ht="15.75" x14ac:dyDescent="0.25">
      <c r="A53" s="41" t="s">
        <v>36</v>
      </c>
      <c r="B53" s="32" t="s">
        <v>23</v>
      </c>
      <c r="C53" s="33">
        <f>1-(((D53*3600)+(LEFT(E53,2)*60)+RIGHT(E53,2))/((60*60*24)*$C$8))</f>
        <v>1</v>
      </c>
      <c r="D53" s="20" t="str">
        <f t="shared" si="1"/>
        <v>0</v>
      </c>
      <c r="E53" s="20" t="str">
        <f t="shared" si="2"/>
        <v>00 00</v>
      </c>
      <c r="F53" s="15"/>
      <c r="G53" s="21"/>
      <c r="H53" s="15"/>
      <c r="I53" s="15"/>
      <c r="J53" s="15"/>
      <c r="K53" s="15"/>
      <c r="L53" s="15"/>
      <c r="M53" s="15"/>
      <c r="N53" s="15"/>
      <c r="O53" s="15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</row>
    <row r="54" spans="1:36" ht="15.75" x14ac:dyDescent="0.25">
      <c r="A54" s="41" t="s">
        <v>38</v>
      </c>
      <c r="B54" s="32" t="s">
        <v>43</v>
      </c>
      <c r="C54" s="33">
        <f t="shared" ref="C54:C56" si="3">1-(((D54*3600)+(LEFT(E54,2)*60)+RIGHT(E54,2))/((60*60*24)*$C$8))</f>
        <v>0.99988155864197525</v>
      </c>
      <c r="D54" s="20" t="str">
        <f t="shared" si="1"/>
        <v>0</v>
      </c>
      <c r="E54" s="20" t="str">
        <f t="shared" si="2"/>
        <v>05 07</v>
      </c>
      <c r="F54" s="15"/>
      <c r="G54" s="21"/>
      <c r="H54" s="15"/>
      <c r="I54" s="15"/>
      <c r="J54" s="15"/>
      <c r="K54" s="15"/>
      <c r="L54" s="15"/>
      <c r="M54" s="15"/>
      <c r="N54" s="15"/>
      <c r="O54" s="15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</row>
    <row r="55" spans="1:36" ht="15.75" x14ac:dyDescent="0.25">
      <c r="A55" s="41" t="s">
        <v>41</v>
      </c>
      <c r="B55" s="32" t="s">
        <v>44</v>
      </c>
      <c r="C55" s="33">
        <f t="shared" si="3"/>
        <v>0.99940663580246913</v>
      </c>
      <c r="D55" s="20" t="str">
        <f t="shared" si="1"/>
        <v>0</v>
      </c>
      <c r="E55" s="20" t="str">
        <f t="shared" si="2"/>
        <v>25 38</v>
      </c>
      <c r="F55" s="15"/>
      <c r="G55" s="21"/>
      <c r="H55" s="15"/>
      <c r="I55" s="15"/>
      <c r="J55" s="15"/>
      <c r="K55" s="15"/>
      <c r="L55" s="15"/>
      <c r="M55" s="15"/>
      <c r="N55" s="15"/>
      <c r="O55" s="15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6"/>
      <c r="AI55" s="16"/>
      <c r="AJ55" s="16"/>
    </row>
    <row r="56" spans="1:36" ht="15.75" x14ac:dyDescent="0.25">
      <c r="A56" s="57" t="s">
        <v>42</v>
      </c>
      <c r="B56" s="32" t="s">
        <v>46</v>
      </c>
      <c r="C56" s="33">
        <f t="shared" si="3"/>
        <v>1</v>
      </c>
      <c r="D56" s="20" t="str">
        <f t="shared" si="1"/>
        <v>0</v>
      </c>
      <c r="E56" s="20" t="str">
        <f t="shared" si="2"/>
        <v>00 00</v>
      </c>
      <c r="F56" s="15"/>
      <c r="G56" s="21"/>
      <c r="H56" s="15"/>
      <c r="I56" s="15"/>
      <c r="J56" s="15"/>
      <c r="K56" s="15"/>
      <c r="L56" s="58"/>
      <c r="M56" s="58"/>
      <c r="N56" s="58"/>
      <c r="O56" s="58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6" ht="15.75" x14ac:dyDescent="0.25">
      <c r="A57" s="52"/>
      <c r="B57" s="53"/>
      <c r="C57" s="54"/>
      <c r="D57" s="55"/>
      <c r="E57" s="55"/>
      <c r="F57" s="15"/>
      <c r="G57" s="21"/>
      <c r="H57" s="15"/>
      <c r="I57" s="15"/>
      <c r="J57" s="15"/>
      <c r="K57" s="15"/>
      <c r="L57" s="58"/>
      <c r="M57" s="58"/>
      <c r="N57" s="58"/>
      <c r="O57" s="58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6" x14ac:dyDescent="0.2">
      <c r="A58" s="13"/>
      <c r="B58" s="12"/>
      <c r="C58" s="26"/>
      <c r="D58" s="25"/>
      <c r="E58" s="15"/>
      <c r="F58" s="15"/>
      <c r="G58" s="15"/>
      <c r="H58" s="15"/>
      <c r="I58" s="15"/>
      <c r="J58" s="15"/>
      <c r="K58" s="15"/>
      <c r="L58" s="58"/>
      <c r="M58" s="58"/>
      <c r="N58" s="58"/>
      <c r="O58" s="58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6" x14ac:dyDescent="0.2">
      <c r="A59" s="13"/>
      <c r="B59" s="12"/>
      <c r="C59" s="12"/>
      <c r="D59" s="14"/>
      <c r="E59" s="15"/>
      <c r="F59" s="15"/>
      <c r="G59" s="15"/>
      <c r="H59" s="15"/>
      <c r="I59" s="15"/>
      <c r="J59" s="15"/>
      <c r="K59" s="15"/>
      <c r="L59" s="58"/>
      <c r="M59" s="58"/>
      <c r="N59" s="58"/>
      <c r="O59" s="58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1:36" x14ac:dyDescent="0.2">
      <c r="A60" s="14"/>
      <c r="B60" s="24" t="s">
        <v>13</v>
      </c>
      <c r="C60" s="19"/>
      <c r="D60" s="18"/>
      <c r="E60" s="18"/>
      <c r="F60" s="18"/>
      <c r="G60" s="18"/>
      <c r="H60" s="18"/>
      <c r="I60" s="18"/>
      <c r="J60" s="18"/>
      <c r="K60" s="18"/>
      <c r="L60" s="59"/>
      <c r="M60" s="59"/>
      <c r="N60" s="59"/>
      <c r="O60" s="59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6"/>
    </row>
    <row r="61" spans="1:36" x14ac:dyDescent="0.2">
      <c r="A61"/>
      <c r="B61" s="12" t="s">
        <v>16</v>
      </c>
      <c r="C61" s="27">
        <f>(SUM(C44:C56))/(100%*13)</f>
        <v>0.99415826804368479</v>
      </c>
      <c r="G61" s="39"/>
      <c r="L61" s="60"/>
      <c r="M61" s="60"/>
      <c r="N61" s="60"/>
      <c r="O61" s="60"/>
    </row>
    <row r="62" spans="1:36" x14ac:dyDescent="0.2">
      <c r="L62" s="60"/>
      <c r="M62" s="60"/>
      <c r="N62" s="60"/>
      <c r="O62" s="60"/>
    </row>
    <row r="63" spans="1:36" x14ac:dyDescent="0.2">
      <c r="L63" s="60"/>
      <c r="M63" s="60"/>
      <c r="N63" s="60"/>
      <c r="O63" s="60"/>
    </row>
    <row r="64" spans="1:36" x14ac:dyDescent="0.2">
      <c r="L64" s="60"/>
      <c r="M64" s="60"/>
      <c r="N64" s="60"/>
      <c r="O64" s="60"/>
    </row>
    <row r="65" spans="1:32" x14ac:dyDescent="0.2">
      <c r="A65" s="62"/>
      <c r="B65" s="68"/>
    </row>
    <row r="66" spans="1:32" x14ac:dyDescent="0.2">
      <c r="A66"/>
      <c r="B66" s="12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</row>
    <row r="74" spans="1:32" x14ac:dyDescent="0.2">
      <c r="A74"/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spans="1:32" x14ac:dyDescent="0.2">
      <c r="A75"/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  <row r="76" spans="1:32" x14ac:dyDescent="0.2">
      <c r="A76"/>
      <c r="E76" s="2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</row>
    <row r="77" spans="1:32" x14ac:dyDescent="0.2">
      <c r="A77"/>
      <c r="D77"/>
      <c r="E77" s="2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</row>
  </sheetData>
  <mergeCells count="19">
    <mergeCell ref="D26:AG26"/>
    <mergeCell ref="A10:A11"/>
    <mergeCell ref="B10:B11"/>
    <mergeCell ref="C10:C11"/>
    <mergeCell ref="D34:AG34"/>
    <mergeCell ref="D32:AG32"/>
    <mergeCell ref="D31:AG31"/>
    <mergeCell ref="D33:AG33"/>
    <mergeCell ref="A42:A43"/>
    <mergeCell ref="B42:B43"/>
    <mergeCell ref="C42:C43"/>
    <mergeCell ref="D42:E42"/>
    <mergeCell ref="D27:AG27"/>
    <mergeCell ref="D28:AG28"/>
    <mergeCell ref="D29:AG29"/>
    <mergeCell ref="D30:AG30"/>
    <mergeCell ref="D35:AG35"/>
    <mergeCell ref="D36:AG36"/>
    <mergeCell ref="D37:AG37"/>
  </mergeCells>
  <phoneticPr fontId="9" type="noConversion"/>
  <conditionalFormatting sqref="D15:F15 G21:M21 P21:V21 D13:D21 D18:N18 Y17:AD17 D17:E17 G17:W17 X21:AA21">
    <cfRule type="cellIs" dxfId="119" priority="291" stopIfTrue="1" operator="greaterThan">
      <formula>0</formula>
    </cfRule>
  </conditionalFormatting>
  <conditionalFormatting sqref="I15:M15">
    <cfRule type="cellIs" dxfId="118" priority="290" stopIfTrue="1" operator="greaterThan">
      <formula>0</formula>
    </cfRule>
  </conditionalFormatting>
  <conditionalFormatting sqref="W18:AC18 O15:AD15 O18:U18">
    <cfRule type="cellIs" dxfId="117" priority="289" stopIfTrue="1" operator="greaterThan">
      <formula>0</formula>
    </cfRule>
  </conditionalFormatting>
  <conditionalFormatting sqref="G15">
    <cfRule type="cellIs" dxfId="116" priority="283" stopIfTrue="1" operator="greaterThan">
      <formula>0</formula>
    </cfRule>
  </conditionalFormatting>
  <conditionalFormatting sqref="N15">
    <cfRule type="cellIs" dxfId="115" priority="282" stopIfTrue="1" operator="greaterThan">
      <formula>0</formula>
    </cfRule>
  </conditionalFormatting>
  <conditionalFormatting sqref="H15">
    <cfRule type="cellIs" dxfId="114" priority="276" stopIfTrue="1" operator="greaterThan">
      <formula>0</formula>
    </cfRule>
  </conditionalFormatting>
  <conditionalFormatting sqref="AD18">
    <cfRule type="cellIs" dxfId="113" priority="275" stopIfTrue="1" operator="greaterThan">
      <formula>0</formula>
    </cfRule>
  </conditionalFormatting>
  <conditionalFormatting sqref="V18">
    <cfRule type="cellIs" dxfId="112" priority="270" stopIfTrue="1" operator="greaterThan">
      <formula>0</formula>
    </cfRule>
  </conditionalFormatting>
  <conditionalFormatting sqref="D13:F13">
    <cfRule type="cellIs" dxfId="111" priority="245" stopIfTrue="1" operator="greaterThan">
      <formula>0</formula>
    </cfRule>
  </conditionalFormatting>
  <conditionalFormatting sqref="D14:F14">
    <cfRule type="cellIs" dxfId="110" priority="261" stopIfTrue="1" operator="greaterThan">
      <formula>0</formula>
    </cfRule>
  </conditionalFormatting>
  <conditionalFormatting sqref="I14:M14">
    <cfRule type="cellIs" dxfId="109" priority="260" stopIfTrue="1" operator="greaterThan">
      <formula>0</formula>
    </cfRule>
  </conditionalFormatting>
  <conditionalFormatting sqref="O14:AD14">
    <cfRule type="cellIs" dxfId="108" priority="259" stopIfTrue="1" operator="greaterThan">
      <formula>0</formula>
    </cfRule>
  </conditionalFormatting>
  <conditionalFormatting sqref="G14">
    <cfRule type="cellIs" dxfId="107" priority="258" stopIfTrue="1" operator="greaterThan">
      <formula>0</formula>
    </cfRule>
  </conditionalFormatting>
  <conditionalFormatting sqref="N14">
    <cfRule type="cellIs" dxfId="106" priority="257" stopIfTrue="1" operator="greaterThan">
      <formula>0</formula>
    </cfRule>
  </conditionalFormatting>
  <conditionalFormatting sqref="H14">
    <cfRule type="cellIs" dxfId="105" priority="256" stopIfTrue="1" operator="greaterThan">
      <formula>0</formula>
    </cfRule>
  </conditionalFormatting>
  <conditionalFormatting sqref="D16:F16">
    <cfRule type="cellIs" dxfId="104" priority="237" stopIfTrue="1" operator="greaterThan">
      <formula>0</formula>
    </cfRule>
  </conditionalFormatting>
  <conditionalFormatting sqref="I13:M13">
    <cfRule type="cellIs" dxfId="103" priority="244" stopIfTrue="1" operator="greaterThan">
      <formula>0</formula>
    </cfRule>
  </conditionalFormatting>
  <conditionalFormatting sqref="O13:AD13">
    <cfRule type="cellIs" dxfId="102" priority="243" stopIfTrue="1" operator="greaterThan">
      <formula>0</formula>
    </cfRule>
  </conditionalFormatting>
  <conditionalFormatting sqref="G13">
    <cfRule type="cellIs" dxfId="101" priority="242" stopIfTrue="1" operator="greaterThan">
      <formula>0</formula>
    </cfRule>
  </conditionalFormatting>
  <conditionalFormatting sqref="N13">
    <cfRule type="cellIs" dxfId="100" priority="241" stopIfTrue="1" operator="greaterThan">
      <formula>0</formula>
    </cfRule>
  </conditionalFormatting>
  <conditionalFormatting sqref="H13">
    <cfRule type="cellIs" dxfId="99" priority="240" stopIfTrue="1" operator="greaterThan">
      <formula>0</formula>
    </cfRule>
  </conditionalFormatting>
  <conditionalFormatting sqref="AE13">
    <cfRule type="cellIs" dxfId="98" priority="239" stopIfTrue="1" operator="greaterThan">
      <formula>0</formula>
    </cfRule>
  </conditionalFormatting>
  <conditionalFormatting sqref="I16:M16">
    <cfRule type="cellIs" dxfId="97" priority="236" stopIfTrue="1" operator="greaterThan">
      <formula>0</formula>
    </cfRule>
  </conditionalFormatting>
  <conditionalFormatting sqref="O16:Q16">
    <cfRule type="cellIs" dxfId="96" priority="235" stopIfTrue="1" operator="greaterThan">
      <formula>0</formula>
    </cfRule>
  </conditionalFormatting>
  <conditionalFormatting sqref="G16">
    <cfRule type="cellIs" dxfId="95" priority="234" stopIfTrue="1" operator="greaterThan">
      <formula>0</formula>
    </cfRule>
  </conditionalFormatting>
  <conditionalFormatting sqref="N16">
    <cfRule type="cellIs" dxfId="94" priority="233" stopIfTrue="1" operator="greaterThan">
      <formula>0</formula>
    </cfRule>
  </conditionalFormatting>
  <conditionalFormatting sqref="H16">
    <cfRule type="cellIs" dxfId="93" priority="232" stopIfTrue="1" operator="greaterThan">
      <formula>0</formula>
    </cfRule>
  </conditionalFormatting>
  <conditionalFormatting sqref="D19:F19">
    <cfRule type="cellIs" dxfId="92" priority="217" stopIfTrue="1" operator="greaterThan">
      <formula>0</formula>
    </cfRule>
  </conditionalFormatting>
  <conditionalFormatting sqref="I19:M19">
    <cfRule type="cellIs" dxfId="91" priority="216" stopIfTrue="1" operator="greaterThan">
      <formula>0</formula>
    </cfRule>
  </conditionalFormatting>
  <conditionalFormatting sqref="O19:U19 W19:AC19">
    <cfRule type="cellIs" dxfId="90" priority="215" stopIfTrue="1" operator="greaterThan">
      <formula>0</formula>
    </cfRule>
  </conditionalFormatting>
  <conditionalFormatting sqref="G19">
    <cfRule type="cellIs" dxfId="89" priority="214" stopIfTrue="1" operator="greaterThan">
      <formula>0</formula>
    </cfRule>
  </conditionalFormatting>
  <conditionalFormatting sqref="N19">
    <cfRule type="cellIs" dxfId="88" priority="213" stopIfTrue="1" operator="greaterThan">
      <formula>0</formula>
    </cfRule>
  </conditionalFormatting>
  <conditionalFormatting sqref="H19">
    <cfRule type="cellIs" dxfId="87" priority="212" stopIfTrue="1" operator="greaterThan">
      <formula>0</formula>
    </cfRule>
  </conditionalFormatting>
  <conditionalFormatting sqref="AD19">
    <cfRule type="cellIs" dxfId="86" priority="211" stopIfTrue="1" operator="greaterThan">
      <formula>0</formula>
    </cfRule>
  </conditionalFormatting>
  <conditionalFormatting sqref="D20">
    <cfRule type="cellIs" dxfId="85" priority="203" stopIfTrue="1" operator="greaterThan">
      <formula>0</formula>
    </cfRule>
  </conditionalFormatting>
  <conditionalFormatting sqref="V19">
    <cfRule type="cellIs" dxfId="84" priority="209" stopIfTrue="1" operator="greaterThan">
      <formula>0</formula>
    </cfRule>
  </conditionalFormatting>
  <conditionalFormatting sqref="S16">
    <cfRule type="cellIs" dxfId="83" priority="194" stopIfTrue="1" operator="greaterThan">
      <formula>0</formula>
    </cfRule>
  </conditionalFormatting>
  <conditionalFormatting sqref="H20 J20:M20 P20:V20">
    <cfRule type="cellIs" dxfId="82" priority="206" stopIfTrue="1" operator="greaterThan">
      <formula>0</formula>
    </cfRule>
  </conditionalFormatting>
  <conditionalFormatting sqref="Z20:AA20">
    <cfRule type="cellIs" dxfId="81" priority="205" stopIfTrue="1" operator="greaterThan">
      <formula>0</formula>
    </cfRule>
  </conditionalFormatting>
  <conditionalFormatting sqref="AD21">
    <cfRule type="cellIs" dxfId="80" priority="201" stopIfTrue="1" operator="greaterThan">
      <formula>0</formula>
    </cfRule>
  </conditionalFormatting>
  <conditionalFormatting sqref="W16">
    <cfRule type="cellIs" dxfId="79" priority="190" stopIfTrue="1" operator="greaterThan">
      <formula>0</formula>
    </cfRule>
  </conditionalFormatting>
  <conditionalFormatting sqref="V16">
    <cfRule type="cellIs" dxfId="78" priority="191" stopIfTrue="1" operator="greaterThan">
      <formula>0</formula>
    </cfRule>
  </conditionalFormatting>
  <conditionalFormatting sqref="R16">
    <cfRule type="cellIs" dxfId="77" priority="195" stopIfTrue="1" operator="greaterThan">
      <formula>0</formula>
    </cfRule>
  </conditionalFormatting>
  <conditionalFormatting sqref="T16">
    <cfRule type="cellIs" dxfId="76" priority="193" stopIfTrue="1" operator="greaterThan">
      <formula>0</formula>
    </cfRule>
  </conditionalFormatting>
  <conditionalFormatting sqref="U16">
    <cfRule type="cellIs" dxfId="75" priority="192" stopIfTrue="1" operator="greaterThan">
      <formula>0</formula>
    </cfRule>
  </conditionalFormatting>
  <conditionalFormatting sqref="X16">
    <cfRule type="cellIs" dxfId="74" priority="189" stopIfTrue="1" operator="greaterThan">
      <formula>0</formula>
    </cfRule>
  </conditionalFormatting>
  <conditionalFormatting sqref="Y16">
    <cfRule type="cellIs" dxfId="73" priority="188" stopIfTrue="1" operator="greaterThan">
      <formula>0</formula>
    </cfRule>
  </conditionalFormatting>
  <conditionalFormatting sqref="Z16">
    <cfRule type="cellIs" dxfId="72" priority="187" stopIfTrue="1" operator="greaterThan">
      <formula>0</formula>
    </cfRule>
  </conditionalFormatting>
  <conditionalFormatting sqref="AA16">
    <cfRule type="cellIs" dxfId="71" priority="186" stopIfTrue="1" operator="greaterThan">
      <formula>0</formula>
    </cfRule>
  </conditionalFormatting>
  <conditionalFormatting sqref="AB16">
    <cfRule type="cellIs" dxfId="70" priority="185" stopIfTrue="1" operator="greaterThan">
      <formula>0</formula>
    </cfRule>
  </conditionalFormatting>
  <conditionalFormatting sqref="AC16">
    <cfRule type="cellIs" dxfId="69" priority="184" stopIfTrue="1" operator="greaterThan">
      <formula>0</formula>
    </cfRule>
  </conditionalFormatting>
  <conditionalFormatting sqref="AD16">
    <cfRule type="cellIs" dxfId="68" priority="183" stopIfTrue="1" operator="greaterThan">
      <formula>0</formula>
    </cfRule>
  </conditionalFormatting>
  <conditionalFormatting sqref="D22:J22 M22:AA24 AD22 D24:H24 J24 D23:F23 H23:J23">
    <cfRule type="cellIs" dxfId="67" priority="140" stopIfTrue="1" operator="greaterThan">
      <formula>0</formula>
    </cfRule>
  </conditionalFormatting>
  <conditionalFormatting sqref="AG13">
    <cfRule type="cellIs" dxfId="66" priority="130" stopIfTrue="1" operator="greaterThan">
      <formula>0</formula>
    </cfRule>
  </conditionalFormatting>
  <conditionalFormatting sqref="AG13">
    <cfRule type="cellIs" dxfId="65" priority="121" stopIfTrue="1" operator="greaterThan">
      <formula>0</formula>
    </cfRule>
  </conditionalFormatting>
  <conditionalFormatting sqref="AG21 AG17:AG18">
    <cfRule type="cellIs" dxfId="64" priority="134" stopIfTrue="1" operator="greaterThan">
      <formula>0</formula>
    </cfRule>
  </conditionalFormatting>
  <conditionalFormatting sqref="AG15">
    <cfRule type="cellIs" dxfId="63" priority="133" stopIfTrue="1" operator="greaterThan">
      <formula>0</formula>
    </cfRule>
  </conditionalFormatting>
  <conditionalFormatting sqref="AG14">
    <cfRule type="cellIs" dxfId="62" priority="132" stopIfTrue="1" operator="greaterThan">
      <formula>0</formula>
    </cfRule>
  </conditionalFormatting>
  <conditionalFormatting sqref="AG19">
    <cfRule type="cellIs" dxfId="61" priority="129" stopIfTrue="1" operator="greaterThan">
      <formula>0</formula>
    </cfRule>
  </conditionalFormatting>
  <conditionalFormatting sqref="AG20">
    <cfRule type="cellIs" dxfId="60" priority="128" stopIfTrue="1" operator="greaterThan">
      <formula>0</formula>
    </cfRule>
  </conditionalFormatting>
  <conditionalFormatting sqref="AG16">
    <cfRule type="cellIs" dxfId="59" priority="127" stopIfTrue="1" operator="greaterThan">
      <formula>0</formula>
    </cfRule>
  </conditionalFormatting>
  <conditionalFormatting sqref="AG21 AG17:AG18">
    <cfRule type="cellIs" dxfId="58" priority="125" stopIfTrue="1" operator="greaterThan">
      <formula>0</formula>
    </cfRule>
  </conditionalFormatting>
  <conditionalFormatting sqref="AG15">
    <cfRule type="cellIs" dxfId="57" priority="124" stopIfTrue="1" operator="greaterThan">
      <formula>0</formula>
    </cfRule>
  </conditionalFormatting>
  <conditionalFormatting sqref="AG14">
    <cfRule type="cellIs" dxfId="56" priority="123" stopIfTrue="1" operator="greaterThan">
      <formula>0</formula>
    </cfRule>
  </conditionalFormatting>
  <conditionalFormatting sqref="AG19">
    <cfRule type="cellIs" dxfId="55" priority="120" stopIfTrue="1" operator="greaterThan">
      <formula>0</formula>
    </cfRule>
  </conditionalFormatting>
  <conditionalFormatting sqref="AG20">
    <cfRule type="cellIs" dxfId="54" priority="119" stopIfTrue="1" operator="greaterThan">
      <formula>0</formula>
    </cfRule>
  </conditionalFormatting>
  <conditionalFormatting sqref="AG16">
    <cfRule type="cellIs" dxfId="53" priority="118" stopIfTrue="1" operator="greaterThan">
      <formula>0</formula>
    </cfRule>
  </conditionalFormatting>
  <conditionalFormatting sqref="F20">
    <cfRule type="cellIs" dxfId="52" priority="97" stopIfTrue="1" operator="greaterThan">
      <formula>0</formula>
    </cfRule>
  </conditionalFormatting>
  <conditionalFormatting sqref="K22:L25">
    <cfRule type="cellIs" dxfId="51" priority="85" stopIfTrue="1" operator="greaterThan">
      <formula>0</formula>
    </cfRule>
  </conditionalFormatting>
  <conditionalFormatting sqref="E21:F21">
    <cfRule type="cellIs" dxfId="50" priority="98" stopIfTrue="1" operator="greaterThan">
      <formula>0</formula>
    </cfRule>
  </conditionalFormatting>
  <conditionalFormatting sqref="D25:J25 M25 AC25:AD25 O25:AA25">
    <cfRule type="cellIs" dxfId="49" priority="107" stopIfTrue="1" operator="greaterThan">
      <formula>0</formula>
    </cfRule>
  </conditionalFormatting>
  <conditionalFormatting sqref="AG25">
    <cfRule type="cellIs" dxfId="48" priority="105" stopIfTrue="1" operator="greaterThan">
      <formula>0</formula>
    </cfRule>
  </conditionalFormatting>
  <conditionalFormatting sqref="AG25">
    <cfRule type="cellIs" dxfId="47" priority="104" stopIfTrue="1" operator="greaterThan">
      <formula>0</formula>
    </cfRule>
  </conditionalFormatting>
  <conditionalFormatting sqref="I20">
    <cfRule type="cellIs" dxfId="46" priority="96" stopIfTrue="1" operator="greaterThan">
      <formula>0</formula>
    </cfRule>
  </conditionalFormatting>
  <conditionalFormatting sqref="X20">
    <cfRule type="cellIs" dxfId="45" priority="94" stopIfTrue="1" operator="greaterThan">
      <formula>0</formula>
    </cfRule>
  </conditionalFormatting>
  <conditionalFormatting sqref="K46">
    <cfRule type="cellIs" dxfId="44" priority="84" stopIfTrue="1" operator="greaterThan">
      <formula>0</formula>
    </cfRule>
  </conditionalFormatting>
  <conditionalFormatting sqref="N21:O21 N20">
    <cfRule type="cellIs" dxfId="43" priority="82" stopIfTrue="1" operator="greaterThan">
      <formula>0</formula>
    </cfRule>
  </conditionalFormatting>
  <conditionalFormatting sqref="AD23:AD24 AG23:AG24">
    <cfRule type="cellIs" dxfId="42" priority="80" stopIfTrue="1" operator="greaterThan">
      <formula>0</formula>
    </cfRule>
  </conditionalFormatting>
  <conditionalFormatting sqref="AG22">
    <cfRule type="cellIs" dxfId="41" priority="77" stopIfTrue="1" operator="greaterThan">
      <formula>0</formula>
    </cfRule>
  </conditionalFormatting>
  <conditionalFormatting sqref="AG22">
    <cfRule type="cellIs" dxfId="40" priority="76" stopIfTrue="1" operator="greaterThan">
      <formula>0</formula>
    </cfRule>
  </conditionalFormatting>
  <conditionalFormatting sqref="AE14">
    <cfRule type="cellIs" dxfId="39" priority="75" stopIfTrue="1" operator="greaterThan">
      <formula>0</formula>
    </cfRule>
  </conditionalFormatting>
  <conditionalFormatting sqref="AE15">
    <cfRule type="cellIs" dxfId="38" priority="74" stopIfTrue="1" operator="greaterThan">
      <formula>0</formula>
    </cfRule>
  </conditionalFormatting>
  <conditionalFormatting sqref="AE16">
    <cfRule type="cellIs" dxfId="37" priority="73" stopIfTrue="1" operator="greaterThan">
      <formula>0</formula>
    </cfRule>
  </conditionalFormatting>
  <conditionalFormatting sqref="AE17">
    <cfRule type="cellIs" dxfId="36" priority="72" stopIfTrue="1" operator="greaterThan">
      <formula>0</formula>
    </cfRule>
  </conditionalFormatting>
  <conditionalFormatting sqref="AE18">
    <cfRule type="cellIs" dxfId="35" priority="71" stopIfTrue="1" operator="greaterThan">
      <formula>0</formula>
    </cfRule>
  </conditionalFormatting>
  <conditionalFormatting sqref="AE19">
    <cfRule type="cellIs" dxfId="34" priority="70" stopIfTrue="1" operator="greaterThan">
      <formula>0</formula>
    </cfRule>
  </conditionalFormatting>
  <conditionalFormatting sqref="AE20">
    <cfRule type="cellIs" dxfId="33" priority="69" stopIfTrue="1" operator="greaterThan">
      <formula>0</formula>
    </cfRule>
  </conditionalFormatting>
  <conditionalFormatting sqref="AE21">
    <cfRule type="cellIs" dxfId="32" priority="68" stopIfTrue="1" operator="greaterThan">
      <formula>0</formula>
    </cfRule>
  </conditionalFormatting>
  <conditionalFormatting sqref="AE22">
    <cfRule type="cellIs" dxfId="31" priority="67" stopIfTrue="1" operator="greaterThan">
      <formula>0</formula>
    </cfRule>
  </conditionalFormatting>
  <conditionalFormatting sqref="AE24">
    <cfRule type="cellIs" dxfId="30" priority="65" stopIfTrue="1" operator="greaterThan">
      <formula>0</formula>
    </cfRule>
  </conditionalFormatting>
  <conditionalFormatting sqref="AE25">
    <cfRule type="cellIs" dxfId="29" priority="64" stopIfTrue="1" operator="greaterThan">
      <formula>0</formula>
    </cfRule>
  </conditionalFormatting>
  <conditionalFormatting sqref="AB21:AC24 AB20">
    <cfRule type="cellIs" dxfId="28" priority="62" stopIfTrue="1" operator="greaterThan">
      <formula>0</formula>
    </cfRule>
  </conditionalFormatting>
  <conditionalFormatting sqref="AB25">
    <cfRule type="cellIs" dxfId="27" priority="61" stopIfTrue="1" operator="greaterThan">
      <formula>0</formula>
    </cfRule>
  </conditionalFormatting>
  <conditionalFormatting sqref="AD20">
    <cfRule type="cellIs" dxfId="26" priority="60" stopIfTrue="1" operator="greaterThan">
      <formula>0</formula>
    </cfRule>
  </conditionalFormatting>
  <conditionalFormatting sqref="AE23">
    <cfRule type="cellIs" dxfId="25" priority="59" stopIfTrue="1" operator="greaterThan">
      <formula>0</formula>
    </cfRule>
  </conditionalFormatting>
  <conditionalFormatting sqref="G20">
    <cfRule type="cellIs" dxfId="24" priority="58" stopIfTrue="1" operator="greaterThan">
      <formula>0</formula>
    </cfRule>
  </conditionalFormatting>
  <conditionalFormatting sqref="E20">
    <cfRule type="cellIs" dxfId="23" priority="56" stopIfTrue="1" operator="greaterThan">
      <formula>0</formula>
    </cfRule>
  </conditionalFormatting>
  <conditionalFormatting sqref="AF13">
    <cfRule type="cellIs" dxfId="22" priority="30" stopIfTrue="1" operator="greaterThan">
      <formula>0</formula>
    </cfRule>
  </conditionalFormatting>
  <conditionalFormatting sqref="AF14">
    <cfRule type="cellIs" dxfId="21" priority="29" stopIfTrue="1" operator="greaterThan">
      <formula>0</formula>
    </cfRule>
  </conditionalFormatting>
  <conditionalFormatting sqref="AF15">
    <cfRule type="cellIs" dxfId="20" priority="28" stopIfTrue="1" operator="greaterThan">
      <formula>0</formula>
    </cfRule>
  </conditionalFormatting>
  <conditionalFormatting sqref="AF16">
    <cfRule type="cellIs" dxfId="19" priority="27" stopIfTrue="1" operator="greaterThan">
      <formula>0</formula>
    </cfRule>
  </conditionalFormatting>
  <conditionalFormatting sqref="AF18">
    <cfRule type="cellIs" dxfId="18" priority="25" stopIfTrue="1" operator="greaterThan">
      <formula>0</formula>
    </cfRule>
  </conditionalFormatting>
  <conditionalFormatting sqref="AF19">
    <cfRule type="cellIs" dxfId="17" priority="24" stopIfTrue="1" operator="greaterThan">
      <formula>0</formula>
    </cfRule>
  </conditionalFormatting>
  <conditionalFormatting sqref="AF20">
    <cfRule type="cellIs" dxfId="16" priority="23" stopIfTrue="1" operator="greaterThan">
      <formula>0</formula>
    </cfRule>
  </conditionalFormatting>
  <conditionalFormatting sqref="AF21">
    <cfRule type="cellIs" dxfId="15" priority="22" stopIfTrue="1" operator="greaterThan">
      <formula>0</formula>
    </cfRule>
  </conditionalFormatting>
  <conditionalFormatting sqref="AF22">
    <cfRule type="cellIs" dxfId="14" priority="21" stopIfTrue="1" operator="greaterThan">
      <formula>0</formula>
    </cfRule>
  </conditionalFormatting>
  <conditionalFormatting sqref="AF24">
    <cfRule type="cellIs" dxfId="13" priority="20" stopIfTrue="1" operator="greaterThan">
      <formula>0</formula>
    </cfRule>
  </conditionalFormatting>
  <conditionalFormatting sqref="AF25">
    <cfRule type="cellIs" dxfId="12" priority="19" stopIfTrue="1" operator="greaterThan">
      <formula>0</formula>
    </cfRule>
  </conditionalFormatting>
  <conditionalFormatting sqref="AF23">
    <cfRule type="cellIs" dxfId="11" priority="18" stopIfTrue="1" operator="greaterThan">
      <formula>0</formula>
    </cfRule>
  </conditionalFormatting>
  <conditionalFormatting sqref="AF17">
    <cfRule type="cellIs" dxfId="10" priority="17" stopIfTrue="1" operator="greaterThan">
      <formula>0</formula>
    </cfRule>
  </conditionalFormatting>
  <conditionalFormatting sqref="X17">
    <cfRule type="cellIs" dxfId="9" priority="16" stopIfTrue="1" operator="greaterThan">
      <formula>0</formula>
    </cfRule>
  </conditionalFormatting>
  <conditionalFormatting sqref="N25">
    <cfRule type="cellIs" dxfId="8" priority="15" stopIfTrue="1" operator="greaterThan">
      <formula>0</formula>
    </cfRule>
  </conditionalFormatting>
  <conditionalFormatting sqref="I24">
    <cfRule type="cellIs" dxfId="7" priority="14" stopIfTrue="1" operator="greaterThan">
      <formula>0</formula>
    </cfRule>
  </conditionalFormatting>
  <conditionalFormatting sqref="G23">
    <cfRule type="cellIs" dxfId="6" priority="13" stopIfTrue="1" operator="greaterThan">
      <formula>0</formula>
    </cfRule>
  </conditionalFormatting>
  <conditionalFormatting sqref="F17">
    <cfRule type="cellIs" dxfId="5" priority="11" stopIfTrue="1" operator="greaterThan">
      <formula>0</formula>
    </cfRule>
  </conditionalFormatting>
  <conditionalFormatting sqref="Y20">
    <cfRule type="cellIs" dxfId="4" priority="1" stopIfTrue="1" operator="greaterThan">
      <formula>0</formula>
    </cfRule>
  </conditionalFormatting>
  <conditionalFormatting sqref="O20">
    <cfRule type="cellIs" dxfId="3" priority="9" stopIfTrue="1" operator="greaterThan">
      <formula>0</formula>
    </cfRule>
  </conditionalFormatting>
  <conditionalFormatting sqref="AC20">
    <cfRule type="cellIs" dxfId="2" priority="7" stopIfTrue="1" operator="greaterThan">
      <formula>0</formula>
    </cfRule>
  </conditionalFormatting>
  <conditionalFormatting sqref="W21">
    <cfRule type="cellIs" dxfId="1" priority="5" stopIfTrue="1" operator="greaterThan">
      <formula>0</formula>
    </cfRule>
  </conditionalFormatting>
  <conditionalFormatting sqref="W20">
    <cfRule type="cellIs" dxfId="0" priority="3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ALU</vt:lpstr>
      <vt:lpstr>'Avaibility ALU'!Print_Area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2022-07-04T01:07:16Z</cp:lastPrinted>
  <dcterms:created xsi:type="dcterms:W3CDTF">2006-10-16T02:50:45Z</dcterms:created>
  <dcterms:modified xsi:type="dcterms:W3CDTF">2022-10-01T08:44:17Z</dcterms:modified>
</cp:coreProperties>
</file>