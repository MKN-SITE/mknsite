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3" i="11" l="1"/>
  <c r="D53" i="11"/>
  <c r="C53" i="11" l="1"/>
  <c r="D52" i="11"/>
  <c r="D51" i="11"/>
  <c r="D42" i="11"/>
  <c r="D41" i="11"/>
  <c r="E51" i="11" l="1"/>
  <c r="E52" i="11"/>
  <c r="E50" i="11"/>
  <c r="C51" i="11" l="1"/>
  <c r="C52" i="11"/>
  <c r="D50" i="11"/>
  <c r="C50" i="11" s="1"/>
  <c r="E41" i="11"/>
  <c r="C41" i="11" s="1"/>
  <c r="E42" i="11"/>
  <c r="C42" i="11" s="1"/>
  <c r="D43" i="11"/>
  <c r="E43" i="11"/>
  <c r="D44" i="11"/>
  <c r="E44" i="11"/>
  <c r="D45" i="11"/>
  <c r="E45" i="11"/>
  <c r="D46" i="11"/>
  <c r="E46" i="11"/>
  <c r="D47" i="11"/>
  <c r="E47" i="11"/>
  <c r="D48" i="11"/>
  <c r="E48" i="11"/>
  <c r="D49" i="11"/>
  <c r="E49" i="11"/>
  <c r="C45" i="11" l="1"/>
  <c r="C49" i="11"/>
  <c r="C47" i="11"/>
  <c r="C43" i="11"/>
  <c r="C48" i="11"/>
  <c r="C46" i="11"/>
  <c r="C44" i="11"/>
  <c r="C58" i="11" l="1"/>
</calcChain>
</file>

<file path=xl/sharedStrings.xml><?xml version="1.0" encoding="utf-8"?>
<sst xmlns="http://schemas.openxmlformats.org/spreadsheetml/2006/main" count="110" uniqueCount="56">
  <si>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</si>
  <si>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</si>
  <si>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</si>
  <si>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</si>
  <si>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</si>
  <si>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</si>
  <si>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</si>
  <si>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</si>
  <si>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</si>
  <si>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</si>
  <si>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</si>
  <si>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</si>
  <si>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</si>
  <si>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</si>
  <si>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</si>
  <si>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</si>
  <si>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</si>
  <si>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</si>
  <si>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</si>
  <si>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</si>
  <si>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</si>
  <si>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</si>
  <si>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</si>
  <si>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</si>
  <si>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</si>
  <si>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</si>
  <si>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</si>
  <si>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</si>
  <si>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</si>
  <si>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</si>
  <si>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</si>
  <si>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</si>
  <si>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</si>
  <si>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</si>
  <si>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</si>
  <si>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</si>
  <si>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</si>
  <si>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</si>
  <si>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</si>
  <si>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</si>
  <si>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</si>
  <si>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</si>
  <si>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</si>
  <si>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</si>
  <si>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</si>
  <si>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</si>
  <si>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</si>
  <si>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</si>
  <si>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</si>
  <si>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</si>
  <si>
    <t xml:space="preserve">     UPS di tower Fryda Down</t>
  </si>
  <si>
    <t>:</t>
  </si>
  <si>
    <t xml:space="preserve">     Genset problem</t>
  </si>
  <si>
    <t xml:space="preserve">     Intermitten</t>
  </si>
  <si>
    <t>0:42;38</t>
  </si>
  <si>
    <t xml:space="preserve">     Perlalihan Network dari Link Back up ke Link microwave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</si>
</sst>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164" fontId="0" fillId="0" borderId="0" xfId="0" applyBorder="1"/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164" fontId="36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46" fontId="0" fillId="0" borderId="0" xfId="0" applyNumberFormat="1" applyBorder="1"/>
    <xf numFmtId="165" fontId="37" fillId="0" borderId="1" xfId="0" applyNumberFormat="1" applyFont="1" applyBorder="1" applyAlignment="1">
      <alignment horizontal="center" vertical="center"/>
    </xf>
    <xf numFmtId="164" fontId="38" fillId="0" borderId="0" xfId="0" applyFont="1" applyAlignment="1">
      <alignment horizontal="center"/>
    </xf>
    <xf numFmtId="165" fontId="37" fillId="0" borderId="3" xfId="0" applyNumberFormat="1" applyFont="1" applyBorder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37" fillId="0" borderId="1" xfId="0" applyFont="1" applyBorder="1" applyAlignment="1">
      <alignment horizontal="left" vertical="center"/>
    </xf>
    <xf numFmtId="165" fontId="37" fillId="0" borderId="4" xfId="0" applyNumberFormat="1" applyFont="1" applyBorder="1" applyAlignment="1">
      <alignment horizontal="center"/>
    </xf>
    <xf numFmtId="164" fontId="37" fillId="0" borderId="26" xfId="0" applyFont="1" applyBorder="1" applyAlignment="1">
      <alignment horizontal="center" vertical="center"/>
    </xf>
    <xf numFmtId="164" fontId="37" fillId="0" borderId="26" xfId="0" applyFont="1" applyBorder="1" applyAlignment="1">
      <alignment horizontal="left" vertical="center"/>
    </xf>
    <xf numFmtId="164" fontId="37" fillId="0" borderId="2" xfId="0" applyFont="1" applyBorder="1" applyAlignment="1">
      <alignment horizontal="center" vertical="center"/>
    </xf>
    <xf numFmtId="164" fontId="37" fillId="0" borderId="1" xfId="0" applyFont="1" applyBorder="1" applyAlignment="1">
      <alignment horizontal="center" vertical="center"/>
    </xf>
    <xf numFmtId="164" fontId="37" fillId="0" borderId="4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15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3" xfId="0" applyFont="1" applyBorder="1" applyAlignment="1">
      <alignment horizontal="center" vertical="center" wrapText="1"/>
    </xf>
    <xf numFmtId="164" fontId="36" fillId="0" borderId="24" xfId="0" applyFont="1" applyBorder="1" applyAlignment="1">
      <alignment horizontal="center" vertical="center" wrapText="1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7" fillId="0" borderId="2" xfId="0" applyFont="1" applyBorder="1" applyAlignment="1">
      <alignment horizontal="left" vertical="center"/>
    </xf>
    <xf numFmtId="164" fontId="37" fillId="0" borderId="3" xfId="0" applyFont="1" applyBorder="1" applyAlignment="1">
      <alignment horizontal="left" vertical="center"/>
    </xf>
    <xf numFmtId="164" fontId="37" fillId="0" borderId="1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4" fontId="36" fillId="0" borderId="27" xfId="0" applyFont="1" applyBorder="1" applyAlignment="1">
      <alignment horizontal="center" vertical="center" wrapText="1"/>
    </xf>
    <xf numFmtId="164" fontId="36" fillId="0" borderId="25" xfId="0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4"/>
  <sheetViews>
    <sheetView tabSelected="1" topLeftCell="A8" zoomScale="90" zoomScaleNormal="90" workbookViewId="0">
      <pane xSplit="3" ySplit="2" topLeftCell="X10" activePane="bottomRight" state="frozen"/>
      <selection activeCell="A8" sqref="A8"/>
      <selection pane="topRight" activeCell="D8" sqref="D8"/>
      <selection pane="bottomLeft" activeCell="A10" sqref="A10"/>
      <selection pane="bottomRight" activeCell="G37" sqref="G37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40">
        <v>44652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2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81" t="s">
        <v>2</v>
      </c>
      <c r="B10" s="83" t="s">
        <v>0</v>
      </c>
      <c r="C10" s="83" t="s">
        <v>8</v>
      </c>
      <c r="D10" s="46">
        <v>44287</v>
      </c>
      <c r="E10" s="46">
        <v>44288</v>
      </c>
      <c r="F10" s="46">
        <v>44289</v>
      </c>
      <c r="G10" s="46">
        <v>44290</v>
      </c>
      <c r="H10" s="46">
        <v>44291</v>
      </c>
      <c r="I10" s="46">
        <v>44292</v>
      </c>
      <c r="J10" s="46">
        <v>44293</v>
      </c>
      <c r="K10" s="46">
        <v>44294</v>
      </c>
      <c r="L10" s="46">
        <v>44295</v>
      </c>
      <c r="M10" s="46">
        <v>44296</v>
      </c>
      <c r="N10" s="46">
        <v>44297</v>
      </c>
      <c r="O10" s="46">
        <v>44298</v>
      </c>
      <c r="P10" s="46">
        <v>44299</v>
      </c>
      <c r="Q10" s="46">
        <v>44300</v>
      </c>
      <c r="R10" s="46">
        <v>44301</v>
      </c>
      <c r="S10" s="46">
        <v>44302</v>
      </c>
      <c r="T10" s="46">
        <v>44303</v>
      </c>
      <c r="U10" s="46">
        <v>44304</v>
      </c>
      <c r="V10" s="46">
        <v>44305</v>
      </c>
      <c r="W10" s="46">
        <v>44306</v>
      </c>
      <c r="X10" s="46">
        <v>44307</v>
      </c>
      <c r="Y10" s="46">
        <v>44308</v>
      </c>
      <c r="Z10" s="46">
        <v>44309</v>
      </c>
      <c r="AA10" s="46">
        <v>44310</v>
      </c>
      <c r="AB10" s="46">
        <v>44311</v>
      </c>
      <c r="AC10" s="46">
        <v>44312</v>
      </c>
      <c r="AD10" s="46">
        <v>44313</v>
      </c>
      <c r="AE10" s="46">
        <v>44314</v>
      </c>
      <c r="AF10" s="46">
        <v>44315</v>
      </c>
      <c r="AG10" s="46">
        <v>44316</v>
      </c>
    </row>
    <row r="11" spans="1:33" s="1" customFormat="1" x14ac:dyDescent="0.2">
      <c r="A11" s="82"/>
      <c r="B11" s="84"/>
      <c r="C11" s="84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48"/>
      <c r="AG12" s="48"/>
    </row>
    <row r="13" spans="1:33" s="12" customFormat="1" ht="15.75" x14ac:dyDescent="0.25">
      <c r="A13" s="49" t="s">
        <v>38</v>
      </c>
      <c r="B13" s="32" t="s">
        <v>18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spans="1:33" s="12" customFormat="1" ht="15.75" x14ac:dyDescent="0.25">
      <c r="A14" s="49" t="s">
        <v>29</v>
      </c>
      <c r="B14" s="32" t="s">
        <v>26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</row>
    <row r="15" spans="1:33" s="12" customFormat="1" ht="15.75" x14ac:dyDescent="0.25">
      <c r="A15" s="49" t="s">
        <v>30</v>
      </c>
      <c r="B15" s="32" t="s">
        <v>19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</row>
    <row r="16" spans="1:33" s="12" customFormat="1" ht="15.75" x14ac:dyDescent="0.25">
      <c r="A16" s="49" t="s">
        <v>31</v>
      </c>
      <c r="B16" s="32" t="s">
        <v>20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spans="1:33" s="12" customFormat="1" ht="15.75" x14ac:dyDescent="0.25">
      <c r="A17" s="49" t="s">
        <v>32</v>
      </c>
      <c r="B17" s="32" t="s">
        <v>21</v>
      </c>
      <c r="C17" s="36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3" s="12" customFormat="1" ht="15.75" x14ac:dyDescent="0.25">
      <c r="A18" s="49" t="s">
        <v>33</v>
      </c>
      <c r="B18" s="32" t="s">
        <v>22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</row>
    <row r="19" spans="1:33" s="12" customFormat="1" ht="15.75" x14ac:dyDescent="0.25">
      <c r="A19" s="49" t="s">
        <v>34</v>
      </c>
      <c r="B19" s="32" t="s">
        <v>23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spans="1:33" s="12" customFormat="1" ht="15.75" x14ac:dyDescent="0.25">
      <c r="A20" s="49" t="s">
        <v>35</v>
      </c>
      <c r="B20" s="32" t="s">
        <v>27</v>
      </c>
      <c r="C20" s="36"/>
      <c r="D20" s="37">
        <v>0</v>
      </c>
      <c r="E20" s="37">
        <v>3.5648148148148154E-3</v>
      </c>
      <c r="F20" s="37">
        <v>0</v>
      </c>
      <c r="G20" s="37">
        <v>3.5648148148148154E-3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7.1412037037037043E-3</v>
      </c>
      <c r="AC20" s="37">
        <v>0</v>
      </c>
      <c r="AD20" s="37">
        <v>4.2766203703703702E-2</v>
      </c>
      <c r="AE20" s="37">
        <v>0</v>
      </c>
      <c r="AF20" s="37">
        <v>0</v>
      </c>
      <c r="AG20" s="37">
        <v>0</v>
      </c>
    </row>
    <row r="21" spans="1:33" s="12" customFormat="1" ht="15.75" x14ac:dyDescent="0.25">
      <c r="A21" s="49" t="s">
        <v>36</v>
      </c>
      <c r="B21" s="32" t="s">
        <v>25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</row>
    <row r="22" spans="1:33" s="12" customFormat="1" ht="15.75" x14ac:dyDescent="0.25">
      <c r="A22" s="49" t="s">
        <v>37</v>
      </c>
      <c r="B22" s="50" t="s">
        <v>24</v>
      </c>
      <c r="C22" s="51"/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37">
        <v>0</v>
      </c>
      <c r="L22" s="37">
        <v>0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2">
        <v>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37">
        <v>0</v>
      </c>
      <c r="AF22" s="37">
        <v>0</v>
      </c>
      <c r="AG22" s="37">
        <v>0</v>
      </c>
    </row>
    <row r="23" spans="1:33" s="12" customFormat="1" ht="15.75" x14ac:dyDescent="0.25">
      <c r="A23" s="49" t="s">
        <v>39</v>
      </c>
      <c r="B23" s="50" t="s">
        <v>40</v>
      </c>
      <c r="C23" s="36"/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37">
        <v>0</v>
      </c>
      <c r="L23" s="37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0.12539351851851852</v>
      </c>
      <c r="AA23" s="52">
        <v>1.068287037037037E-2</v>
      </c>
      <c r="AB23" s="52">
        <v>0</v>
      </c>
      <c r="AC23" s="52" t="s">
        <v>54</v>
      </c>
      <c r="AD23" s="52">
        <v>0</v>
      </c>
      <c r="AE23" s="37">
        <v>3.472222222222222E-3</v>
      </c>
      <c r="AF23" s="52">
        <v>0</v>
      </c>
      <c r="AG23" s="52">
        <v>0</v>
      </c>
    </row>
    <row r="24" spans="1:33" s="12" customFormat="1" ht="15.75" x14ac:dyDescent="0.25">
      <c r="A24" s="49" t="s">
        <v>42</v>
      </c>
      <c r="B24" s="50" t="s">
        <v>41</v>
      </c>
      <c r="C24" s="51"/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37">
        <v>0</v>
      </c>
      <c r="L24" s="37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37">
        <v>0</v>
      </c>
      <c r="AF24" s="52">
        <v>0</v>
      </c>
      <c r="AG24" s="52">
        <v>0</v>
      </c>
    </row>
    <row r="25" spans="1:33" s="12" customFormat="1" ht="14.25" customHeight="1" x14ac:dyDescent="0.25">
      <c r="A25" s="49" t="s">
        <v>43</v>
      </c>
      <c r="B25" s="58" t="s">
        <v>46</v>
      </c>
      <c r="C25" s="59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3.5648148148148154E-3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</row>
    <row r="26" spans="1:33" s="12" customFormat="1" ht="16.5" customHeight="1" x14ac:dyDescent="0.2">
      <c r="A26" s="57"/>
      <c r="B26" s="60"/>
      <c r="C26" s="59"/>
      <c r="D26" s="80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8"/>
    </row>
    <row r="27" spans="1:33" s="12" customFormat="1" ht="16.5" customHeight="1" x14ac:dyDescent="0.2">
      <c r="A27" s="87" t="s">
        <v>17</v>
      </c>
      <c r="B27" s="88"/>
      <c r="C27" s="68">
        <v>44660</v>
      </c>
      <c r="D27" s="77" t="s">
        <v>50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93"/>
    </row>
    <row r="28" spans="1:33" s="12" customFormat="1" ht="16.5" customHeight="1" x14ac:dyDescent="0.2">
      <c r="A28" s="89"/>
      <c r="B28" s="90"/>
      <c r="C28" s="68">
        <v>44674</v>
      </c>
      <c r="D28" s="77" t="s">
        <v>52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93"/>
    </row>
    <row r="29" spans="1:33" s="12" customFormat="1" ht="16.5" customHeight="1" x14ac:dyDescent="0.2">
      <c r="A29" s="89"/>
      <c r="B29" s="90"/>
      <c r="C29" s="68">
        <v>44675</v>
      </c>
      <c r="D29" s="77" t="s">
        <v>53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93"/>
    </row>
    <row r="30" spans="1:33" s="12" customFormat="1" ht="16.5" customHeight="1" x14ac:dyDescent="0.2">
      <c r="A30" s="89"/>
      <c r="B30" s="90"/>
      <c r="C30" s="70">
        <v>44677</v>
      </c>
      <c r="D30" s="94" t="s">
        <v>53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</row>
    <row r="31" spans="1:33" s="12" customFormat="1" ht="15" x14ac:dyDescent="0.2">
      <c r="A31" s="96"/>
      <c r="B31" s="90"/>
      <c r="C31" s="75">
        <v>44678</v>
      </c>
      <c r="D31" s="77" t="s">
        <v>53</v>
      </c>
      <c r="E31" s="77"/>
      <c r="F31" s="77"/>
      <c r="G31" s="77"/>
      <c r="H31" s="77"/>
      <c r="I31" s="77"/>
      <c r="J31" s="77"/>
      <c r="K31" s="77"/>
      <c r="L31" s="77"/>
      <c r="M31" s="76"/>
      <c r="N31" s="76"/>
      <c r="O31" s="76"/>
      <c r="P31" s="76"/>
      <c r="Q31" s="76"/>
      <c r="R31" s="76"/>
      <c r="S31" s="76"/>
      <c r="T31" s="76"/>
      <c r="U31" s="76"/>
      <c r="V31" s="78"/>
      <c r="W31" s="79"/>
      <c r="X31" s="79"/>
      <c r="Y31" s="79"/>
      <c r="Z31" s="79"/>
      <c r="AA31" s="79"/>
      <c r="AB31" s="79"/>
      <c r="AC31" s="79"/>
      <c r="AD31" s="79"/>
      <c r="AE31" s="79"/>
      <c r="AF31" s="74"/>
      <c r="AG31" s="74"/>
    </row>
    <row r="32" spans="1:33" s="12" customFormat="1" ht="15" x14ac:dyDescent="0.2">
      <c r="A32" s="96"/>
      <c r="B32" s="90"/>
      <c r="C32" s="75">
        <v>44679</v>
      </c>
      <c r="D32" s="77" t="s">
        <v>55</v>
      </c>
      <c r="E32" s="77"/>
      <c r="F32" s="77"/>
      <c r="G32" s="77"/>
      <c r="H32" s="77"/>
      <c r="I32" s="77"/>
      <c r="J32" s="77"/>
      <c r="K32" s="77"/>
      <c r="L32" s="77"/>
      <c r="M32" s="76"/>
      <c r="N32" s="76"/>
      <c r="O32" s="76"/>
      <c r="P32" s="76"/>
      <c r="Q32" s="76"/>
      <c r="R32" s="76"/>
      <c r="S32" s="76"/>
      <c r="T32" s="76"/>
      <c r="U32" s="76"/>
      <c r="V32" s="78"/>
      <c r="W32" s="79"/>
      <c r="X32" s="79"/>
      <c r="Y32" s="79"/>
      <c r="Z32" s="79"/>
      <c r="AA32" s="79"/>
      <c r="AB32" s="79"/>
      <c r="AC32" s="79"/>
      <c r="AD32" s="79"/>
      <c r="AE32" s="79"/>
      <c r="AF32" s="74"/>
      <c r="AG32" s="74"/>
    </row>
    <row r="33" spans="1:33" s="12" customFormat="1" ht="15" x14ac:dyDescent="0.2">
      <c r="A33" s="96"/>
      <c r="B33" s="90"/>
      <c r="C33" s="75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8"/>
      <c r="W33" s="79"/>
      <c r="X33" s="79"/>
      <c r="Y33" s="79"/>
      <c r="Z33" s="79"/>
      <c r="AA33" s="79"/>
      <c r="AB33" s="79"/>
      <c r="AC33" s="79"/>
      <c r="AD33" s="79"/>
      <c r="AE33" s="79"/>
      <c r="AF33" s="74"/>
      <c r="AG33" s="74"/>
    </row>
    <row r="34" spans="1:33" s="12" customFormat="1" ht="15" x14ac:dyDescent="0.2">
      <c r="A34" s="97"/>
      <c r="B34" s="98"/>
      <c r="C34" s="75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8"/>
      <c r="W34" s="79"/>
      <c r="X34" s="79"/>
      <c r="Y34" s="79"/>
      <c r="Z34" s="79"/>
      <c r="AA34" s="79"/>
      <c r="AB34" s="79"/>
      <c r="AC34" s="79"/>
      <c r="AD34" s="79"/>
      <c r="AE34" s="79"/>
      <c r="AF34" s="74"/>
      <c r="AG34" s="74"/>
    </row>
    <row r="35" spans="1:33" s="12" customFormat="1" ht="15" x14ac:dyDescent="0.2">
      <c r="A35" s="71"/>
      <c r="B35" s="71"/>
      <c r="C35" s="72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</row>
    <row r="36" spans="1:33" s="12" customFormat="1" ht="15" x14ac:dyDescent="0.2">
      <c r="A36" s="13"/>
      <c r="B36" s="43"/>
      <c r="C36" s="44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4"/>
    </row>
    <row r="37" spans="1:33" s="12" customFormat="1" x14ac:dyDescent="0.2">
      <c r="A37" s="13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33" s="12" customFormat="1" x14ac:dyDescent="0.2">
      <c r="A38" s="23" t="s">
        <v>12</v>
      </c>
      <c r="D38" s="14"/>
      <c r="E38" s="15"/>
      <c r="F38" s="15"/>
      <c r="G38" s="15"/>
      <c r="H38" s="15"/>
      <c r="I38" s="15"/>
      <c r="J38" s="15"/>
      <c r="K38" s="61"/>
      <c r="L38" s="61"/>
      <c r="M38" s="15"/>
      <c r="O38" s="15"/>
      <c r="AB38" s="31"/>
    </row>
    <row r="39" spans="1:33" s="12" customFormat="1" x14ac:dyDescent="0.2">
      <c r="A39" s="85" t="s">
        <v>2</v>
      </c>
      <c r="B39" s="85" t="s">
        <v>9</v>
      </c>
      <c r="C39" s="85" t="s">
        <v>1</v>
      </c>
      <c r="D39" s="91" t="s">
        <v>7</v>
      </c>
      <c r="E39" s="92"/>
      <c r="F39" s="15"/>
      <c r="G39" s="15"/>
      <c r="H39" s="15"/>
      <c r="I39" s="15"/>
      <c r="J39" s="15"/>
      <c r="K39" s="62"/>
      <c r="L39" s="62"/>
      <c r="M39" s="15"/>
      <c r="O39" s="15"/>
      <c r="AB39" s="31"/>
    </row>
    <row r="40" spans="1:33" s="12" customFormat="1" x14ac:dyDescent="0.2">
      <c r="A40" s="86"/>
      <c r="B40" s="86"/>
      <c r="C40" s="86"/>
      <c r="D40" s="27" t="s">
        <v>10</v>
      </c>
      <c r="E40" s="22" t="s">
        <v>11</v>
      </c>
      <c r="F40" s="15"/>
      <c r="G40" s="15"/>
      <c r="H40" s="15"/>
      <c r="I40" s="15"/>
      <c r="J40" s="15"/>
      <c r="K40" s="15"/>
      <c r="L40" s="15"/>
      <c r="M40" s="15"/>
      <c r="O40" s="15"/>
      <c r="AB40" s="31"/>
    </row>
    <row r="41" spans="1:33" s="12" customFormat="1" ht="15.75" x14ac:dyDescent="0.25">
      <c r="A41" s="41" t="s">
        <v>38</v>
      </c>
      <c r="B41" s="32" t="s">
        <v>49</v>
      </c>
      <c r="C41" s="38">
        <f t="shared" ref="C41:C49" si="0">1-(((D41*3600)+(LEFT(E41,2)*60)+RIGHT(E41,2))/((60*60*24)*$C$8))</f>
        <v>1</v>
      </c>
      <c r="D41" s="20" t="str">
        <f t="shared" ref="D41:D53" si="1">TEXT(SUM(D13:AG13),"[h]")</f>
        <v>0</v>
      </c>
      <c r="E41" s="20" t="str">
        <f t="shared" ref="E41:E53" si="2">TEXT(SUM(D13:AG13),"mm ss")</f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33" s="12" customFormat="1" ht="15.75" x14ac:dyDescent="0.25">
      <c r="A42" s="41" t="s">
        <v>29</v>
      </c>
      <c r="B42" s="32" t="s">
        <v>26</v>
      </c>
      <c r="C42" s="38">
        <f t="shared" si="0"/>
        <v>1</v>
      </c>
      <c r="D42" s="20" t="str">
        <f t="shared" si="1"/>
        <v>0</v>
      </c>
      <c r="E42" s="20" t="str">
        <f t="shared" si="2"/>
        <v>00 00</v>
      </c>
      <c r="F42" s="15"/>
      <c r="G42" s="21"/>
      <c r="H42" s="15"/>
      <c r="I42" s="15"/>
      <c r="J42" s="15"/>
      <c r="K42" s="15"/>
      <c r="L42" s="15"/>
      <c r="M42" s="15"/>
      <c r="O42" s="15"/>
      <c r="AB42" s="31"/>
    </row>
    <row r="43" spans="1:33" s="12" customFormat="1" ht="15.75" x14ac:dyDescent="0.25">
      <c r="A43" s="41" t="s">
        <v>30</v>
      </c>
      <c r="B43" s="54" t="s">
        <v>19</v>
      </c>
      <c r="C43" s="38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15"/>
      <c r="I43" s="15"/>
      <c r="J43" s="15"/>
      <c r="K43" s="67"/>
      <c r="L43" s="15"/>
      <c r="M43" s="15"/>
      <c r="O43" s="15"/>
      <c r="AB43" s="31"/>
    </row>
    <row r="44" spans="1:33" s="12" customFormat="1" ht="15.75" x14ac:dyDescent="0.25">
      <c r="A44" s="41" t="s">
        <v>31</v>
      </c>
      <c r="B44" s="32" t="s">
        <v>20</v>
      </c>
      <c r="C44" s="38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15"/>
      <c r="I44" s="15"/>
      <c r="J44" s="15"/>
      <c r="K44" s="15"/>
      <c r="L44" s="15"/>
      <c r="M44" s="15"/>
      <c r="O44" s="15"/>
      <c r="AB44" s="31"/>
    </row>
    <row r="45" spans="1:33" s="12" customFormat="1" ht="15.75" x14ac:dyDescent="0.25">
      <c r="A45" s="41" t="s">
        <v>32</v>
      </c>
      <c r="B45" s="32" t="s">
        <v>21</v>
      </c>
      <c r="C45" s="38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AB45" s="31"/>
    </row>
    <row r="46" spans="1:33" s="12" customFormat="1" ht="15.75" x14ac:dyDescent="0.25">
      <c r="A46" s="41" t="s">
        <v>33</v>
      </c>
      <c r="B46" s="32" t="s">
        <v>22</v>
      </c>
      <c r="C46" s="38">
        <f t="shared" si="0"/>
        <v>1</v>
      </c>
      <c r="D46" s="20" t="str">
        <f t="shared" si="1"/>
        <v>0</v>
      </c>
      <c r="E46" s="20" t="str">
        <f t="shared" si="2"/>
        <v>00 00</v>
      </c>
      <c r="F46" s="15"/>
      <c r="G46" s="21"/>
      <c r="H46" s="15"/>
      <c r="I46" s="15"/>
      <c r="J46" s="15"/>
      <c r="K46" s="15"/>
      <c r="L46" s="15"/>
      <c r="M46" s="15"/>
      <c r="O46" s="15"/>
      <c r="AB46" s="31"/>
    </row>
    <row r="47" spans="1:33" s="12" customFormat="1" ht="15.75" x14ac:dyDescent="0.25">
      <c r="A47" s="41" t="s">
        <v>34</v>
      </c>
      <c r="B47" s="32" t="s">
        <v>28</v>
      </c>
      <c r="C47" s="38">
        <f t="shared" si="0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33" s="12" customFormat="1" ht="15.75" x14ac:dyDescent="0.25">
      <c r="A48" s="41" t="s">
        <v>35</v>
      </c>
      <c r="B48" s="32" t="s">
        <v>27</v>
      </c>
      <c r="C48" s="38">
        <f t="shared" si="0"/>
        <v>0.99809876543209874</v>
      </c>
      <c r="D48" s="20" t="str">
        <f t="shared" si="1"/>
        <v>1</v>
      </c>
      <c r="E48" s="20" t="str">
        <f t="shared" si="2"/>
        <v>22 08</v>
      </c>
      <c r="F48" s="15"/>
      <c r="G48" s="21"/>
      <c r="H48" s="15"/>
      <c r="I48" s="15"/>
      <c r="J48" s="15"/>
      <c r="K48" s="15"/>
      <c r="L48" s="15"/>
      <c r="M48" s="15"/>
      <c r="N48" s="15"/>
      <c r="O48" s="15"/>
    </row>
    <row r="49" spans="1:33" s="12" customFormat="1" ht="15.75" x14ac:dyDescent="0.25">
      <c r="A49" s="41" t="s">
        <v>36</v>
      </c>
      <c r="B49" s="32" t="s">
        <v>25</v>
      </c>
      <c r="C49" s="38">
        <f t="shared" si="0"/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15"/>
    </row>
    <row r="50" spans="1:33" s="12" customFormat="1" ht="15.75" x14ac:dyDescent="0.25">
      <c r="A50" s="41" t="s">
        <v>37</v>
      </c>
      <c r="B50" s="32" t="s">
        <v>24</v>
      </c>
      <c r="C50" s="33">
        <f>1-(((D50*3600)+(LEFT(E50,2)*60)+RIGHT(E50,2))/((60*60*24)*$C$8))</f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15"/>
    </row>
    <row r="51" spans="1:33" s="12" customFormat="1" ht="15.75" x14ac:dyDescent="0.25">
      <c r="A51" s="41" t="s">
        <v>39</v>
      </c>
      <c r="B51" s="32" t="s">
        <v>44</v>
      </c>
      <c r="C51" s="33">
        <f t="shared" ref="C51:C53" si="3">1-(((D51*3600)+(LEFT(E51,2)*60)+RIGHT(E51,2))/((60*60*24)*$C$8))</f>
        <v>0.99534837962962963</v>
      </c>
      <c r="D51" s="20" t="str">
        <f t="shared" si="1"/>
        <v>3</v>
      </c>
      <c r="E51" s="20" t="str">
        <f t="shared" si="2"/>
        <v>20 57</v>
      </c>
      <c r="F51" s="15"/>
      <c r="G51" s="21"/>
      <c r="H51" s="15"/>
      <c r="I51" s="15"/>
      <c r="J51" s="15"/>
      <c r="K51" s="15"/>
      <c r="L51" s="15"/>
      <c r="M51" s="15"/>
      <c r="N51" s="15"/>
      <c r="O51" s="15"/>
    </row>
    <row r="52" spans="1:33" s="16" customFormat="1" ht="15.75" x14ac:dyDescent="0.25">
      <c r="A52" s="41" t="s">
        <v>42</v>
      </c>
      <c r="B52" s="32" t="s">
        <v>45</v>
      </c>
      <c r="C52" s="33">
        <f t="shared" si="3"/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15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 ht="15.75" x14ac:dyDescent="0.25">
      <c r="A53" s="63" t="s">
        <v>43</v>
      </c>
      <c r="B53" s="32" t="s">
        <v>47</v>
      </c>
      <c r="C53" s="33">
        <f t="shared" si="3"/>
        <v>0.99988117283950617</v>
      </c>
      <c r="D53" s="20" t="str">
        <f t="shared" si="1"/>
        <v>0</v>
      </c>
      <c r="E53" s="20" t="str">
        <f t="shared" si="2"/>
        <v>05 08</v>
      </c>
      <c r="F53" s="15"/>
      <c r="G53" s="21"/>
      <c r="H53" s="15"/>
      <c r="I53" s="15"/>
      <c r="J53" s="15"/>
      <c r="K53" s="15"/>
      <c r="L53" s="64"/>
      <c r="M53" s="64"/>
      <c r="N53" s="64"/>
      <c r="O53" s="64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5.75" x14ac:dyDescent="0.25">
      <c r="A54" s="53"/>
      <c r="B54" s="54"/>
      <c r="C54" s="55"/>
      <c r="D54" s="56"/>
      <c r="E54" s="56"/>
      <c r="F54" s="15"/>
      <c r="G54" s="21"/>
      <c r="H54" s="15"/>
      <c r="I54" s="15"/>
      <c r="J54" s="15"/>
      <c r="K54" s="15"/>
      <c r="L54" s="64"/>
      <c r="M54" s="64"/>
      <c r="N54" s="64"/>
      <c r="O54" s="64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x14ac:dyDescent="0.2">
      <c r="A55" s="13"/>
      <c r="B55" s="12"/>
      <c r="C55" s="26"/>
      <c r="D55" s="25"/>
      <c r="E55" s="15"/>
      <c r="F55" s="15"/>
      <c r="G55" s="15"/>
      <c r="H55" s="15"/>
      <c r="I55" s="15"/>
      <c r="J55" s="15"/>
      <c r="K55" s="15"/>
      <c r="L55" s="64"/>
      <c r="M55" s="64"/>
      <c r="N55" s="64"/>
      <c r="O55" s="64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x14ac:dyDescent="0.2">
      <c r="A56" s="13"/>
      <c r="B56" s="12"/>
      <c r="C56" s="12"/>
      <c r="D56" s="14"/>
      <c r="E56" s="15"/>
      <c r="F56" s="15"/>
      <c r="G56" s="15"/>
      <c r="H56" s="15"/>
      <c r="I56" s="15"/>
      <c r="J56" s="15"/>
      <c r="K56" s="15"/>
      <c r="L56" s="64"/>
      <c r="M56" s="64"/>
      <c r="N56" s="64"/>
      <c r="O56" s="64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x14ac:dyDescent="0.2">
      <c r="A57" s="14"/>
      <c r="B57" s="24" t="s">
        <v>13</v>
      </c>
      <c r="C57" s="19"/>
      <c r="D57" s="18"/>
      <c r="E57" s="18"/>
      <c r="F57" s="18"/>
      <c r="G57" s="18"/>
      <c r="H57" s="18"/>
      <c r="I57" s="18"/>
      <c r="J57" s="18"/>
      <c r="K57" s="18"/>
      <c r="L57" s="65"/>
      <c r="M57" s="65"/>
      <c r="N57" s="65"/>
      <c r="O57" s="65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6"/>
    </row>
    <row r="58" spans="1:33" x14ac:dyDescent="0.2">
      <c r="A58"/>
      <c r="B58" s="12" t="s">
        <v>16</v>
      </c>
      <c r="C58" s="27">
        <f>(SUM(C41:C53))/(100%*13)</f>
        <v>0.99948679368471027</v>
      </c>
      <c r="G58" s="39"/>
      <c r="L58" s="66"/>
      <c r="M58" s="66"/>
      <c r="N58" s="66"/>
      <c r="O58" s="66"/>
    </row>
    <row r="59" spans="1:33" x14ac:dyDescent="0.2">
      <c r="L59" s="66"/>
      <c r="M59" s="66"/>
      <c r="N59" s="66"/>
      <c r="O59" s="66"/>
    </row>
    <row r="60" spans="1:33" x14ac:dyDescent="0.2">
      <c r="L60" s="66"/>
      <c r="M60" s="66"/>
      <c r="N60" s="66"/>
      <c r="O60" s="66"/>
    </row>
    <row r="61" spans="1:33" x14ac:dyDescent="0.2">
      <c r="L61" s="66"/>
      <c r="M61" s="66"/>
      <c r="N61" s="66"/>
      <c r="O61" s="66"/>
    </row>
    <row r="62" spans="1:33" x14ac:dyDescent="0.2">
      <c r="A62" s="69"/>
      <c r="B62" s="12" t="s">
        <v>51</v>
      </c>
    </row>
    <row r="63" spans="1:33" x14ac:dyDescent="0.2">
      <c r="A63"/>
      <c r="B63" s="12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71" spans="1:32" x14ac:dyDescent="0.2">
      <c r="A71"/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x14ac:dyDescent="0.2">
      <c r="A72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x14ac:dyDescent="0.2">
      <c r="A73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A74"/>
      <c r="D74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</sheetData>
  <mergeCells count="26">
    <mergeCell ref="D26:AG26"/>
    <mergeCell ref="A10:A11"/>
    <mergeCell ref="B10:B11"/>
    <mergeCell ref="C10:C11"/>
    <mergeCell ref="A39:A40"/>
    <mergeCell ref="B39:B40"/>
    <mergeCell ref="C39:C40"/>
    <mergeCell ref="A27:B30"/>
    <mergeCell ref="D39:E39"/>
    <mergeCell ref="D27:AG27"/>
    <mergeCell ref="D28:AG28"/>
    <mergeCell ref="D29:AG29"/>
    <mergeCell ref="D30:AG30"/>
    <mergeCell ref="A31:B34"/>
    <mergeCell ref="V34:AE34"/>
    <mergeCell ref="V33:AE33"/>
    <mergeCell ref="V32:AE32"/>
    <mergeCell ref="V31:AE31"/>
    <mergeCell ref="M31:U31"/>
    <mergeCell ref="M33:U33"/>
    <mergeCell ref="M32:U32"/>
    <mergeCell ref="M34:U34"/>
    <mergeCell ref="D31:L31"/>
    <mergeCell ref="D32:L32"/>
    <mergeCell ref="D33:L33"/>
    <mergeCell ref="D34:L34"/>
  </mergeCells>
  <phoneticPr fontId="9" type="noConversion"/>
  <conditionalFormatting sqref="D15:F15 G21:M21 D17:N18 AF21 O17:AD17 P21:AC21 D13:D21 AF17:AF18">
    <cfRule type="cellIs" dxfId="118" priority="228" stopIfTrue="1" operator="greaterThan">
      <formula>0</formula>
    </cfRule>
  </conditionalFormatting>
  <conditionalFormatting sqref="I15:M15">
    <cfRule type="cellIs" dxfId="117" priority="227" stopIfTrue="1" operator="greaterThan">
      <formula>0</formula>
    </cfRule>
  </conditionalFormatting>
  <conditionalFormatting sqref="W18:AC18 O15:AD15 O18:U18">
    <cfRule type="cellIs" dxfId="116" priority="226" stopIfTrue="1" operator="greaterThan">
      <formula>0</formula>
    </cfRule>
  </conditionalFormatting>
  <conditionalFormatting sqref="G15">
    <cfRule type="cellIs" dxfId="115" priority="220" stopIfTrue="1" operator="greaterThan">
      <formula>0</formula>
    </cfRule>
  </conditionalFormatting>
  <conditionalFormatting sqref="N15">
    <cfRule type="cellIs" dxfId="114" priority="219" stopIfTrue="1" operator="greaterThan">
      <formula>0</formula>
    </cfRule>
  </conditionalFormatting>
  <conditionalFormatting sqref="H15">
    <cfRule type="cellIs" dxfId="113" priority="213" stopIfTrue="1" operator="greaterThan">
      <formula>0</formula>
    </cfRule>
  </conditionalFormatting>
  <conditionalFormatting sqref="AD18">
    <cfRule type="cellIs" dxfId="112" priority="212" stopIfTrue="1" operator="greaterThan">
      <formula>0</formula>
    </cfRule>
  </conditionalFormatting>
  <conditionalFormatting sqref="V18">
    <cfRule type="cellIs" dxfId="111" priority="207" stopIfTrue="1" operator="greaterThan">
      <formula>0</formula>
    </cfRule>
  </conditionalFormatting>
  <conditionalFormatting sqref="AF15">
    <cfRule type="cellIs" dxfId="110" priority="204" stopIfTrue="1" operator="greaterThan">
      <formula>0</formula>
    </cfRule>
  </conditionalFormatting>
  <conditionalFormatting sqref="D14:F14">
    <cfRule type="cellIs" dxfId="109" priority="198" stopIfTrue="1" operator="greaterThan">
      <formula>0</formula>
    </cfRule>
  </conditionalFormatting>
  <conditionalFormatting sqref="I14:M14">
    <cfRule type="cellIs" dxfId="108" priority="197" stopIfTrue="1" operator="greaterThan">
      <formula>0</formula>
    </cfRule>
  </conditionalFormatting>
  <conditionalFormatting sqref="O14:AD14">
    <cfRule type="cellIs" dxfId="107" priority="196" stopIfTrue="1" operator="greaterThan">
      <formula>0</formula>
    </cfRule>
  </conditionalFormatting>
  <conditionalFormatting sqref="G14">
    <cfRule type="cellIs" dxfId="106" priority="195" stopIfTrue="1" operator="greaterThan">
      <formula>0</formula>
    </cfRule>
  </conditionalFormatting>
  <conditionalFormatting sqref="N14">
    <cfRule type="cellIs" dxfId="105" priority="194" stopIfTrue="1" operator="greaterThan">
      <formula>0</formula>
    </cfRule>
  </conditionalFormatting>
  <conditionalFormatting sqref="H14">
    <cfRule type="cellIs" dxfId="104" priority="193" stopIfTrue="1" operator="greaterThan">
      <formula>0</formula>
    </cfRule>
  </conditionalFormatting>
  <conditionalFormatting sqref="AF14">
    <cfRule type="cellIs" dxfId="103" priority="192" stopIfTrue="1" operator="greaterThan">
      <formula>0</formula>
    </cfRule>
  </conditionalFormatting>
  <conditionalFormatting sqref="D13:F13">
    <cfRule type="cellIs" dxfId="102" priority="182" stopIfTrue="1" operator="greaterThan">
      <formula>0</formula>
    </cfRule>
  </conditionalFormatting>
  <conditionalFormatting sqref="D16:F16">
    <cfRule type="cellIs" dxfId="101" priority="174" stopIfTrue="1" operator="greaterThan">
      <formula>0</formula>
    </cfRule>
  </conditionalFormatting>
  <conditionalFormatting sqref="I13:M13">
    <cfRule type="cellIs" dxfId="100" priority="181" stopIfTrue="1" operator="greaterThan">
      <formula>0</formula>
    </cfRule>
  </conditionalFormatting>
  <conditionalFormatting sqref="O13:AD13">
    <cfRule type="cellIs" dxfId="99" priority="180" stopIfTrue="1" operator="greaterThan">
      <formula>0</formula>
    </cfRule>
  </conditionalFormatting>
  <conditionalFormatting sqref="G13">
    <cfRule type="cellIs" dxfId="98" priority="179" stopIfTrue="1" operator="greaterThan">
      <formula>0</formula>
    </cfRule>
  </conditionalFormatting>
  <conditionalFormatting sqref="N13">
    <cfRule type="cellIs" dxfId="97" priority="178" stopIfTrue="1" operator="greaterThan">
      <formula>0</formula>
    </cfRule>
  </conditionalFormatting>
  <conditionalFormatting sqref="H13">
    <cfRule type="cellIs" dxfId="96" priority="177" stopIfTrue="1" operator="greaterThan">
      <formula>0</formula>
    </cfRule>
  </conditionalFormatting>
  <conditionalFormatting sqref="AE13:AF13">
    <cfRule type="cellIs" dxfId="24" priority="176" stopIfTrue="1" operator="greaterThan">
      <formula>0</formula>
    </cfRule>
  </conditionalFormatting>
  <conditionalFormatting sqref="I16:M16">
    <cfRule type="cellIs" dxfId="95" priority="173" stopIfTrue="1" operator="greaterThan">
      <formula>0</formula>
    </cfRule>
  </conditionalFormatting>
  <conditionalFormatting sqref="O16:Q16">
    <cfRule type="cellIs" dxfId="94" priority="172" stopIfTrue="1" operator="greaterThan">
      <formula>0</formula>
    </cfRule>
  </conditionalFormatting>
  <conditionalFormatting sqref="G16">
    <cfRule type="cellIs" dxfId="93" priority="171" stopIfTrue="1" operator="greaterThan">
      <formula>0</formula>
    </cfRule>
  </conditionalFormatting>
  <conditionalFormatting sqref="N16">
    <cfRule type="cellIs" dxfId="92" priority="170" stopIfTrue="1" operator="greaterThan">
      <formula>0</formula>
    </cfRule>
  </conditionalFormatting>
  <conditionalFormatting sqref="H16">
    <cfRule type="cellIs" dxfId="91" priority="169" stopIfTrue="1" operator="greaterThan">
      <formula>0</formula>
    </cfRule>
  </conditionalFormatting>
  <conditionalFormatting sqref="D19:F19">
    <cfRule type="cellIs" dxfId="90" priority="154" stopIfTrue="1" operator="greaterThan">
      <formula>0</formula>
    </cfRule>
  </conditionalFormatting>
  <conditionalFormatting sqref="I19:M19">
    <cfRule type="cellIs" dxfId="89" priority="153" stopIfTrue="1" operator="greaterThan">
      <formula>0</formula>
    </cfRule>
  </conditionalFormatting>
  <conditionalFormatting sqref="O19:U19 W19:AC19">
    <cfRule type="cellIs" dxfId="88" priority="152" stopIfTrue="1" operator="greaterThan">
      <formula>0</formula>
    </cfRule>
  </conditionalFormatting>
  <conditionalFormatting sqref="G19">
    <cfRule type="cellIs" dxfId="87" priority="151" stopIfTrue="1" operator="greaterThan">
      <formula>0</formula>
    </cfRule>
  </conditionalFormatting>
  <conditionalFormatting sqref="N19">
    <cfRule type="cellIs" dxfId="86" priority="150" stopIfTrue="1" operator="greaterThan">
      <formula>0</formula>
    </cfRule>
  </conditionalFormatting>
  <conditionalFormatting sqref="H19">
    <cfRule type="cellIs" dxfId="85" priority="149" stopIfTrue="1" operator="greaterThan">
      <formula>0</formula>
    </cfRule>
  </conditionalFormatting>
  <conditionalFormatting sqref="AD19">
    <cfRule type="cellIs" dxfId="84" priority="148" stopIfTrue="1" operator="greaterThan">
      <formula>0</formula>
    </cfRule>
  </conditionalFormatting>
  <conditionalFormatting sqref="D20">
    <cfRule type="cellIs" dxfId="83" priority="140" stopIfTrue="1" operator="greaterThan">
      <formula>0</formula>
    </cfRule>
  </conditionalFormatting>
  <conditionalFormatting sqref="V19">
    <cfRule type="cellIs" dxfId="82" priority="146" stopIfTrue="1" operator="greaterThan">
      <formula>0</formula>
    </cfRule>
  </conditionalFormatting>
  <conditionalFormatting sqref="AF19">
    <cfRule type="cellIs" dxfId="81" priority="145" stopIfTrue="1" operator="greaterThan">
      <formula>0</formula>
    </cfRule>
  </conditionalFormatting>
  <conditionalFormatting sqref="G20:H20 AF20 J20:M20 P20:V20">
    <cfRule type="cellIs" dxfId="80" priority="143" stopIfTrue="1" operator="greaterThan">
      <formula>0</formula>
    </cfRule>
  </conditionalFormatting>
  <conditionalFormatting sqref="W20 Y20:AB20">
    <cfRule type="cellIs" dxfId="79" priority="142" stopIfTrue="1" operator="greaterThan">
      <formula>0</formula>
    </cfRule>
  </conditionalFormatting>
  <conditionalFormatting sqref="AC20">
    <cfRule type="cellIs" dxfId="78" priority="141" stopIfTrue="1" operator="greaterThan">
      <formula>0</formula>
    </cfRule>
  </conditionalFormatting>
  <conditionalFormatting sqref="AD20:AD21">
    <cfRule type="cellIs" dxfId="77" priority="138" stopIfTrue="1" operator="greaterThan">
      <formula>0</formula>
    </cfRule>
  </conditionalFormatting>
  <conditionalFormatting sqref="W16">
    <cfRule type="cellIs" dxfId="76" priority="127" stopIfTrue="1" operator="greaterThan">
      <formula>0</formula>
    </cfRule>
  </conditionalFormatting>
  <conditionalFormatting sqref="V16">
    <cfRule type="cellIs" dxfId="75" priority="128" stopIfTrue="1" operator="greaterThan">
      <formula>0</formula>
    </cfRule>
  </conditionalFormatting>
  <conditionalFormatting sqref="R16">
    <cfRule type="cellIs" dxfId="74" priority="132" stopIfTrue="1" operator="greaterThan">
      <formula>0</formula>
    </cfRule>
  </conditionalFormatting>
  <conditionalFormatting sqref="S16">
    <cfRule type="cellIs" dxfId="73" priority="131" stopIfTrue="1" operator="greaterThan">
      <formula>0</formula>
    </cfRule>
  </conditionalFormatting>
  <conditionalFormatting sqref="T16">
    <cfRule type="cellIs" dxfId="72" priority="130" stopIfTrue="1" operator="greaterThan">
      <formula>0</formula>
    </cfRule>
  </conditionalFormatting>
  <conditionalFormatting sqref="U16">
    <cfRule type="cellIs" dxfId="71" priority="129" stopIfTrue="1" operator="greaterThan">
      <formula>0</formula>
    </cfRule>
  </conditionalFormatting>
  <conditionalFormatting sqref="X16">
    <cfRule type="cellIs" dxfId="70" priority="126" stopIfTrue="1" operator="greaterThan">
      <formula>0</formula>
    </cfRule>
  </conditionalFormatting>
  <conditionalFormatting sqref="Y16">
    <cfRule type="cellIs" dxfId="69" priority="125" stopIfTrue="1" operator="greaterThan">
      <formula>0</formula>
    </cfRule>
  </conditionalFormatting>
  <conditionalFormatting sqref="Z16">
    <cfRule type="cellIs" dxfId="68" priority="124" stopIfTrue="1" operator="greaterThan">
      <formula>0</formula>
    </cfRule>
  </conditionalFormatting>
  <conditionalFormatting sqref="AA16">
    <cfRule type="cellIs" dxfId="67" priority="123" stopIfTrue="1" operator="greaterThan">
      <formula>0</formula>
    </cfRule>
  </conditionalFormatting>
  <conditionalFormatting sqref="AB16">
    <cfRule type="cellIs" dxfId="66" priority="122" stopIfTrue="1" operator="greaterThan">
      <formula>0</formula>
    </cfRule>
  </conditionalFormatting>
  <conditionalFormatting sqref="AC16">
    <cfRule type="cellIs" dxfId="65" priority="121" stopIfTrue="1" operator="greaterThan">
      <formula>0</formula>
    </cfRule>
  </conditionalFormatting>
  <conditionalFormatting sqref="AD16">
    <cfRule type="cellIs" dxfId="64" priority="120" stopIfTrue="1" operator="greaterThan">
      <formula>0</formula>
    </cfRule>
  </conditionalFormatting>
  <conditionalFormatting sqref="AF16">
    <cfRule type="cellIs" dxfId="63" priority="119" stopIfTrue="1" operator="greaterThan">
      <formula>0</formula>
    </cfRule>
  </conditionalFormatting>
  <conditionalFormatting sqref="D22:J24 M22:AD22 M23:AA24">
    <cfRule type="cellIs" dxfId="62" priority="77" stopIfTrue="1" operator="greaterThan">
      <formula>0</formula>
    </cfRule>
  </conditionalFormatting>
  <conditionalFormatting sqref="AG13">
    <cfRule type="cellIs" dxfId="61" priority="67" stopIfTrue="1" operator="greaterThan">
      <formula>0</formula>
    </cfRule>
  </conditionalFormatting>
  <conditionalFormatting sqref="AG13">
    <cfRule type="cellIs" dxfId="60" priority="58" stopIfTrue="1" operator="greaterThan">
      <formula>0</formula>
    </cfRule>
  </conditionalFormatting>
  <conditionalFormatting sqref="AG21 AG17:AG18">
    <cfRule type="cellIs" dxfId="59" priority="71" stopIfTrue="1" operator="greaterThan">
      <formula>0</formula>
    </cfRule>
  </conditionalFormatting>
  <conditionalFormatting sqref="AG15">
    <cfRule type="cellIs" dxfId="58" priority="70" stopIfTrue="1" operator="greaterThan">
      <formula>0</formula>
    </cfRule>
  </conditionalFormatting>
  <conditionalFormatting sqref="AG14">
    <cfRule type="cellIs" dxfId="57" priority="69" stopIfTrue="1" operator="greaterThan">
      <formula>0</formula>
    </cfRule>
  </conditionalFormatting>
  <conditionalFormatting sqref="AG19">
    <cfRule type="cellIs" dxfId="56" priority="66" stopIfTrue="1" operator="greaterThan">
      <formula>0</formula>
    </cfRule>
  </conditionalFormatting>
  <conditionalFormatting sqref="AG20">
    <cfRule type="cellIs" dxfId="55" priority="65" stopIfTrue="1" operator="greaterThan">
      <formula>0</formula>
    </cfRule>
  </conditionalFormatting>
  <conditionalFormatting sqref="AG16">
    <cfRule type="cellIs" dxfId="54" priority="64" stopIfTrue="1" operator="greaterThan">
      <formula>0</formula>
    </cfRule>
  </conditionalFormatting>
  <conditionalFormatting sqref="AG21 AG17:AG18">
    <cfRule type="cellIs" dxfId="53" priority="62" stopIfTrue="1" operator="greaterThan">
      <formula>0</formula>
    </cfRule>
  </conditionalFormatting>
  <conditionalFormatting sqref="AG15">
    <cfRule type="cellIs" dxfId="52" priority="61" stopIfTrue="1" operator="greaterThan">
      <formula>0</formula>
    </cfRule>
  </conditionalFormatting>
  <conditionalFormatting sqref="AG14">
    <cfRule type="cellIs" dxfId="51" priority="60" stopIfTrue="1" operator="greaterThan">
      <formula>0</formula>
    </cfRule>
  </conditionalFormatting>
  <conditionalFormatting sqref="AG19">
    <cfRule type="cellIs" dxfId="50" priority="57" stopIfTrue="1" operator="greaterThan">
      <formula>0</formula>
    </cfRule>
  </conditionalFormatting>
  <conditionalFormatting sqref="AG20">
    <cfRule type="cellIs" dxfId="49" priority="56" stopIfTrue="1" operator="greaterThan">
      <formula>0</formula>
    </cfRule>
  </conditionalFormatting>
  <conditionalFormatting sqref="AG16">
    <cfRule type="cellIs" dxfId="48" priority="55" stopIfTrue="1" operator="greaterThan">
      <formula>0</formula>
    </cfRule>
  </conditionalFormatting>
  <conditionalFormatting sqref="AF13">
    <cfRule type="cellIs" dxfId="47" priority="49" stopIfTrue="1" operator="greaterThan">
      <formula>0</formula>
    </cfRule>
  </conditionalFormatting>
  <conditionalFormatting sqref="AF19">
    <cfRule type="cellIs" dxfId="46" priority="48" stopIfTrue="1" operator="greaterThan">
      <formula>0</formula>
    </cfRule>
  </conditionalFormatting>
  <conditionalFormatting sqref="AF21 AF17:AF18">
    <cfRule type="cellIs" dxfId="45" priority="53" stopIfTrue="1" operator="greaterThan">
      <formula>0</formula>
    </cfRule>
  </conditionalFormatting>
  <conditionalFormatting sqref="AF15">
    <cfRule type="cellIs" dxfId="44" priority="52" stopIfTrue="1" operator="greaterThan">
      <formula>0</formula>
    </cfRule>
  </conditionalFormatting>
  <conditionalFormatting sqref="AF14">
    <cfRule type="cellIs" dxfId="43" priority="51" stopIfTrue="1" operator="greaterThan">
      <formula>0</formula>
    </cfRule>
  </conditionalFormatting>
  <conditionalFormatting sqref="AF20">
    <cfRule type="cellIs" dxfId="42" priority="47" stopIfTrue="1" operator="greaterThan">
      <formula>0</formula>
    </cfRule>
  </conditionalFormatting>
  <conditionalFormatting sqref="AF16">
    <cfRule type="cellIs" dxfId="41" priority="46" stopIfTrue="1" operator="greaterThan">
      <formula>0</formula>
    </cfRule>
  </conditionalFormatting>
  <conditionalFormatting sqref="D25:J25 M25:AD25 AF25">
    <cfRule type="cellIs" dxfId="40" priority="44" stopIfTrue="1" operator="greaterThan">
      <formula>0</formula>
    </cfRule>
  </conditionalFormatting>
  <conditionalFormatting sqref="AG25">
    <cfRule type="cellIs" dxfId="39" priority="42" stopIfTrue="1" operator="greaterThan">
      <formula>0</formula>
    </cfRule>
  </conditionalFormatting>
  <conditionalFormatting sqref="AG25">
    <cfRule type="cellIs" dxfId="38" priority="41" stopIfTrue="1" operator="greaterThan">
      <formula>0</formula>
    </cfRule>
  </conditionalFormatting>
  <conditionalFormatting sqref="AF25">
    <cfRule type="cellIs" dxfId="37" priority="40" stopIfTrue="1" operator="greaterThan">
      <formula>0</formula>
    </cfRule>
  </conditionalFormatting>
  <conditionalFormatting sqref="E21:F21">
    <cfRule type="cellIs" dxfId="36" priority="35" stopIfTrue="1" operator="greaterThan">
      <formula>0</formula>
    </cfRule>
  </conditionalFormatting>
  <conditionalFormatting sqref="E20:F20">
    <cfRule type="cellIs" dxfId="35" priority="34" stopIfTrue="1" operator="greaterThan">
      <formula>0</formula>
    </cfRule>
  </conditionalFormatting>
  <conditionalFormatting sqref="I20">
    <cfRule type="cellIs" dxfId="34" priority="33" stopIfTrue="1" operator="greaterThan">
      <formula>0</formula>
    </cfRule>
  </conditionalFormatting>
  <conditionalFormatting sqref="X20">
    <cfRule type="cellIs" dxfId="33" priority="31" stopIfTrue="1" operator="greaterThan">
      <formula>0</formula>
    </cfRule>
  </conditionalFormatting>
  <conditionalFormatting sqref="K38">
    <cfRule type="cellIs" dxfId="32" priority="30" stopIfTrue="1" operator="greaterThan">
      <formula>0</formula>
    </cfRule>
  </conditionalFormatting>
  <conditionalFormatting sqref="L38">
    <cfRule type="cellIs" dxfId="31" priority="29" stopIfTrue="1" operator="greaterThan">
      <formula>0</formula>
    </cfRule>
  </conditionalFormatting>
  <conditionalFormatting sqref="K22:L25">
    <cfRule type="cellIs" dxfId="30" priority="22" stopIfTrue="1" operator="greaterThan">
      <formula>0</formula>
    </cfRule>
  </conditionalFormatting>
  <conditionalFormatting sqref="K43">
    <cfRule type="cellIs" dxfId="29" priority="21" stopIfTrue="1" operator="greaterThan">
      <formula>0</formula>
    </cfRule>
  </conditionalFormatting>
  <conditionalFormatting sqref="N20:O21">
    <cfRule type="cellIs" dxfId="28" priority="19" stopIfTrue="1" operator="greaterThan">
      <formula>0</formula>
    </cfRule>
  </conditionalFormatting>
  <conditionalFormatting sqref="AB23:AD24 AF23:AG24">
    <cfRule type="cellIs" dxfId="27" priority="17" stopIfTrue="1" operator="greaterThan">
      <formula>0</formula>
    </cfRule>
  </conditionalFormatting>
  <conditionalFormatting sqref="AF22:AG22">
    <cfRule type="cellIs" dxfId="26" priority="14" stopIfTrue="1" operator="greaterThan">
      <formula>0</formula>
    </cfRule>
  </conditionalFormatting>
  <conditionalFormatting sqref="AF22:AG22">
    <cfRule type="cellIs" dxfId="25" priority="13" stopIfTrue="1" operator="greaterThan">
      <formula>0</formula>
    </cfRule>
  </conditionalFormatting>
  <conditionalFormatting sqref="AE14">
    <cfRule type="cellIs" dxfId="23" priority="12" stopIfTrue="1" operator="greaterThan">
      <formula>0</formula>
    </cfRule>
  </conditionalFormatting>
  <conditionalFormatting sqref="AE15">
    <cfRule type="cellIs" dxfId="21" priority="11" stopIfTrue="1" operator="greaterThan">
      <formula>0</formula>
    </cfRule>
  </conditionalFormatting>
  <conditionalFormatting sqref="AE16">
    <cfRule type="cellIs" dxfId="19" priority="10" stopIfTrue="1" operator="greaterThan">
      <formula>0</formula>
    </cfRule>
  </conditionalFormatting>
  <conditionalFormatting sqref="AE17">
    <cfRule type="cellIs" dxfId="17" priority="9" stopIfTrue="1" operator="greaterThan">
      <formula>0</formula>
    </cfRule>
  </conditionalFormatting>
  <conditionalFormatting sqref="AE18">
    <cfRule type="cellIs" dxfId="15" priority="8" stopIfTrue="1" operator="greaterThan">
      <formula>0</formula>
    </cfRule>
  </conditionalFormatting>
  <conditionalFormatting sqref="AE19">
    <cfRule type="cellIs" dxfId="13" priority="7" stopIfTrue="1" operator="greaterThan">
      <formula>0</formula>
    </cfRule>
  </conditionalFormatting>
  <conditionalFormatting sqref="AE20">
    <cfRule type="cellIs" dxfId="11" priority="6" stopIfTrue="1" operator="greaterThan">
      <formula>0</formula>
    </cfRule>
  </conditionalFormatting>
  <conditionalFormatting sqref="AE21">
    <cfRule type="cellIs" dxfId="9" priority="5" stopIfTrue="1" operator="greaterThan">
      <formula>0</formula>
    </cfRule>
  </conditionalFormatting>
  <conditionalFormatting sqref="AE22">
    <cfRule type="cellIs" dxfId="7" priority="4" stopIfTrue="1" operator="greaterThan">
      <formula>0</formula>
    </cfRule>
  </conditionalFormatting>
  <conditionalFormatting sqref="AE23">
    <cfRule type="cellIs" dxfId="5" priority="3" stopIfTrue="1" operator="greaterThan">
      <formula>0</formula>
    </cfRule>
  </conditionalFormatting>
  <conditionalFormatting sqref="AE24">
    <cfRule type="cellIs" dxfId="3" priority="2" stopIfTrue="1" operator="greaterThan">
      <formula>0</formula>
    </cfRule>
  </conditionalFormatting>
  <conditionalFormatting sqref="AE25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2022-05-05T10:06:02Z</dcterms:modified>
</cp:coreProperties>
</file>