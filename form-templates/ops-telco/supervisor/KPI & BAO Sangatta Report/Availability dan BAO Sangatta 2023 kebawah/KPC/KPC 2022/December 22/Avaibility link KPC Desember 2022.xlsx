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autoCompressPictures="0" defaultThemeVersion="124226"/>
  <bookViews>
    <workbookView xWindow="0" yWindow="360" windowWidth="15480" windowHeight="11280"/>
  </bookViews>
  <sheets>
    <sheet name="Avaibility ALU" sheetId="11" r:id="rId1"/>
  </sheets>
  <calcPr calcId="144525"/>
</workbook>
</file>

<file path=xl/calcChain.xml><?xml version="1.0" encoding="utf-8"?>
<calcChain xmlns="http://schemas.openxmlformats.org/spreadsheetml/2006/main">
  <c r="E57" i="11" l="1"/>
  <c r="D57" i="11"/>
  <c r="C57" i="11" l="1"/>
  <c r="D56" i="11"/>
  <c r="D55" i="11"/>
  <c r="D46" i="11"/>
  <c r="D45" i="11"/>
  <c r="E55" i="11" l="1"/>
  <c r="E56" i="11"/>
  <c r="E54" i="11"/>
  <c r="C55" i="11" l="1"/>
  <c r="C56" i="11"/>
  <c r="D54" i="11"/>
  <c r="C54" i="11" s="1"/>
  <c r="E45" i="11"/>
  <c r="C45" i="11" s="1"/>
  <c r="E46" i="11"/>
  <c r="C46" i="11" s="1"/>
  <c r="D47" i="11"/>
  <c r="E47" i="11"/>
  <c r="D48" i="11"/>
  <c r="E48" i="11"/>
  <c r="D49" i="11"/>
  <c r="E49" i="11"/>
  <c r="D50" i="11"/>
  <c r="E50" i="11"/>
  <c r="D51" i="11"/>
  <c r="E51" i="11"/>
  <c r="D52" i="11"/>
  <c r="E52" i="11"/>
  <c r="D53" i="11"/>
  <c r="E53" i="11"/>
  <c r="C49" i="11" l="1"/>
  <c r="C53" i="11"/>
  <c r="C51" i="11"/>
  <c r="C47" i="11"/>
  <c r="C52" i="11"/>
  <c r="C50" i="11"/>
  <c r="C48" i="11"/>
  <c r="C62" i="11" l="1"/>
</calcChain>
</file>

<file path=xl/sharedStrings.xml><?xml version="1.0" encoding="utf-8"?>
<sst xmlns="http://schemas.openxmlformats.org/spreadsheetml/2006/main" count="117" uniqueCount="59">
  <si>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</si>
  <si>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</si>
  <si>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</si>
  <si>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</si>
  <si>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</si>
  <si>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</si>
  <si>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</si>
  <si>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</si>
  <si>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</si>
  <si>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</si>
  <si>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</si>
  <si>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</si>
  <si>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</si>
  <si>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r>
      <t>Availability</t>
    </r>
    <r>
      <rPr>
        <b/>
        <sz val="10"/>
        <rFont val="Tahoma"/>
        <family val="2"/>
      </rPr>
      <t xml:space="preserve"> (Overall)</t>
    </r>
  </si>
  <si>
    <t>PT MULTI KONTROL NUSANTARA</t>
  </si>
  <si>
    <t>Sangatta Operation</t>
  </si>
  <si>
    <t>KPC BACKBONE ALCATEL-LUCENT</t>
  </si>
  <si>
    <t>M5 to SURYA ODU 1</t>
  </si>
  <si>
    <t>M5 to HATARI</t>
  </si>
  <si>
    <t>SURYA to BINTANG</t>
  </si>
  <si>
    <t>BINTANG to AB</t>
  </si>
  <si>
    <t>AB to FARNORTH</t>
  </si>
  <si>
    <t>HATARI to AB</t>
  </si>
  <si>
    <t>FARNORTH to 15000</t>
  </si>
  <si>
    <t>P11 to PTH</t>
  </si>
  <si>
    <t>M5 to PTH</t>
  </si>
  <si>
    <t>PTH to LBTT</t>
  </si>
  <si>
    <t xml:space="preserve"> HATARI to AB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</si>
  <si>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</si>
  <si>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</si>
  <si>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</si>
  <si>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</si>
  <si>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</si>
  <si>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</si>
  <si>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</si>
  <si>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</si>
  <si>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</si>
  <si>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</t>
  </si>
  <si>
    <t>11</t>
  </si>
  <si>
    <t>FARNORTH to HT Middle</t>
  </si>
  <si>
    <t>FARNORTH to Lignit</t>
  </si>
  <si>
    <t>12</t>
  </si>
  <si>
    <t>13</t>
  </si>
  <si>
    <t>FARNORTH to HT MIDDLE</t>
  </si>
  <si>
    <t>FARNORTH to LIGNIT</t>
  </si>
  <si>
    <t>LBTT to 15K</t>
  </si>
  <si>
    <t>LBTT to 15000</t>
  </si>
  <si>
    <t xml:space="preserve">M5 to SURYA ODU </t>
  </si>
  <si>
    <t>31</t>
  </si>
  <si>
    <t>α</t>
  </si>
  <si>
    <t xml:space="preserve">            SU to BIG Loss Signal </t>
  </si>
  <si>
    <t>Remaks</t>
  </si>
  <si>
    <t>14</t>
  </si>
  <si>
    <t>6 Des 2022</t>
  </si>
  <si>
    <t>14 Des 2022</t>
  </si>
  <si>
    <t>15 des 2022</t>
  </si>
  <si>
    <t>16 Des 2022</t>
  </si>
  <si>
    <t>17 Des 2022</t>
  </si>
  <si>
    <t>18 Des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</si>
</sst>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mmmm\-yy;@"/>
    <numFmt numFmtId="165" formatCode="[$-409]d\-mmm\-yyyy;@"/>
  </numFmts>
  <fonts count="43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9"/>
      <name val="Tahoma"/>
      <family val="2"/>
    </font>
    <font>
      <b/>
      <sz val="9"/>
      <name val="Tahoma"/>
      <family val="2"/>
    </font>
    <font>
      <sz val="8"/>
      <name val="Calibri"/>
      <family val="2"/>
    </font>
    <font>
      <b/>
      <sz val="10"/>
      <color rgb="FFFF0000"/>
      <name val="Tahoma"/>
      <family val="2"/>
    </font>
    <font>
      <sz val="14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auto="1"/>
      </bottom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20" fillId="0" borderId="6" applyNumberFormat="0" applyFill="0" applyAlignment="0" applyProtection="0"/>
    <xf numFmtId="164" fontId="21" fillId="0" borderId="7" applyNumberFormat="0" applyFill="0" applyAlignment="0" applyProtection="0"/>
    <xf numFmtId="164" fontId="22" fillId="0" borderId="8" applyNumberFormat="0" applyFill="0" applyAlignment="0" applyProtection="0"/>
    <xf numFmtId="164" fontId="22" fillId="0" borderId="0" applyNumberFormat="0" applyFill="0" applyBorder="0" applyAlignment="0" applyProtection="0"/>
    <xf numFmtId="164" fontId="23" fillId="2" borderId="0" applyNumberFormat="0" applyBorder="0" applyAlignment="0" applyProtection="0"/>
    <xf numFmtId="164" fontId="24" fillId="3" borderId="0" applyNumberFormat="0" applyBorder="0" applyAlignment="0" applyProtection="0"/>
    <xf numFmtId="164" fontId="25" fillId="4" borderId="0" applyNumberFormat="0" applyBorder="0" applyAlignment="0" applyProtection="0"/>
    <xf numFmtId="164" fontId="26" fillId="5" borderId="9" applyNumberFormat="0" applyAlignment="0" applyProtection="0"/>
    <xf numFmtId="164" fontId="27" fillId="6" borderId="10" applyNumberFormat="0" applyAlignment="0" applyProtection="0"/>
    <xf numFmtId="164" fontId="28" fillId="6" borderId="9" applyNumberFormat="0" applyAlignment="0" applyProtection="0"/>
    <xf numFmtId="164" fontId="29" fillId="0" borderId="11" applyNumberFormat="0" applyFill="0" applyAlignment="0" applyProtection="0"/>
    <xf numFmtId="164" fontId="30" fillId="7" borderId="12" applyNumberFormat="0" applyAlignment="0" applyProtection="0"/>
    <xf numFmtId="164" fontId="31" fillId="0" borderId="0" applyNumberFormat="0" applyFill="0" applyBorder="0" applyAlignment="0" applyProtection="0"/>
    <xf numFmtId="164" fontId="32" fillId="0" borderId="0" applyNumberFormat="0" applyFill="0" applyBorder="0" applyAlignment="0" applyProtection="0"/>
    <xf numFmtId="164" fontId="33" fillId="0" borderId="14" applyNumberFormat="0" applyFill="0" applyAlignment="0" applyProtection="0"/>
    <xf numFmtId="164" fontId="34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4" fillId="12" borderId="0" applyNumberFormat="0" applyBorder="0" applyAlignment="0" applyProtection="0"/>
    <xf numFmtId="164" fontId="34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4" fillId="16" borderId="0" applyNumberFormat="0" applyBorder="0" applyAlignment="0" applyProtection="0"/>
    <xf numFmtId="164" fontId="34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4" fillId="20" borderId="0" applyNumberFormat="0" applyBorder="0" applyAlignment="0" applyProtection="0"/>
    <xf numFmtId="164" fontId="34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4" fillId="24" borderId="0" applyNumberFormat="0" applyBorder="0" applyAlignment="0" applyProtection="0"/>
    <xf numFmtId="164" fontId="34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4" fillId="28" borderId="0" applyNumberFormat="0" applyBorder="0" applyAlignment="0" applyProtection="0"/>
    <xf numFmtId="164" fontId="34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4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123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11" fillId="0" borderId="0" xfId="0" applyFont="1" applyBorder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 applyAlignment="1"/>
    <xf numFmtId="164" fontId="6" fillId="0" borderId="0" xfId="0" applyFont="1"/>
    <xf numFmtId="164" fontId="6" fillId="0" borderId="0" xfId="0" applyFont="1" applyBorder="1" applyAlignment="1">
      <alignment horizontal="center"/>
    </xf>
    <xf numFmtId="164" fontId="6" fillId="0" borderId="0" xfId="0" applyFont="1" applyAlignment="1">
      <alignment horizontal="center"/>
    </xf>
    <xf numFmtId="164" fontId="6" fillId="0" borderId="0" xfId="0" applyFont="1" applyAlignment="1"/>
    <xf numFmtId="164" fontId="15" fillId="0" borderId="0" xfId="0" applyFont="1"/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Border="1" applyAlignment="1">
      <alignment horizontal="left"/>
    </xf>
    <xf numFmtId="164" fontId="8" fillId="0" borderId="0" xfId="0" applyFont="1" applyBorder="1"/>
    <xf numFmtId="164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164" fontId="9" fillId="0" borderId="0" xfId="0" applyFont="1" applyAlignment="1"/>
    <xf numFmtId="21" fontId="6" fillId="0" borderId="0" xfId="0" applyNumberFormat="1" applyFont="1"/>
    <xf numFmtId="164" fontId="35" fillId="0" borderId="1" xfId="0" applyFont="1" applyBorder="1"/>
    <xf numFmtId="10" fontId="6" fillId="0" borderId="1" xfId="0" applyNumberFormat="1" applyFont="1" applyBorder="1" applyAlignment="1">
      <alignment horizontal="center"/>
    </xf>
    <xf numFmtId="164" fontId="0" fillId="0" borderId="15" xfId="0" applyBorder="1"/>
    <xf numFmtId="164" fontId="0" fillId="0" borderId="3" xfId="0" applyBorder="1"/>
    <xf numFmtId="164" fontId="18" fillId="0" borderId="1" xfId="0" applyFont="1" applyBorder="1"/>
    <xf numFmtId="10" fontId="6" fillId="0" borderId="3" xfId="0" applyNumberFormat="1" applyFont="1" applyBorder="1" applyAlignment="1">
      <alignment horizontal="center"/>
    </xf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49" fontId="6" fillId="0" borderId="3" xfId="0" applyNumberFormat="1" applyFont="1" applyBorder="1" applyAlignment="1">
      <alignment horizontal="center"/>
    </xf>
    <xf numFmtId="49" fontId="8" fillId="0" borderId="0" xfId="0" applyNumberFormat="1" applyFont="1" applyBorder="1" applyAlignment="1">
      <alignment horizontal="left" vertical="center"/>
    </xf>
    <xf numFmtId="164" fontId="36" fillId="0" borderId="0" xfId="0" applyFont="1" applyBorder="1" applyAlignment="1">
      <alignment horizontal="left" vertical="center"/>
    </xf>
    <xf numFmtId="164" fontId="6" fillId="0" borderId="0" xfId="0" applyFont="1" applyBorder="1"/>
    <xf numFmtId="0" fontId="6" fillId="0" borderId="0" xfId="0" applyNumberFormat="1" applyFont="1" applyBorder="1" applyAlignment="1">
      <alignment horizontal="left" vertical="top" wrapText="1"/>
    </xf>
    <xf numFmtId="16" fontId="8" fillId="0" borderId="18" xfId="0" applyNumberFormat="1" applyFont="1" applyBorder="1" applyAlignment="1">
      <alignment horizontal="center"/>
    </xf>
    <xf numFmtId="164" fontId="0" fillId="0" borderId="20" xfId="0" applyBorder="1" applyAlignment="1">
      <alignment horizontal="center"/>
    </xf>
    <xf numFmtId="49" fontId="6" fillId="0" borderId="21" xfId="0" applyNumberFormat="1" applyFont="1" applyBorder="1" applyAlignment="1">
      <alignment horizontal="center"/>
    </xf>
    <xf numFmtId="164" fontId="35" fillId="0" borderId="3" xfId="0" applyFont="1" applyBorder="1"/>
    <xf numFmtId="164" fontId="18" fillId="0" borderId="3" xfId="0" applyFont="1" applyBorder="1"/>
    <xf numFmtId="0" fontId="6" fillId="0" borderId="0" xfId="0" applyNumberFormat="1" applyFont="1" applyBorder="1" applyAlignment="1">
      <alignment horizontal="center"/>
    </xf>
    <xf numFmtId="164" fontId="35" fillId="0" borderId="0" xfId="0" applyFont="1" applyBorder="1"/>
    <xf numFmtId="10" fontId="6" fillId="0" borderId="0" xfId="0" applyNumberFormat="1" applyFont="1" applyBorder="1" applyAlignment="1">
      <alignment horizontal="center"/>
    </xf>
    <xf numFmtId="46" fontId="0" fillId="0" borderId="0" xfId="0" applyNumberFormat="1" applyBorder="1" applyAlignment="1">
      <alignment horizontal="center"/>
    </xf>
    <xf numFmtId="164" fontId="18" fillId="0" borderId="5" xfId="0" applyFont="1" applyBorder="1"/>
    <xf numFmtId="1" fontId="6" fillId="0" borderId="1" xfId="0" applyNumberFormat="1" applyFont="1" applyBorder="1" applyAlignment="1">
      <alignment horizontal="center" vertical="center"/>
    </xf>
    <xf numFmtId="164" fontId="35" fillId="0" borderId="1" xfId="0" applyFont="1" applyFill="1" applyBorder="1"/>
    <xf numFmtId="164" fontId="37" fillId="0" borderId="1" xfId="0" applyFont="1" applyBorder="1" applyAlignment="1">
      <alignment vertical="center"/>
    </xf>
    <xf numFmtId="46" fontId="0" fillId="33" borderId="0" xfId="0" applyNumberFormat="1" applyFill="1" applyBorder="1"/>
    <xf numFmtId="164" fontId="6" fillId="0" borderId="0" xfId="0" applyFont="1" applyBorder="1" applyAlignment="1"/>
    <xf numFmtId="49" fontId="6" fillId="0" borderId="1" xfId="0" applyNumberFormat="1" applyFont="1" applyBorder="1" applyAlignment="1">
      <alignment horizontal="center"/>
    </xf>
    <xf numFmtId="1" fontId="6" fillId="0" borderId="0" xfId="0" applyNumberFormat="1" applyFont="1" applyAlignment="1"/>
    <xf numFmtId="1" fontId="11" fillId="0" borderId="0" xfId="0" applyNumberFormat="1" applyFont="1" applyBorder="1" applyAlignment="1">
      <alignment horizontal="center"/>
    </xf>
    <xf numFmtId="1" fontId="13" fillId="0" borderId="0" xfId="0" applyNumberFormat="1" applyFont="1" applyAlignment="1"/>
    <xf numFmtId="164" fontId="0" fillId="0" borderId="2" xfId="0" applyBorder="1"/>
    <xf numFmtId="164" fontId="0" fillId="0" borderId="1" xfId="0" applyBorder="1"/>
    <xf numFmtId="164" fontId="6" fillId="0" borderId="2" xfId="0" applyFont="1" applyBorder="1"/>
    <xf numFmtId="164" fontId="6" fillId="0" borderId="22" xfId="0" applyFont="1" applyBorder="1"/>
    <xf numFmtId="164" fontId="36" fillId="0" borderId="4" xfId="0" applyFont="1" applyBorder="1" applyAlignment="1">
      <alignment vertical="center"/>
    </xf>
    <xf numFmtId="164" fontId="37" fillId="0" borderId="3" xfId="0" applyFont="1" applyBorder="1" applyAlignment="1">
      <alignment vertical="center"/>
    </xf>
    <xf numFmtId="164" fontId="38" fillId="0" borderId="0" xfId="0" applyFont="1" applyAlignment="1"/>
    <xf numFmtId="164" fontId="8" fillId="0" borderId="0" xfId="0" applyFont="1" applyAlignment="1"/>
    <xf numFmtId="165" fontId="39" fillId="0" borderId="5" xfId="0" applyNumberFormat="1" applyFont="1" applyBorder="1" applyAlignment="1">
      <alignment horizontal="center" vertical="center"/>
    </xf>
    <xf numFmtId="46" fontId="0" fillId="0" borderId="0" xfId="0" applyNumberFormat="1" applyBorder="1"/>
    <xf numFmtId="164" fontId="0" fillId="0" borderId="0" xfId="0" applyFill="1"/>
    <xf numFmtId="164" fontId="40" fillId="0" borderId="0" xfId="0" applyFont="1" applyAlignment="1"/>
    <xf numFmtId="164" fontId="13" fillId="0" borderId="0" xfId="0" applyFont="1" applyFill="1" applyAlignment="1"/>
    <xf numFmtId="165" fontId="39" fillId="0" borderId="1" xfId="0" applyNumberFormat="1" applyFont="1" applyBorder="1" applyAlignment="1">
      <alignment horizontal="center" vertical="center"/>
    </xf>
    <xf numFmtId="164" fontId="6" fillId="0" borderId="0" xfId="0" applyFont="1" applyAlignment="1">
      <alignment horizontal="left"/>
    </xf>
    <xf numFmtId="164" fontId="8" fillId="0" borderId="0" xfId="0" applyFont="1"/>
    <xf numFmtId="164" fontId="36" fillId="0" borderId="0" xfId="0" applyFont="1" applyBorder="1" applyAlignment="1">
      <alignment horizontal="center" vertical="center" wrapText="1"/>
    </xf>
    <xf numFmtId="165" fontId="39" fillId="0" borderId="0" xfId="0" applyNumberFormat="1" applyFont="1" applyBorder="1" applyAlignment="1">
      <alignment horizontal="center" vertical="center"/>
    </xf>
    <xf numFmtId="164" fontId="39" fillId="0" borderId="0" xfId="0" applyFont="1" applyBorder="1" applyAlignment="1">
      <alignment horizontal="left" vertical="center"/>
    </xf>
    <xf numFmtId="165" fontId="39" fillId="0" borderId="4" xfId="0" applyNumberFormat="1" applyFont="1" applyBorder="1" applyAlignment="1">
      <alignment horizontal="center" vertical="center"/>
    </xf>
    <xf numFmtId="46" fontId="0" fillId="0" borderId="1" xfId="0" applyNumberFormat="1" applyBorder="1" applyAlignment="1">
      <alignment horizontal="center" vertical="center"/>
    </xf>
    <xf numFmtId="46" fontId="0" fillId="0" borderId="3" xfId="0" applyNumberFormat="1" applyBorder="1" applyAlignment="1">
      <alignment horizontal="center" vertical="center"/>
    </xf>
    <xf numFmtId="164" fontId="6" fillId="0" borderId="0" xfId="0" applyFont="1" applyFill="1"/>
    <xf numFmtId="0" fontId="6" fillId="0" borderId="23" xfId="0" applyNumberFormat="1" applyFont="1" applyBorder="1" applyAlignment="1">
      <alignment horizontal="left" vertical="top" wrapText="1"/>
    </xf>
    <xf numFmtId="164" fontId="41" fillId="0" borderId="0" xfId="0" applyFont="1"/>
    <xf numFmtId="164" fontId="41" fillId="0" borderId="0" xfId="0" applyFont="1" applyFill="1" applyBorder="1"/>
    <xf numFmtId="164" fontId="36" fillId="0" borderId="15" xfId="0" applyFont="1" applyBorder="1" applyAlignment="1">
      <alignment horizontal="center" wrapText="1"/>
    </xf>
    <xf numFmtId="164" fontId="39" fillId="0" borderId="23" xfId="0" applyFont="1" applyBorder="1" applyAlignment="1">
      <alignment horizontal="left" vertical="top"/>
    </xf>
    <xf numFmtId="164" fontId="39" fillId="0" borderId="23" xfId="0" applyFont="1" applyBorder="1" applyAlignment="1">
      <alignment horizontal="left" vertical="center"/>
    </xf>
    <xf numFmtId="164" fontId="12" fillId="0" borderId="1" xfId="0" applyFont="1" applyBorder="1" applyAlignment="1">
      <alignment horizontal="left" vertical="center"/>
    </xf>
    <xf numFmtId="164" fontId="36" fillId="0" borderId="0" xfId="0" applyFont="1" applyBorder="1" applyAlignment="1">
      <alignment horizontal="center" wrapText="1"/>
    </xf>
    <xf numFmtId="164" fontId="39" fillId="0" borderId="2" xfId="0" applyFont="1" applyBorder="1" applyAlignment="1">
      <alignment horizontal="left" vertical="center"/>
    </xf>
    <xf numFmtId="164" fontId="39" fillId="0" borderId="0" xfId="0" applyFont="1" applyBorder="1" applyAlignment="1">
      <alignment horizontal="left" vertical="top"/>
    </xf>
    <xf numFmtId="164" fontId="38" fillId="0" borderId="23" xfId="0" applyFont="1" applyBorder="1" applyAlignment="1">
      <alignment horizontal="center" vertical="center"/>
    </xf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164" fontId="39" fillId="0" borderId="0" xfId="0" applyFont="1" applyBorder="1" applyAlignment="1">
      <alignment horizontal="left" vertical="center"/>
    </xf>
    <xf numFmtId="164" fontId="39" fillId="0" borderId="4" xfId="0" applyFont="1" applyBorder="1" applyAlignment="1">
      <alignment vertical="center"/>
    </xf>
    <xf numFmtId="164" fontId="39" fillId="0" borderId="23" xfId="0" applyFont="1" applyBorder="1" applyAlignment="1">
      <alignment vertical="center"/>
    </xf>
    <xf numFmtId="164" fontId="39" fillId="0" borderId="2" xfId="0" applyFont="1" applyBorder="1" applyAlignment="1">
      <alignment vertical="center"/>
    </xf>
    <xf numFmtId="164" fontId="39" fillId="0" borderId="4" xfId="0" applyFont="1" applyBorder="1" applyAlignment="1">
      <alignment horizontal="left" vertical="center"/>
    </xf>
    <xf numFmtId="164" fontId="39" fillId="0" borderId="23" xfId="0" applyFont="1" applyBorder="1" applyAlignment="1">
      <alignment horizontal="left" vertical="center"/>
    </xf>
    <xf numFmtId="164" fontId="8" fillId="0" borderId="16" xfId="0" applyFont="1" applyBorder="1" applyAlignment="1">
      <alignment horizontal="center" vertical="center" wrapText="1"/>
    </xf>
    <xf numFmtId="164" fontId="8" fillId="0" borderId="19" xfId="0" applyFont="1" applyBorder="1" applyAlignment="1">
      <alignment horizontal="center" vertical="center" wrapText="1"/>
    </xf>
    <xf numFmtId="164" fontId="8" fillId="0" borderId="17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49" fontId="37" fillId="0" borderId="3" xfId="0" applyNumberFormat="1" applyFont="1" applyBorder="1" applyAlignment="1">
      <alignment horizontal="center" vertical="center"/>
    </xf>
    <xf numFmtId="49" fontId="37" fillId="0" borderId="24" xfId="0" applyNumberFormat="1" applyFont="1" applyBorder="1" applyAlignment="1">
      <alignment horizontal="center" vertical="center"/>
    </xf>
    <xf numFmtId="49" fontId="37" fillId="0" borderId="5" xfId="0" applyNumberFormat="1" applyFont="1" applyBorder="1" applyAlignment="1">
      <alignment horizontal="center" vertical="center"/>
    </xf>
    <xf numFmtId="164" fontId="42" fillId="0" borderId="3" xfId="0" applyFont="1" applyBorder="1" applyAlignment="1">
      <alignment horizontal="center" vertical="center"/>
    </xf>
    <xf numFmtId="164" fontId="42" fillId="0" borderId="24" xfId="0" applyFont="1" applyBorder="1" applyAlignment="1">
      <alignment horizontal="center" vertical="center"/>
    </xf>
    <xf numFmtId="164" fontId="42" fillId="0" borderId="5" xfId="0" applyFont="1" applyBorder="1" applyAlignment="1">
      <alignment horizontal="center" vertical="center"/>
    </xf>
    <xf numFmtId="164" fontId="39" fillId="0" borderId="23" xfId="0" applyFont="1" applyBorder="1" applyAlignment="1">
      <alignment horizontal="left" vertical="top"/>
    </xf>
    <xf numFmtId="164" fontId="8" fillId="0" borderId="23" xfId="0" applyFont="1" applyBorder="1" applyAlignment="1">
      <alignment horizontal="left"/>
    </xf>
    <xf numFmtId="164" fontId="39" fillId="0" borderId="4" xfId="0" applyFont="1" applyBorder="1" applyAlignment="1">
      <alignment horizontal="center" vertical="center"/>
    </xf>
    <xf numFmtId="164" fontId="39" fillId="0" borderId="23" xfId="0" applyFont="1" applyBorder="1" applyAlignment="1">
      <alignment horizontal="center" vertical="center"/>
    </xf>
    <xf numFmtId="16" fontId="8" fillId="0" borderId="25" xfId="0" applyNumberFormat="1" applyFont="1" applyBorder="1" applyAlignment="1">
      <alignment horizont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89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81"/>
  <sheetViews>
    <sheetView tabSelected="1" zoomScale="90" zoomScaleNormal="90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AJ33" sqref="AJ33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15" width="10.5703125" style="11" customWidth="1"/>
    <col min="16" max="31" width="10.5703125" customWidth="1"/>
    <col min="32" max="33" width="11.28515625" customWidth="1"/>
    <col min="34" max="34" width="10.42578125" customWidth="1"/>
  </cols>
  <sheetData>
    <row r="1" spans="1:34" s="3" customFormat="1" ht="14.25" x14ac:dyDescent="0.2">
      <c r="A1" s="4" t="s">
        <v>14</v>
      </c>
      <c r="B1" s="5"/>
      <c r="C1" s="6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34" s="3" customFormat="1" ht="14.25" x14ac:dyDescent="0.2">
      <c r="A2" s="4" t="s">
        <v>15</v>
      </c>
      <c r="B2" s="5"/>
      <c r="C2" s="6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1:34" s="3" customFormat="1" x14ac:dyDescent="0.2">
      <c r="A3" s="6"/>
      <c r="B3" s="6"/>
      <c r="C3" s="7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34" s="3" customFormat="1" x14ac:dyDescent="0.2">
      <c r="A4" s="5" t="s">
        <v>4</v>
      </c>
      <c r="B4" s="5"/>
      <c r="C4" s="7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34" s="3" customFormat="1" x14ac:dyDescent="0.2">
      <c r="A5" s="5" t="s">
        <v>3</v>
      </c>
      <c r="B5" s="5"/>
      <c r="C5" s="7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pans="1:34" s="3" customFormat="1" x14ac:dyDescent="0.2">
      <c r="A6" s="6"/>
      <c r="B6" s="6"/>
      <c r="C6" s="7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spans="1:34" s="3" customFormat="1" x14ac:dyDescent="0.2">
      <c r="A7" s="5" t="s">
        <v>5</v>
      </c>
      <c r="B7" s="6"/>
      <c r="C7" s="39">
        <v>44896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1:34" s="3" customFormat="1" x14ac:dyDescent="0.2">
      <c r="A8" s="5" t="s">
        <v>6</v>
      </c>
      <c r="B8" s="8"/>
      <c r="C8" s="41" t="s">
        <v>48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spans="1:34" s="3" customFormat="1" ht="13.5" thickBot="1" x14ac:dyDescent="0.25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spans="1:34" s="3" customFormat="1" x14ac:dyDescent="0.2">
      <c r="A10" s="106" t="s">
        <v>2</v>
      </c>
      <c r="B10" s="108" t="s">
        <v>0</v>
      </c>
      <c r="C10" s="108" t="s">
        <v>8</v>
      </c>
      <c r="D10" s="45">
        <v>44531</v>
      </c>
      <c r="E10" s="45">
        <v>44532</v>
      </c>
      <c r="F10" s="45">
        <v>44533</v>
      </c>
      <c r="G10" s="45">
        <v>44534</v>
      </c>
      <c r="H10" s="45">
        <v>44535</v>
      </c>
      <c r="I10" s="45">
        <v>44536</v>
      </c>
      <c r="J10" s="45">
        <v>44537</v>
      </c>
      <c r="K10" s="45">
        <v>44538</v>
      </c>
      <c r="L10" s="45">
        <v>44539</v>
      </c>
      <c r="M10" s="45">
        <v>44540</v>
      </c>
      <c r="N10" s="45">
        <v>44541</v>
      </c>
      <c r="O10" s="45">
        <v>44542</v>
      </c>
      <c r="P10" s="45">
        <v>44543</v>
      </c>
      <c r="Q10" s="45">
        <v>44544</v>
      </c>
      <c r="R10" s="45">
        <v>44545</v>
      </c>
      <c r="S10" s="45">
        <v>44546</v>
      </c>
      <c r="T10" s="45">
        <v>44547</v>
      </c>
      <c r="U10" s="45">
        <v>44548</v>
      </c>
      <c r="V10" s="45">
        <v>44549</v>
      </c>
      <c r="W10" s="45">
        <v>44550</v>
      </c>
      <c r="X10" s="45">
        <v>44551</v>
      </c>
      <c r="Y10" s="45">
        <v>44552</v>
      </c>
      <c r="Z10" s="45">
        <v>44553</v>
      </c>
      <c r="AA10" s="45">
        <v>44554</v>
      </c>
      <c r="AB10" s="45">
        <v>44555</v>
      </c>
      <c r="AC10" s="45">
        <v>44556</v>
      </c>
      <c r="AD10" s="45">
        <v>44557</v>
      </c>
      <c r="AE10" s="45">
        <v>44558</v>
      </c>
      <c r="AF10" s="45">
        <v>44559</v>
      </c>
      <c r="AG10" s="45">
        <v>44560</v>
      </c>
      <c r="AH10" s="122">
        <v>44561</v>
      </c>
    </row>
    <row r="11" spans="1:34" s="1" customFormat="1" x14ac:dyDescent="0.2">
      <c r="A11" s="107"/>
      <c r="B11" s="109"/>
      <c r="C11" s="109"/>
      <c r="D11" s="10" t="s">
        <v>7</v>
      </c>
      <c r="E11" s="10" t="s">
        <v>7</v>
      </c>
      <c r="F11" s="10" t="s">
        <v>7</v>
      </c>
      <c r="G11" s="10" t="s">
        <v>7</v>
      </c>
      <c r="H11" s="10" t="s">
        <v>7</v>
      </c>
      <c r="I11" s="10" t="s">
        <v>7</v>
      </c>
      <c r="J11" s="10" t="s">
        <v>7</v>
      </c>
      <c r="K11" s="10" t="s">
        <v>7</v>
      </c>
      <c r="L11" s="10" t="s">
        <v>7</v>
      </c>
      <c r="M11" s="10" t="s">
        <v>7</v>
      </c>
      <c r="N11" s="10" t="s">
        <v>7</v>
      </c>
      <c r="O11" s="10" t="s">
        <v>7</v>
      </c>
      <c r="P11" s="10" t="s">
        <v>7</v>
      </c>
      <c r="Q11" s="10" t="s">
        <v>7</v>
      </c>
      <c r="R11" s="10" t="s">
        <v>7</v>
      </c>
      <c r="S11" s="10" t="s">
        <v>7</v>
      </c>
      <c r="T11" s="10" t="s">
        <v>7</v>
      </c>
      <c r="U11" s="10" t="s">
        <v>7</v>
      </c>
      <c r="V11" s="10" t="s">
        <v>7</v>
      </c>
      <c r="W11" s="10" t="s">
        <v>7</v>
      </c>
      <c r="X11" s="10" t="s">
        <v>7</v>
      </c>
      <c r="Y11" s="10" t="s">
        <v>7</v>
      </c>
      <c r="Z11" s="10" t="s">
        <v>7</v>
      </c>
      <c r="AA11" s="10" t="s">
        <v>7</v>
      </c>
      <c r="AB11" s="10" t="s">
        <v>7</v>
      </c>
      <c r="AC11" s="10" t="s">
        <v>7</v>
      </c>
      <c r="AD11" s="10" t="s">
        <v>7</v>
      </c>
      <c r="AE11" s="10" t="s">
        <v>7</v>
      </c>
      <c r="AF11" s="10" t="s">
        <v>7</v>
      </c>
      <c r="AG11" s="10" t="s">
        <v>7</v>
      </c>
      <c r="AH11" s="93" t="s">
        <v>7</v>
      </c>
    </row>
    <row r="12" spans="1:34" x14ac:dyDescent="0.2">
      <c r="A12" s="46"/>
      <c r="B12" s="34"/>
      <c r="C12" s="35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65"/>
      <c r="AG12" s="64"/>
      <c r="AH12" s="65"/>
    </row>
    <row r="13" spans="1:34" s="12" customFormat="1" ht="15.75" x14ac:dyDescent="0.25">
      <c r="A13" s="47" t="s">
        <v>37</v>
      </c>
      <c r="B13" s="32" t="s">
        <v>17</v>
      </c>
      <c r="C13" s="36"/>
      <c r="D13" s="84">
        <v>0</v>
      </c>
      <c r="E13" s="84">
        <v>0</v>
      </c>
      <c r="F13" s="84">
        <v>0</v>
      </c>
      <c r="G13" s="84">
        <v>0</v>
      </c>
      <c r="H13" s="84">
        <v>0</v>
      </c>
      <c r="I13" s="84">
        <v>0</v>
      </c>
      <c r="J13" s="84">
        <v>0</v>
      </c>
      <c r="K13" s="84">
        <v>0</v>
      </c>
      <c r="L13" s="84">
        <v>0</v>
      </c>
      <c r="M13" s="84">
        <v>0</v>
      </c>
      <c r="N13" s="84">
        <v>0</v>
      </c>
      <c r="O13" s="84">
        <v>0</v>
      </c>
      <c r="P13" s="84">
        <v>0</v>
      </c>
      <c r="Q13" s="84">
        <v>0</v>
      </c>
      <c r="R13" s="84">
        <v>0</v>
      </c>
      <c r="S13" s="84">
        <v>0</v>
      </c>
      <c r="T13" s="84">
        <v>0</v>
      </c>
      <c r="U13" s="84">
        <v>0</v>
      </c>
      <c r="V13" s="84">
        <v>0</v>
      </c>
      <c r="W13" s="84">
        <v>0</v>
      </c>
      <c r="X13" s="84">
        <v>0</v>
      </c>
      <c r="Y13" s="84">
        <v>0</v>
      </c>
      <c r="Z13" s="84">
        <v>0</v>
      </c>
      <c r="AA13" s="84">
        <v>0</v>
      </c>
      <c r="AB13" s="84">
        <v>0</v>
      </c>
      <c r="AC13" s="84">
        <v>0</v>
      </c>
      <c r="AD13" s="84">
        <v>0</v>
      </c>
      <c r="AE13" s="85">
        <v>0</v>
      </c>
      <c r="AF13" s="84">
        <v>0</v>
      </c>
      <c r="AG13" s="84">
        <v>0</v>
      </c>
      <c r="AH13" s="84">
        <v>0</v>
      </c>
    </row>
    <row r="14" spans="1:34" s="12" customFormat="1" ht="15.75" x14ac:dyDescent="0.25">
      <c r="A14" s="47" t="s">
        <v>28</v>
      </c>
      <c r="B14" s="32" t="s">
        <v>25</v>
      </c>
      <c r="C14" s="36"/>
      <c r="D14" s="84">
        <v>0</v>
      </c>
      <c r="E14" s="84">
        <v>0</v>
      </c>
      <c r="F14" s="84">
        <v>0</v>
      </c>
      <c r="G14" s="84">
        <v>0</v>
      </c>
      <c r="H14" s="84">
        <v>0</v>
      </c>
      <c r="I14" s="84">
        <v>0</v>
      </c>
      <c r="J14" s="84">
        <v>0</v>
      </c>
      <c r="K14" s="84">
        <v>0</v>
      </c>
      <c r="L14" s="84">
        <v>0</v>
      </c>
      <c r="M14" s="84">
        <v>0</v>
      </c>
      <c r="N14" s="84">
        <v>0</v>
      </c>
      <c r="O14" s="84">
        <v>0</v>
      </c>
      <c r="P14" s="84">
        <v>0</v>
      </c>
      <c r="Q14" s="84">
        <v>0</v>
      </c>
      <c r="R14" s="84">
        <v>0</v>
      </c>
      <c r="S14" s="84">
        <v>0</v>
      </c>
      <c r="T14" s="84">
        <v>0</v>
      </c>
      <c r="U14" s="84">
        <v>0</v>
      </c>
      <c r="V14" s="84">
        <v>0</v>
      </c>
      <c r="W14" s="84">
        <v>0</v>
      </c>
      <c r="X14" s="84">
        <v>0</v>
      </c>
      <c r="Y14" s="84">
        <v>0</v>
      </c>
      <c r="Z14" s="84">
        <v>0</v>
      </c>
      <c r="AA14" s="84">
        <v>0</v>
      </c>
      <c r="AB14" s="84">
        <v>0</v>
      </c>
      <c r="AC14" s="84">
        <v>0</v>
      </c>
      <c r="AD14" s="84">
        <v>0</v>
      </c>
      <c r="AE14" s="85">
        <v>0</v>
      </c>
      <c r="AF14" s="84">
        <v>0</v>
      </c>
      <c r="AG14" s="84">
        <v>0</v>
      </c>
      <c r="AH14" s="84">
        <v>0</v>
      </c>
    </row>
    <row r="15" spans="1:34" s="12" customFormat="1" ht="15.75" x14ac:dyDescent="0.25">
      <c r="A15" s="47" t="s">
        <v>29</v>
      </c>
      <c r="B15" s="32" t="s">
        <v>18</v>
      </c>
      <c r="C15" s="36"/>
      <c r="D15" s="84">
        <v>0</v>
      </c>
      <c r="E15" s="84">
        <v>0</v>
      </c>
      <c r="F15" s="84">
        <v>0</v>
      </c>
      <c r="G15" s="84">
        <v>0</v>
      </c>
      <c r="H15" s="84">
        <v>0</v>
      </c>
      <c r="I15" s="84">
        <v>0</v>
      </c>
      <c r="J15" s="84">
        <v>0</v>
      </c>
      <c r="K15" s="84">
        <v>0</v>
      </c>
      <c r="L15" s="84">
        <v>0</v>
      </c>
      <c r="M15" s="84">
        <v>0</v>
      </c>
      <c r="N15" s="84">
        <v>0</v>
      </c>
      <c r="O15" s="84">
        <v>0</v>
      </c>
      <c r="P15" s="84">
        <v>0</v>
      </c>
      <c r="Q15" s="84">
        <v>0</v>
      </c>
      <c r="R15" s="84">
        <v>0</v>
      </c>
      <c r="S15" s="84">
        <v>0</v>
      </c>
      <c r="T15" s="84">
        <v>0</v>
      </c>
      <c r="U15" s="84">
        <v>0</v>
      </c>
      <c r="V15" s="84">
        <v>0</v>
      </c>
      <c r="W15" s="84">
        <v>0</v>
      </c>
      <c r="X15" s="84">
        <v>0</v>
      </c>
      <c r="Y15" s="84">
        <v>0</v>
      </c>
      <c r="Z15" s="84">
        <v>0</v>
      </c>
      <c r="AA15" s="84">
        <v>0</v>
      </c>
      <c r="AB15" s="84">
        <v>0</v>
      </c>
      <c r="AC15" s="84">
        <v>0</v>
      </c>
      <c r="AD15" s="84">
        <v>0</v>
      </c>
      <c r="AE15" s="85">
        <v>0</v>
      </c>
      <c r="AF15" s="84">
        <v>0</v>
      </c>
      <c r="AG15" s="84">
        <v>0</v>
      </c>
      <c r="AH15" s="84">
        <v>0</v>
      </c>
    </row>
    <row r="16" spans="1:34" s="12" customFormat="1" ht="15.75" x14ac:dyDescent="0.25">
      <c r="A16" s="47" t="s">
        <v>30</v>
      </c>
      <c r="B16" s="32" t="s">
        <v>19</v>
      </c>
      <c r="C16" s="36"/>
      <c r="D16" s="84">
        <v>0</v>
      </c>
      <c r="E16" s="84">
        <v>0</v>
      </c>
      <c r="F16" s="84">
        <v>0</v>
      </c>
      <c r="G16" s="84">
        <v>0</v>
      </c>
      <c r="H16" s="84">
        <v>0</v>
      </c>
      <c r="I16" s="84">
        <v>7.1296296296296307E-3</v>
      </c>
      <c r="J16" s="84">
        <v>0</v>
      </c>
      <c r="K16" s="84">
        <v>0</v>
      </c>
      <c r="L16" s="84">
        <v>0</v>
      </c>
      <c r="M16" s="84">
        <v>0</v>
      </c>
      <c r="N16" s="84">
        <v>0</v>
      </c>
      <c r="O16" s="84">
        <v>0</v>
      </c>
      <c r="P16" s="84">
        <v>0</v>
      </c>
      <c r="Q16" s="84">
        <v>1.0729166666666666E-2</v>
      </c>
      <c r="R16" s="84">
        <v>1.545138888888889E-2</v>
      </c>
      <c r="S16" s="84">
        <v>0.14188657407407407</v>
      </c>
      <c r="T16" s="84">
        <v>0.24952546296296296</v>
      </c>
      <c r="U16" s="84">
        <v>1.7789351851851851E-2</v>
      </c>
      <c r="V16" s="84">
        <v>0</v>
      </c>
      <c r="W16" s="84">
        <v>0</v>
      </c>
      <c r="X16" s="84">
        <v>0</v>
      </c>
      <c r="Y16" s="84">
        <v>0</v>
      </c>
      <c r="Z16" s="84">
        <v>0</v>
      </c>
      <c r="AA16" s="84">
        <v>0</v>
      </c>
      <c r="AB16" s="84">
        <v>0</v>
      </c>
      <c r="AC16" s="84">
        <v>0</v>
      </c>
      <c r="AD16" s="84">
        <v>0</v>
      </c>
      <c r="AE16" s="84">
        <v>0</v>
      </c>
      <c r="AF16" s="84">
        <v>0</v>
      </c>
      <c r="AG16" s="84">
        <v>0</v>
      </c>
      <c r="AH16" s="84">
        <v>0</v>
      </c>
    </row>
    <row r="17" spans="1:38" s="12" customFormat="1" ht="15.75" x14ac:dyDescent="0.25">
      <c r="A17" s="47" t="s">
        <v>31</v>
      </c>
      <c r="B17" s="32" t="s">
        <v>20</v>
      </c>
      <c r="C17" s="36"/>
      <c r="D17" s="84">
        <v>0</v>
      </c>
      <c r="E17" s="84">
        <v>0</v>
      </c>
      <c r="F17" s="84">
        <v>0</v>
      </c>
      <c r="G17" s="84">
        <v>0</v>
      </c>
      <c r="H17" s="84">
        <v>0</v>
      </c>
      <c r="I17" s="84">
        <v>0</v>
      </c>
      <c r="J17" s="84">
        <v>0</v>
      </c>
      <c r="K17" s="84">
        <v>0</v>
      </c>
      <c r="L17" s="84">
        <v>0</v>
      </c>
      <c r="M17" s="84">
        <v>0</v>
      </c>
      <c r="N17" s="84">
        <v>0</v>
      </c>
      <c r="O17" s="84">
        <v>0</v>
      </c>
      <c r="P17" s="84">
        <v>0</v>
      </c>
      <c r="Q17" s="84">
        <v>0</v>
      </c>
      <c r="R17" s="84">
        <v>0</v>
      </c>
      <c r="S17" s="84">
        <v>0</v>
      </c>
      <c r="T17" s="84">
        <v>0</v>
      </c>
      <c r="U17" s="84">
        <v>0</v>
      </c>
      <c r="V17" s="84">
        <v>0</v>
      </c>
      <c r="W17" s="84">
        <v>0</v>
      </c>
      <c r="X17" s="84">
        <v>0</v>
      </c>
      <c r="Y17" s="84">
        <v>0</v>
      </c>
      <c r="Z17" s="84">
        <v>0</v>
      </c>
      <c r="AA17" s="84">
        <v>0</v>
      </c>
      <c r="AB17" s="84">
        <v>0</v>
      </c>
      <c r="AC17" s="84">
        <v>0</v>
      </c>
      <c r="AD17" s="84">
        <v>0</v>
      </c>
      <c r="AE17" s="84">
        <v>0</v>
      </c>
      <c r="AF17" s="84">
        <v>0</v>
      </c>
      <c r="AG17" s="84">
        <v>0</v>
      </c>
      <c r="AH17" s="84">
        <v>0</v>
      </c>
    </row>
    <row r="18" spans="1:38" s="12" customFormat="1" ht="15.75" x14ac:dyDescent="0.25">
      <c r="A18" s="47" t="s">
        <v>32</v>
      </c>
      <c r="B18" s="32" t="s">
        <v>21</v>
      </c>
      <c r="C18" s="36"/>
      <c r="D18" s="84">
        <v>0</v>
      </c>
      <c r="E18" s="84">
        <v>0</v>
      </c>
      <c r="F18" s="84">
        <v>0</v>
      </c>
      <c r="G18" s="84">
        <v>0</v>
      </c>
      <c r="H18" s="84">
        <v>0</v>
      </c>
      <c r="I18" s="84">
        <v>0</v>
      </c>
      <c r="J18" s="84">
        <v>0</v>
      </c>
      <c r="K18" s="84">
        <v>0</v>
      </c>
      <c r="L18" s="84">
        <v>0</v>
      </c>
      <c r="M18" s="84">
        <v>0</v>
      </c>
      <c r="N18" s="84">
        <v>0</v>
      </c>
      <c r="O18" s="84">
        <v>0</v>
      </c>
      <c r="P18" s="84">
        <v>0</v>
      </c>
      <c r="Q18" s="84">
        <v>0</v>
      </c>
      <c r="R18" s="84">
        <v>0</v>
      </c>
      <c r="S18" s="84">
        <v>0</v>
      </c>
      <c r="T18" s="84">
        <v>0</v>
      </c>
      <c r="U18" s="84">
        <v>0</v>
      </c>
      <c r="V18" s="84">
        <v>0</v>
      </c>
      <c r="W18" s="84">
        <v>0</v>
      </c>
      <c r="X18" s="84">
        <v>0</v>
      </c>
      <c r="Y18" s="84">
        <v>0</v>
      </c>
      <c r="Z18" s="84">
        <v>0</v>
      </c>
      <c r="AA18" s="84">
        <v>0</v>
      </c>
      <c r="AB18" s="84">
        <v>0</v>
      </c>
      <c r="AC18" s="84">
        <v>0</v>
      </c>
      <c r="AD18" s="84">
        <v>0</v>
      </c>
      <c r="AE18" s="84">
        <v>0</v>
      </c>
      <c r="AF18" s="84">
        <v>0</v>
      </c>
      <c r="AG18" s="84">
        <v>0</v>
      </c>
      <c r="AH18" s="84">
        <v>0</v>
      </c>
      <c r="AL18" s="73"/>
    </row>
    <row r="19" spans="1:38" s="12" customFormat="1" ht="15.75" x14ac:dyDescent="0.25">
      <c r="A19" s="47" t="s">
        <v>33</v>
      </c>
      <c r="B19" s="32" t="s">
        <v>22</v>
      </c>
      <c r="C19" s="36"/>
      <c r="D19" s="84">
        <v>0</v>
      </c>
      <c r="E19" s="84">
        <v>0</v>
      </c>
      <c r="F19" s="84">
        <v>0</v>
      </c>
      <c r="G19" s="84">
        <v>0</v>
      </c>
      <c r="H19" s="84">
        <v>0</v>
      </c>
      <c r="I19" s="84">
        <v>0</v>
      </c>
      <c r="J19" s="84">
        <v>0</v>
      </c>
      <c r="K19" s="84">
        <v>0</v>
      </c>
      <c r="L19" s="84">
        <v>0</v>
      </c>
      <c r="M19" s="84">
        <v>0</v>
      </c>
      <c r="N19" s="84">
        <v>0</v>
      </c>
      <c r="O19" s="84">
        <v>0</v>
      </c>
      <c r="P19" s="84">
        <v>0</v>
      </c>
      <c r="Q19" s="84">
        <v>0</v>
      </c>
      <c r="R19" s="84">
        <v>0</v>
      </c>
      <c r="S19" s="84">
        <v>0</v>
      </c>
      <c r="T19" s="84">
        <v>0</v>
      </c>
      <c r="U19" s="84">
        <v>0</v>
      </c>
      <c r="V19" s="84">
        <v>0</v>
      </c>
      <c r="W19" s="84">
        <v>0</v>
      </c>
      <c r="X19" s="84">
        <v>0</v>
      </c>
      <c r="Y19" s="84">
        <v>0</v>
      </c>
      <c r="Z19" s="84">
        <v>0</v>
      </c>
      <c r="AA19" s="84">
        <v>0</v>
      </c>
      <c r="AB19" s="84">
        <v>0</v>
      </c>
      <c r="AC19" s="84">
        <v>0</v>
      </c>
      <c r="AD19" s="84">
        <v>0</v>
      </c>
      <c r="AE19" s="84">
        <v>0</v>
      </c>
      <c r="AF19" s="84">
        <v>0</v>
      </c>
      <c r="AG19" s="84">
        <v>0</v>
      </c>
      <c r="AH19" s="84">
        <v>0</v>
      </c>
    </row>
    <row r="20" spans="1:38" s="12" customFormat="1" ht="15.75" x14ac:dyDescent="0.25">
      <c r="A20" s="47" t="s">
        <v>34</v>
      </c>
      <c r="B20" s="32" t="s">
        <v>26</v>
      </c>
      <c r="C20" s="36"/>
      <c r="D20" s="84">
        <v>0</v>
      </c>
      <c r="E20" s="84">
        <v>0</v>
      </c>
      <c r="F20" s="84">
        <v>0</v>
      </c>
      <c r="G20" s="84">
        <v>0</v>
      </c>
      <c r="H20" s="84">
        <v>0</v>
      </c>
      <c r="I20" s="84">
        <v>0</v>
      </c>
      <c r="J20" s="84">
        <v>0</v>
      </c>
      <c r="K20" s="84">
        <v>0</v>
      </c>
      <c r="L20" s="84">
        <v>0</v>
      </c>
      <c r="M20" s="84">
        <v>0</v>
      </c>
      <c r="N20" s="84">
        <v>0</v>
      </c>
      <c r="O20" s="84">
        <v>0</v>
      </c>
      <c r="P20" s="84">
        <v>0</v>
      </c>
      <c r="Q20" s="84">
        <v>0</v>
      </c>
      <c r="R20" s="84">
        <v>0</v>
      </c>
      <c r="S20" s="84">
        <v>0</v>
      </c>
      <c r="T20" s="84">
        <v>0</v>
      </c>
      <c r="U20" s="84">
        <v>0</v>
      </c>
      <c r="V20" s="84">
        <v>0</v>
      </c>
      <c r="W20" s="84">
        <v>0</v>
      </c>
      <c r="X20" s="84">
        <v>0</v>
      </c>
      <c r="Y20" s="84">
        <v>0</v>
      </c>
      <c r="Z20" s="84">
        <v>0</v>
      </c>
      <c r="AA20" s="84">
        <v>0</v>
      </c>
      <c r="AB20" s="84">
        <v>0</v>
      </c>
      <c r="AC20" s="84">
        <v>0</v>
      </c>
      <c r="AD20" s="84">
        <v>0</v>
      </c>
      <c r="AE20" s="84">
        <v>0</v>
      </c>
      <c r="AF20" s="84">
        <v>0</v>
      </c>
      <c r="AG20" s="84">
        <v>0</v>
      </c>
      <c r="AH20" s="84">
        <v>0</v>
      </c>
    </row>
    <row r="21" spans="1:38" s="12" customFormat="1" ht="15.75" x14ac:dyDescent="0.25">
      <c r="A21" s="47" t="s">
        <v>35</v>
      </c>
      <c r="B21" s="32" t="s">
        <v>24</v>
      </c>
      <c r="C21" s="36"/>
      <c r="D21" s="84">
        <v>0</v>
      </c>
      <c r="E21" s="84">
        <v>0</v>
      </c>
      <c r="F21" s="84">
        <v>0</v>
      </c>
      <c r="G21" s="84">
        <v>0</v>
      </c>
      <c r="H21" s="84">
        <v>0</v>
      </c>
      <c r="I21" s="84">
        <v>0</v>
      </c>
      <c r="J21" s="84">
        <v>0</v>
      </c>
      <c r="K21" s="84">
        <v>0</v>
      </c>
      <c r="L21" s="84">
        <v>0</v>
      </c>
      <c r="M21" s="84">
        <v>0</v>
      </c>
      <c r="N21" s="84">
        <v>0</v>
      </c>
      <c r="O21" s="84">
        <v>0</v>
      </c>
      <c r="P21" s="84">
        <v>0</v>
      </c>
      <c r="Q21" s="84">
        <v>0</v>
      </c>
      <c r="R21" s="84">
        <v>0</v>
      </c>
      <c r="S21" s="84">
        <v>0</v>
      </c>
      <c r="T21" s="84">
        <v>0</v>
      </c>
      <c r="U21" s="84">
        <v>0</v>
      </c>
      <c r="V21" s="84">
        <v>0</v>
      </c>
      <c r="W21" s="84">
        <v>0</v>
      </c>
      <c r="X21" s="84">
        <v>0</v>
      </c>
      <c r="Y21" s="84">
        <v>0</v>
      </c>
      <c r="Z21" s="84">
        <v>0</v>
      </c>
      <c r="AA21" s="84">
        <v>0</v>
      </c>
      <c r="AB21" s="84">
        <v>0</v>
      </c>
      <c r="AC21" s="84">
        <v>0</v>
      </c>
      <c r="AD21" s="84">
        <v>0</v>
      </c>
      <c r="AE21" s="84">
        <v>0</v>
      </c>
      <c r="AF21" s="84">
        <v>0</v>
      </c>
      <c r="AG21" s="84">
        <v>0</v>
      </c>
      <c r="AH21" s="84">
        <v>0</v>
      </c>
    </row>
    <row r="22" spans="1:38" s="12" customFormat="1" ht="15.75" x14ac:dyDescent="0.25">
      <c r="A22" s="47" t="s">
        <v>36</v>
      </c>
      <c r="B22" s="48" t="s">
        <v>23</v>
      </c>
      <c r="C22" s="36"/>
      <c r="D22" s="85">
        <v>0</v>
      </c>
      <c r="E22" s="85">
        <v>0</v>
      </c>
      <c r="F22" s="85">
        <v>0</v>
      </c>
      <c r="G22" s="85">
        <v>0</v>
      </c>
      <c r="H22" s="84">
        <v>0</v>
      </c>
      <c r="I22" s="84">
        <v>0</v>
      </c>
      <c r="J22" s="84">
        <v>0</v>
      </c>
      <c r="K22" s="84">
        <v>0</v>
      </c>
      <c r="L22" s="84">
        <v>0</v>
      </c>
      <c r="M22" s="84">
        <v>0</v>
      </c>
      <c r="N22" s="84">
        <v>0</v>
      </c>
      <c r="O22" s="84">
        <v>0</v>
      </c>
      <c r="P22" s="84">
        <v>0</v>
      </c>
      <c r="Q22" s="84">
        <v>0</v>
      </c>
      <c r="R22" s="84">
        <v>0</v>
      </c>
      <c r="S22" s="85">
        <v>0</v>
      </c>
      <c r="T22" s="84">
        <v>0</v>
      </c>
      <c r="U22" s="85">
        <v>0</v>
      </c>
      <c r="V22" s="85">
        <v>0</v>
      </c>
      <c r="W22" s="85">
        <v>0</v>
      </c>
      <c r="X22" s="85">
        <v>0</v>
      </c>
      <c r="Y22" s="85">
        <v>0</v>
      </c>
      <c r="Z22" s="84">
        <v>0</v>
      </c>
      <c r="AA22" s="84">
        <v>0</v>
      </c>
      <c r="AB22" s="84">
        <v>0</v>
      </c>
      <c r="AC22" s="84">
        <v>0</v>
      </c>
      <c r="AD22" s="84">
        <v>0</v>
      </c>
      <c r="AE22" s="84">
        <v>0</v>
      </c>
      <c r="AF22" s="84">
        <v>0</v>
      </c>
      <c r="AG22" s="85">
        <v>0</v>
      </c>
      <c r="AH22" s="84">
        <v>0</v>
      </c>
    </row>
    <row r="23" spans="1:38" s="12" customFormat="1" ht="15.75" x14ac:dyDescent="0.25">
      <c r="A23" s="47" t="s">
        <v>38</v>
      </c>
      <c r="B23" s="48" t="s">
        <v>39</v>
      </c>
      <c r="C23" s="54"/>
      <c r="D23" s="85">
        <v>0</v>
      </c>
      <c r="E23" s="85">
        <v>0</v>
      </c>
      <c r="F23" s="85">
        <v>0</v>
      </c>
      <c r="G23" s="85">
        <v>0</v>
      </c>
      <c r="H23" s="84">
        <v>0</v>
      </c>
      <c r="I23" s="84">
        <v>0</v>
      </c>
      <c r="J23" s="84">
        <v>0</v>
      </c>
      <c r="K23" s="84">
        <v>0</v>
      </c>
      <c r="L23" s="84">
        <v>0</v>
      </c>
      <c r="M23" s="84">
        <v>0</v>
      </c>
      <c r="N23" s="84">
        <v>0</v>
      </c>
      <c r="O23" s="84">
        <v>0</v>
      </c>
      <c r="P23" s="84">
        <v>0</v>
      </c>
      <c r="Q23" s="84">
        <v>0</v>
      </c>
      <c r="R23" s="84">
        <v>0</v>
      </c>
      <c r="S23" s="85">
        <v>0</v>
      </c>
      <c r="T23" s="84">
        <v>0</v>
      </c>
      <c r="U23" s="85">
        <v>0</v>
      </c>
      <c r="V23" s="85">
        <v>0</v>
      </c>
      <c r="W23" s="85">
        <v>0</v>
      </c>
      <c r="X23" s="85">
        <v>0</v>
      </c>
      <c r="Y23" s="85">
        <v>0</v>
      </c>
      <c r="Z23" s="84">
        <v>0</v>
      </c>
      <c r="AA23" s="84">
        <v>0</v>
      </c>
      <c r="AB23" s="84">
        <v>0</v>
      </c>
      <c r="AC23" s="84">
        <v>0</v>
      </c>
      <c r="AD23" s="84">
        <v>0</v>
      </c>
      <c r="AE23" s="84">
        <v>0</v>
      </c>
      <c r="AF23" s="84">
        <v>0</v>
      </c>
      <c r="AG23" s="85">
        <v>0</v>
      </c>
      <c r="AH23" s="84">
        <v>0</v>
      </c>
    </row>
    <row r="24" spans="1:38" s="12" customFormat="1" ht="15.75" x14ac:dyDescent="0.25">
      <c r="A24" s="47" t="s">
        <v>41</v>
      </c>
      <c r="B24" s="48" t="s">
        <v>40</v>
      </c>
      <c r="C24" s="49"/>
      <c r="D24" s="85">
        <v>0</v>
      </c>
      <c r="E24" s="85">
        <v>0</v>
      </c>
      <c r="F24" s="85">
        <v>0</v>
      </c>
      <c r="G24" s="85">
        <v>0</v>
      </c>
      <c r="H24" s="84">
        <v>0</v>
      </c>
      <c r="I24" s="84">
        <v>0</v>
      </c>
      <c r="J24" s="84">
        <v>0</v>
      </c>
      <c r="K24" s="84">
        <v>0</v>
      </c>
      <c r="L24" s="84">
        <v>0</v>
      </c>
      <c r="M24" s="84">
        <v>0</v>
      </c>
      <c r="N24" s="84">
        <v>0</v>
      </c>
      <c r="O24" s="84">
        <v>0</v>
      </c>
      <c r="P24" s="84">
        <v>0</v>
      </c>
      <c r="Q24" s="84">
        <v>0</v>
      </c>
      <c r="R24" s="84">
        <v>0</v>
      </c>
      <c r="S24" s="85">
        <v>0</v>
      </c>
      <c r="T24" s="84">
        <v>0</v>
      </c>
      <c r="U24" s="85">
        <v>0</v>
      </c>
      <c r="V24" s="85">
        <v>0</v>
      </c>
      <c r="W24" s="85">
        <v>0</v>
      </c>
      <c r="X24" s="85">
        <v>0</v>
      </c>
      <c r="Y24" s="85">
        <v>0</v>
      </c>
      <c r="Z24" s="84">
        <v>0</v>
      </c>
      <c r="AA24" s="84">
        <v>0</v>
      </c>
      <c r="AB24" s="84">
        <v>0</v>
      </c>
      <c r="AC24" s="84">
        <v>0</v>
      </c>
      <c r="AD24" s="84">
        <v>0</v>
      </c>
      <c r="AE24" s="84">
        <v>0</v>
      </c>
      <c r="AF24" s="84">
        <v>0</v>
      </c>
      <c r="AG24" s="85">
        <v>0</v>
      </c>
      <c r="AH24" s="84">
        <v>0</v>
      </c>
    </row>
    <row r="25" spans="1:38" s="12" customFormat="1" ht="12.75" customHeight="1" x14ac:dyDescent="0.25">
      <c r="A25" s="47" t="s">
        <v>42</v>
      </c>
      <c r="B25" s="56" t="s">
        <v>45</v>
      </c>
      <c r="C25" s="69"/>
      <c r="D25" s="84">
        <v>0</v>
      </c>
      <c r="E25" s="84">
        <v>0</v>
      </c>
      <c r="F25" s="84">
        <v>0</v>
      </c>
      <c r="G25" s="84">
        <v>0</v>
      </c>
      <c r="H25" s="84">
        <v>0</v>
      </c>
      <c r="I25" s="84">
        <v>0</v>
      </c>
      <c r="J25" s="84">
        <v>0</v>
      </c>
      <c r="K25" s="84">
        <v>0</v>
      </c>
      <c r="L25" s="84">
        <v>0</v>
      </c>
      <c r="M25" s="84">
        <v>0</v>
      </c>
      <c r="N25" s="84">
        <v>0</v>
      </c>
      <c r="O25" s="84">
        <v>0</v>
      </c>
      <c r="P25" s="84">
        <v>0</v>
      </c>
      <c r="Q25" s="84">
        <v>0</v>
      </c>
      <c r="R25" s="84">
        <v>0</v>
      </c>
      <c r="S25" s="84">
        <v>0</v>
      </c>
      <c r="T25" s="84">
        <v>0</v>
      </c>
      <c r="U25" s="84">
        <v>0</v>
      </c>
      <c r="V25" s="84">
        <v>0</v>
      </c>
      <c r="W25" s="84">
        <v>0</v>
      </c>
      <c r="X25" s="84">
        <v>0</v>
      </c>
      <c r="Y25" s="84">
        <v>0</v>
      </c>
      <c r="Z25" s="84">
        <v>0</v>
      </c>
      <c r="AA25" s="84">
        <v>0</v>
      </c>
      <c r="AB25" s="84">
        <v>0</v>
      </c>
      <c r="AC25" s="84">
        <v>0</v>
      </c>
      <c r="AD25" s="84">
        <v>0</v>
      </c>
      <c r="AE25" s="84">
        <v>0</v>
      </c>
      <c r="AF25" s="84">
        <v>0</v>
      </c>
      <c r="AG25" s="84">
        <v>0</v>
      </c>
      <c r="AH25" s="84">
        <v>0</v>
      </c>
    </row>
    <row r="26" spans="1:38" s="12" customFormat="1" ht="16.5" customHeight="1" x14ac:dyDescent="0.2">
      <c r="A26" s="55"/>
      <c r="B26" s="68"/>
      <c r="C26" s="5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97"/>
      <c r="AH26" s="66"/>
    </row>
    <row r="27" spans="1:38" s="12" customFormat="1" ht="16.5" customHeight="1" x14ac:dyDescent="0.2">
      <c r="A27" s="90"/>
      <c r="B27" s="94"/>
      <c r="C27" s="81"/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  <c r="AG27" s="100"/>
      <c r="AH27" s="43"/>
    </row>
    <row r="28" spans="1:38" s="12" customFormat="1" ht="16.5" customHeight="1" x14ac:dyDescent="0.2">
      <c r="A28" s="112" t="s">
        <v>52</v>
      </c>
      <c r="B28" s="115" t="s">
        <v>51</v>
      </c>
      <c r="C28" s="77" t="s">
        <v>53</v>
      </c>
      <c r="D28" s="101" t="s">
        <v>50</v>
      </c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  <c r="AF28" s="102"/>
      <c r="AG28" s="103"/>
      <c r="AH28" s="43"/>
    </row>
    <row r="29" spans="1:38" s="12" customFormat="1" ht="16.5" customHeight="1" x14ac:dyDescent="0.2">
      <c r="A29" s="113"/>
      <c r="B29" s="116"/>
      <c r="C29" s="72" t="s">
        <v>54</v>
      </c>
      <c r="D29" s="101" t="s">
        <v>50</v>
      </c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  <c r="AF29" s="102"/>
      <c r="AG29" s="103"/>
      <c r="AH29" s="43"/>
    </row>
    <row r="30" spans="1:38" s="12" customFormat="1" ht="16.5" customHeight="1" x14ac:dyDescent="0.2">
      <c r="A30" s="113"/>
      <c r="B30" s="116"/>
      <c r="C30" s="77" t="s">
        <v>55</v>
      </c>
      <c r="D30" s="101" t="s">
        <v>50</v>
      </c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3"/>
      <c r="AH30" s="43"/>
    </row>
    <row r="31" spans="1:38" s="12" customFormat="1" ht="15" customHeight="1" x14ac:dyDescent="0.2">
      <c r="A31" s="113"/>
      <c r="B31" s="116"/>
      <c r="C31" s="72" t="s">
        <v>56</v>
      </c>
      <c r="D31" s="104" t="s">
        <v>50</v>
      </c>
      <c r="E31" s="105"/>
      <c r="F31" s="105"/>
      <c r="G31" s="105"/>
      <c r="H31" s="105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  <c r="AA31" s="92"/>
      <c r="AB31" s="92"/>
      <c r="AC31" s="92"/>
      <c r="AD31" s="92"/>
      <c r="AE31" s="92"/>
      <c r="AF31" s="92"/>
      <c r="AG31" s="95"/>
      <c r="AH31" s="43"/>
    </row>
    <row r="32" spans="1:38" s="12" customFormat="1" ht="15" customHeight="1" x14ac:dyDescent="0.2">
      <c r="A32" s="113"/>
      <c r="B32" s="116"/>
      <c r="C32" s="77" t="s">
        <v>57</v>
      </c>
      <c r="D32" s="104" t="s">
        <v>50</v>
      </c>
      <c r="E32" s="105"/>
      <c r="F32" s="105"/>
      <c r="G32" s="105"/>
      <c r="H32" s="105"/>
      <c r="I32" s="105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2"/>
      <c r="AC32" s="92"/>
      <c r="AD32" s="92"/>
      <c r="AE32" s="92"/>
      <c r="AF32" s="92"/>
      <c r="AG32" s="95"/>
      <c r="AH32" s="43"/>
    </row>
    <row r="33" spans="1:34" s="12" customFormat="1" ht="15" customHeight="1" x14ac:dyDescent="0.2">
      <c r="A33" s="113"/>
      <c r="B33" s="116"/>
      <c r="C33" s="77" t="s">
        <v>58</v>
      </c>
      <c r="D33" s="104" t="s">
        <v>50</v>
      </c>
      <c r="E33" s="105"/>
      <c r="F33" s="105"/>
      <c r="G33" s="105"/>
      <c r="H33" s="105"/>
      <c r="I33" s="105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2"/>
      <c r="AB33" s="92"/>
      <c r="AC33" s="92"/>
      <c r="AD33" s="92"/>
      <c r="AE33" s="92"/>
      <c r="AF33" s="92"/>
      <c r="AG33" s="95"/>
      <c r="AH33" s="43"/>
    </row>
    <row r="34" spans="1:34" s="12" customFormat="1" ht="15" customHeight="1" x14ac:dyDescent="0.2">
      <c r="A34" s="113"/>
      <c r="B34" s="116"/>
      <c r="C34" s="77"/>
      <c r="D34" s="104"/>
      <c r="E34" s="105"/>
      <c r="F34" s="105"/>
      <c r="G34" s="105"/>
      <c r="H34" s="105"/>
      <c r="I34" s="105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  <c r="AB34" s="92"/>
      <c r="AC34" s="92"/>
      <c r="AD34" s="92"/>
      <c r="AE34" s="92"/>
      <c r="AF34" s="92"/>
      <c r="AG34" s="95"/>
      <c r="AH34" s="43"/>
    </row>
    <row r="35" spans="1:34" s="12" customFormat="1" ht="15" customHeight="1" x14ac:dyDescent="0.2">
      <c r="A35" s="113"/>
      <c r="B35" s="116"/>
      <c r="C35" s="83"/>
      <c r="D35" s="118"/>
      <c r="E35" s="118"/>
      <c r="F35" s="118"/>
      <c r="G35" s="118"/>
      <c r="H35" s="118"/>
      <c r="I35" s="118"/>
      <c r="J35" s="91"/>
      <c r="K35" s="91"/>
      <c r="L35" s="91"/>
      <c r="M35" s="82"/>
      <c r="N35" s="82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67"/>
      <c r="AH35" s="43"/>
    </row>
    <row r="36" spans="1:34" s="12" customFormat="1" ht="15" customHeight="1" x14ac:dyDescent="0.2">
      <c r="A36" s="113"/>
      <c r="B36" s="116"/>
      <c r="C36" s="83"/>
      <c r="D36" s="119"/>
      <c r="E36" s="119"/>
      <c r="F36" s="119"/>
      <c r="G36" s="119"/>
      <c r="H36" s="119"/>
      <c r="I36" s="119"/>
      <c r="J36" s="91"/>
      <c r="K36" s="91"/>
      <c r="L36" s="91"/>
      <c r="M36" s="92"/>
      <c r="N36" s="92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  <c r="AA36" s="87"/>
      <c r="AB36" s="87"/>
      <c r="AC36" s="87"/>
      <c r="AD36" s="87"/>
      <c r="AE36" s="87"/>
      <c r="AF36" s="87"/>
      <c r="AG36" s="66"/>
      <c r="AH36" s="43"/>
    </row>
    <row r="37" spans="1:34" s="12" customFormat="1" ht="15" customHeight="1" x14ac:dyDescent="0.2">
      <c r="A37" s="113"/>
      <c r="B37" s="116"/>
      <c r="C37" s="83"/>
      <c r="D37" s="120"/>
      <c r="E37" s="121"/>
      <c r="F37" s="121"/>
      <c r="G37" s="121"/>
      <c r="H37" s="121"/>
      <c r="I37" s="121"/>
      <c r="J37" s="121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  <c r="AA37" s="92"/>
      <c r="AB37" s="92"/>
      <c r="AC37" s="92"/>
      <c r="AD37" s="92"/>
      <c r="AE37" s="92"/>
      <c r="AF37" s="92"/>
      <c r="AG37" s="95"/>
      <c r="AH37" s="43"/>
    </row>
    <row r="38" spans="1:34" s="12" customFormat="1" ht="15" customHeight="1" x14ac:dyDescent="0.2">
      <c r="A38" s="114"/>
      <c r="B38" s="117"/>
      <c r="C38" s="83"/>
      <c r="D38" s="91"/>
      <c r="E38" s="91"/>
      <c r="F38" s="91"/>
      <c r="G38" s="91"/>
      <c r="H38" s="91"/>
      <c r="I38" s="91"/>
      <c r="J38" s="91"/>
      <c r="K38" s="91"/>
      <c r="L38" s="91"/>
      <c r="M38" s="92"/>
      <c r="N38" s="92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87"/>
      <c r="AA38" s="87"/>
      <c r="AB38" s="87"/>
      <c r="AC38" s="87"/>
      <c r="AD38" s="87"/>
      <c r="AE38" s="87"/>
      <c r="AF38" s="87"/>
      <c r="AG38" s="66"/>
      <c r="AH38" s="43"/>
    </row>
    <row r="39" spans="1:34" s="12" customFormat="1" ht="15" x14ac:dyDescent="0.2">
      <c r="A39" s="80"/>
      <c r="B39" s="80"/>
      <c r="C39" s="81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15"/>
      <c r="AB39" s="31"/>
    </row>
    <row r="40" spans="1:34" s="12" customFormat="1" ht="15" x14ac:dyDescent="0.2">
      <c r="A40" s="13"/>
      <c r="B40" s="42"/>
      <c r="C40" s="43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15"/>
      <c r="AB40" s="31"/>
    </row>
    <row r="41" spans="1:34" s="12" customFormat="1" x14ac:dyDescent="0.2">
      <c r="A41" s="13"/>
      <c r="D41" s="78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AB41" s="31"/>
    </row>
    <row r="42" spans="1:34" s="12" customFormat="1" x14ac:dyDescent="0.2">
      <c r="A42" s="23" t="s">
        <v>12</v>
      </c>
      <c r="D42" s="14"/>
      <c r="E42" s="15"/>
      <c r="F42" s="15"/>
      <c r="G42" s="15"/>
      <c r="H42" s="15"/>
      <c r="I42" s="15"/>
      <c r="J42" s="15"/>
      <c r="K42" s="58"/>
      <c r="L42" s="58"/>
      <c r="M42" s="15"/>
      <c r="O42" s="15"/>
      <c r="AB42" s="31"/>
    </row>
    <row r="43" spans="1:34" s="12" customFormat="1" x14ac:dyDescent="0.2">
      <c r="A43" s="110" t="s">
        <v>2</v>
      </c>
      <c r="B43" s="110" t="s">
        <v>9</v>
      </c>
      <c r="C43" s="110" t="s">
        <v>1</v>
      </c>
      <c r="D43" s="98" t="s">
        <v>7</v>
      </c>
      <c r="E43" s="99"/>
      <c r="F43" s="15"/>
      <c r="G43" s="15"/>
      <c r="H43" s="15"/>
      <c r="I43" s="15"/>
      <c r="J43" s="15"/>
      <c r="K43" s="59"/>
      <c r="L43" s="59"/>
      <c r="M43" s="15"/>
      <c r="O43" s="15"/>
      <c r="AB43" s="31"/>
    </row>
    <row r="44" spans="1:34" s="12" customFormat="1" x14ac:dyDescent="0.2">
      <c r="A44" s="111"/>
      <c r="B44" s="111"/>
      <c r="C44" s="111"/>
      <c r="D44" s="27" t="s">
        <v>10</v>
      </c>
      <c r="E44" s="22" t="s">
        <v>11</v>
      </c>
      <c r="F44" s="15"/>
      <c r="G44" s="15"/>
      <c r="H44" s="15"/>
      <c r="I44" s="15"/>
      <c r="J44" s="15"/>
      <c r="K44" s="15"/>
      <c r="L44" s="15"/>
      <c r="M44" s="15"/>
      <c r="O44" s="15"/>
      <c r="AB44" s="31"/>
    </row>
    <row r="45" spans="1:34" s="12" customFormat="1" ht="15.75" x14ac:dyDescent="0.25">
      <c r="A45" s="40" t="s">
        <v>37</v>
      </c>
      <c r="B45" s="32" t="s">
        <v>47</v>
      </c>
      <c r="C45" s="37">
        <f t="shared" ref="C45:C53" si="0">1-(((D45*3600)+(LEFT(E45,2)*60)+RIGHT(E45,2))/((60*60*24)*$C$8))</f>
        <v>1</v>
      </c>
      <c r="D45" s="20" t="str">
        <f t="shared" ref="D45:D57" si="1">TEXT(SUM(D13:AG13),"[h]")</f>
        <v>0</v>
      </c>
      <c r="E45" s="20" t="str">
        <f t="shared" ref="E45:E57" si="2">TEXT(SUM(D13:AG13),"mm ss")</f>
        <v>00 00</v>
      </c>
      <c r="F45" s="15"/>
      <c r="G45" s="21"/>
      <c r="H45" s="15"/>
      <c r="I45" s="15"/>
      <c r="J45" s="15"/>
      <c r="K45" s="15"/>
      <c r="L45" s="15"/>
      <c r="M45" s="15"/>
      <c r="O45" s="15"/>
      <c r="AB45" s="31"/>
    </row>
    <row r="46" spans="1:34" s="12" customFormat="1" ht="15.75" x14ac:dyDescent="0.25">
      <c r="A46" s="40" t="s">
        <v>28</v>
      </c>
      <c r="B46" s="32" t="s">
        <v>25</v>
      </c>
      <c r="C46" s="37">
        <f t="shared" si="0"/>
        <v>1</v>
      </c>
      <c r="D46" s="20" t="str">
        <f t="shared" si="1"/>
        <v>0</v>
      </c>
      <c r="E46" s="20" t="str">
        <f t="shared" si="2"/>
        <v>00 00</v>
      </c>
      <c r="F46" s="96"/>
      <c r="G46" s="96"/>
      <c r="H46" s="96"/>
      <c r="I46" s="96"/>
      <c r="J46" s="96"/>
      <c r="K46" s="96"/>
      <c r="L46" s="96"/>
      <c r="M46" s="96"/>
      <c r="N46" s="96"/>
      <c r="O46" s="15"/>
    </row>
    <row r="47" spans="1:34" s="12" customFormat="1" ht="15.75" x14ac:dyDescent="0.25">
      <c r="A47" s="40" t="s">
        <v>29</v>
      </c>
      <c r="B47" s="51" t="s">
        <v>18</v>
      </c>
      <c r="C47" s="37">
        <f t="shared" si="0"/>
        <v>1</v>
      </c>
      <c r="D47" s="20" t="str">
        <f t="shared" si="1"/>
        <v>0</v>
      </c>
      <c r="E47" s="20" t="str">
        <f t="shared" si="2"/>
        <v>00 00</v>
      </c>
      <c r="F47" s="15"/>
      <c r="G47" s="21"/>
      <c r="H47" s="70"/>
      <c r="I47" s="15"/>
      <c r="J47" s="15"/>
      <c r="K47" s="15"/>
      <c r="L47" s="15"/>
      <c r="M47" s="15"/>
      <c r="O47" s="15"/>
    </row>
    <row r="48" spans="1:34" s="12" customFormat="1" ht="15.75" x14ac:dyDescent="0.25">
      <c r="A48" s="40" t="s">
        <v>30</v>
      </c>
      <c r="B48" s="32" t="s">
        <v>19</v>
      </c>
      <c r="C48" s="37">
        <f t="shared" si="0"/>
        <v>0.98572543309438476</v>
      </c>
      <c r="D48" s="20" t="str">
        <f t="shared" si="1"/>
        <v>10</v>
      </c>
      <c r="E48" s="20" t="str">
        <f t="shared" si="2"/>
        <v>37 13</v>
      </c>
      <c r="F48" s="15"/>
      <c r="G48" s="21"/>
      <c r="H48" s="15"/>
      <c r="I48" s="15"/>
      <c r="J48" s="15"/>
      <c r="K48" s="15"/>
      <c r="L48" s="15"/>
      <c r="M48" s="15"/>
      <c r="O48" s="15"/>
    </row>
    <row r="49" spans="1:34" s="12" customFormat="1" ht="15.75" x14ac:dyDescent="0.25">
      <c r="A49" s="40" t="s">
        <v>31</v>
      </c>
      <c r="B49" s="32" t="s">
        <v>20</v>
      </c>
      <c r="C49" s="37">
        <f t="shared" si="0"/>
        <v>1</v>
      </c>
      <c r="D49" s="20" t="str">
        <f t="shared" si="1"/>
        <v>0</v>
      </c>
      <c r="E49" s="20" t="str">
        <f t="shared" si="2"/>
        <v>00 00</v>
      </c>
      <c r="F49" s="15"/>
      <c r="G49" s="21"/>
      <c r="H49" s="15"/>
      <c r="I49" s="15"/>
      <c r="J49" s="15"/>
      <c r="K49" s="15"/>
      <c r="L49" s="15"/>
      <c r="M49" s="15"/>
      <c r="O49" s="15"/>
    </row>
    <row r="50" spans="1:34" s="12" customFormat="1" ht="15.75" x14ac:dyDescent="0.25">
      <c r="A50" s="40" t="s">
        <v>32</v>
      </c>
      <c r="B50" s="32" t="s">
        <v>21</v>
      </c>
      <c r="C50" s="37">
        <f t="shared" si="0"/>
        <v>1</v>
      </c>
      <c r="D50" s="20" t="str">
        <f t="shared" si="1"/>
        <v>0</v>
      </c>
      <c r="E50" s="20" t="str">
        <f t="shared" si="2"/>
        <v>00 00</v>
      </c>
      <c r="F50" s="15"/>
      <c r="G50" s="21"/>
      <c r="H50" s="15"/>
      <c r="I50" s="15"/>
      <c r="J50" s="71"/>
      <c r="K50" s="15"/>
      <c r="L50" s="15"/>
      <c r="M50" s="15"/>
      <c r="O50" s="15"/>
    </row>
    <row r="51" spans="1:34" s="12" customFormat="1" ht="15.75" x14ac:dyDescent="0.25">
      <c r="A51" s="40" t="s">
        <v>33</v>
      </c>
      <c r="B51" s="32" t="s">
        <v>27</v>
      </c>
      <c r="C51" s="37">
        <f t="shared" si="0"/>
        <v>1</v>
      </c>
      <c r="D51" s="20" t="str">
        <f t="shared" si="1"/>
        <v>0</v>
      </c>
      <c r="E51" s="20" t="str">
        <f t="shared" si="2"/>
        <v>00 00</v>
      </c>
      <c r="F51" s="15"/>
      <c r="G51" s="21"/>
      <c r="H51" s="15"/>
      <c r="I51" s="15"/>
      <c r="J51" s="15"/>
      <c r="K51" s="15"/>
      <c r="L51" s="15"/>
      <c r="M51" s="15"/>
      <c r="N51" s="15"/>
      <c r="O51" s="15"/>
    </row>
    <row r="52" spans="1:34" s="16" customFormat="1" ht="15.75" x14ac:dyDescent="0.25">
      <c r="A52" s="40" t="s">
        <v>34</v>
      </c>
      <c r="B52" s="32" t="s">
        <v>26</v>
      </c>
      <c r="C52" s="37">
        <f t="shared" si="0"/>
        <v>1</v>
      </c>
      <c r="D52" s="20" t="str">
        <f t="shared" si="1"/>
        <v>0</v>
      </c>
      <c r="E52" s="20" t="str">
        <f t="shared" si="2"/>
        <v>00 00</v>
      </c>
      <c r="F52" s="15"/>
      <c r="G52" s="21"/>
      <c r="H52" s="15"/>
      <c r="I52" s="15"/>
      <c r="J52" s="15"/>
      <c r="K52" s="15"/>
      <c r="L52" s="15"/>
      <c r="M52" s="15"/>
      <c r="N52" s="15"/>
      <c r="O52" s="61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</row>
    <row r="53" spans="1:34" ht="15.75" x14ac:dyDescent="0.25">
      <c r="A53" s="40" t="s">
        <v>35</v>
      </c>
      <c r="B53" s="32" t="s">
        <v>24</v>
      </c>
      <c r="C53" s="37">
        <f t="shared" si="0"/>
        <v>1</v>
      </c>
      <c r="D53" s="20" t="str">
        <f t="shared" si="1"/>
        <v>0</v>
      </c>
      <c r="E53" s="20" t="str">
        <f t="shared" si="2"/>
        <v>00 00</v>
      </c>
      <c r="F53" s="15"/>
      <c r="G53" s="21"/>
      <c r="H53" s="15"/>
      <c r="I53" s="15"/>
      <c r="J53" s="15"/>
      <c r="K53" s="15"/>
      <c r="L53" s="15"/>
      <c r="M53" s="15"/>
      <c r="N53" s="15"/>
      <c r="O53" s="61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</row>
    <row r="54" spans="1:34" ht="15.75" x14ac:dyDescent="0.25">
      <c r="A54" s="40" t="s">
        <v>36</v>
      </c>
      <c r="B54" s="32" t="s">
        <v>23</v>
      </c>
      <c r="C54" s="33">
        <f>1-(((D54*3600)+(LEFT(E54,2)*60)+RIGHT(E54,2))/((60*60*24)*$C$8))</f>
        <v>1</v>
      </c>
      <c r="D54" s="20" t="str">
        <f t="shared" si="1"/>
        <v>0</v>
      </c>
      <c r="E54" s="20" t="str">
        <f t="shared" si="2"/>
        <v>00 00</v>
      </c>
      <c r="F54" s="15"/>
      <c r="G54" s="21"/>
      <c r="H54" s="15"/>
      <c r="I54" s="15"/>
      <c r="J54" s="15"/>
      <c r="K54" s="15"/>
      <c r="L54" s="15"/>
      <c r="M54" s="15"/>
      <c r="N54" s="15"/>
      <c r="O54" s="61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</row>
    <row r="55" spans="1:34" ht="15.75" x14ac:dyDescent="0.25">
      <c r="A55" s="40" t="s">
        <v>38</v>
      </c>
      <c r="B55" s="32" t="s">
        <v>43</v>
      </c>
      <c r="C55" s="33">
        <f t="shared" ref="C55:C57" si="3">1-(((D55*3600)+(LEFT(E55,2)*60)+RIGHT(E55,2))/((60*60*24)*$C$8))</f>
        <v>1</v>
      </c>
      <c r="D55" s="20" t="str">
        <f t="shared" si="1"/>
        <v>0</v>
      </c>
      <c r="E55" s="20" t="str">
        <f t="shared" si="2"/>
        <v>00 00</v>
      </c>
      <c r="F55" s="15"/>
      <c r="G55" s="21"/>
      <c r="H55" s="15"/>
      <c r="I55" s="15"/>
      <c r="J55" s="15"/>
      <c r="K55" s="15"/>
      <c r="L55" s="15"/>
      <c r="M55" s="15"/>
      <c r="N55" s="15"/>
      <c r="O55" s="61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</row>
    <row r="56" spans="1:34" ht="15.75" x14ac:dyDescent="0.25">
      <c r="A56" s="40" t="s">
        <v>41</v>
      </c>
      <c r="B56" s="32" t="s">
        <v>44</v>
      </c>
      <c r="C56" s="33">
        <f t="shared" si="3"/>
        <v>1</v>
      </c>
      <c r="D56" s="20" t="str">
        <f t="shared" si="1"/>
        <v>0</v>
      </c>
      <c r="E56" s="20" t="str">
        <f t="shared" si="2"/>
        <v>00 00</v>
      </c>
      <c r="F56" s="15"/>
      <c r="G56" s="21"/>
      <c r="H56" s="15"/>
      <c r="I56" s="15"/>
      <c r="J56" s="15"/>
      <c r="K56" s="15"/>
      <c r="L56" s="15"/>
      <c r="M56" s="15"/>
      <c r="N56" s="15"/>
      <c r="O56" s="62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6"/>
      <c r="AH56" s="16"/>
    </row>
    <row r="57" spans="1:34" ht="15.75" x14ac:dyDescent="0.25">
      <c r="A57" s="60" t="s">
        <v>42</v>
      </c>
      <c r="B57" s="32" t="s">
        <v>46</v>
      </c>
      <c r="C57" s="33">
        <f t="shared" si="3"/>
        <v>1</v>
      </c>
      <c r="D57" s="20" t="str">
        <f t="shared" si="1"/>
        <v>0</v>
      </c>
      <c r="E57" s="20" t="str">
        <f t="shared" si="2"/>
        <v>00 00</v>
      </c>
      <c r="F57" s="15"/>
      <c r="G57" s="21"/>
      <c r="H57" s="15"/>
      <c r="I57" s="15"/>
      <c r="J57" s="15"/>
      <c r="K57" s="15"/>
      <c r="L57" s="61"/>
      <c r="M57" s="61"/>
      <c r="N57" s="61"/>
      <c r="O57" s="63"/>
    </row>
    <row r="58" spans="1:34" ht="15.75" x14ac:dyDescent="0.25">
      <c r="A58" s="50"/>
      <c r="B58" s="51"/>
      <c r="C58" s="52"/>
      <c r="D58" s="53"/>
      <c r="E58" s="53"/>
      <c r="F58" s="15"/>
      <c r="G58" s="21"/>
      <c r="H58" s="15"/>
      <c r="I58" s="15"/>
      <c r="J58" s="15"/>
      <c r="K58" s="15"/>
      <c r="L58" s="61"/>
      <c r="M58" s="61"/>
      <c r="N58" s="61"/>
      <c r="O58" s="63"/>
    </row>
    <row r="59" spans="1:34" x14ac:dyDescent="0.2">
      <c r="A59" s="13"/>
      <c r="B59" s="12"/>
      <c r="C59" s="26"/>
      <c r="D59" s="25"/>
      <c r="E59" s="15"/>
      <c r="F59" s="15"/>
      <c r="G59" s="15"/>
      <c r="H59" s="15"/>
      <c r="I59" s="15"/>
      <c r="J59" s="15"/>
      <c r="K59" s="15"/>
      <c r="L59" s="61"/>
      <c r="M59" s="61"/>
      <c r="N59" s="61"/>
      <c r="O59" s="63"/>
    </row>
    <row r="60" spans="1:34" x14ac:dyDescent="0.2">
      <c r="A60" s="13"/>
      <c r="B60" s="12"/>
      <c r="C60" s="12"/>
      <c r="D60" s="14"/>
      <c r="E60" s="15"/>
      <c r="F60" s="15"/>
      <c r="G60" s="15"/>
      <c r="H60" s="15"/>
      <c r="I60" s="15"/>
      <c r="J60" s="15"/>
      <c r="K60" s="15"/>
      <c r="L60" s="61"/>
      <c r="M60" s="61"/>
      <c r="N60" s="61"/>
      <c r="O60" s="63"/>
    </row>
    <row r="61" spans="1:34" x14ac:dyDescent="0.2">
      <c r="A61" s="14"/>
      <c r="B61" s="24" t="s">
        <v>13</v>
      </c>
      <c r="C61" s="19"/>
      <c r="D61" s="18"/>
      <c r="E61" s="18"/>
      <c r="F61" s="18"/>
      <c r="G61" s="18"/>
      <c r="H61" s="18"/>
      <c r="I61" s="18"/>
      <c r="J61" s="18"/>
      <c r="K61" s="18"/>
      <c r="L61" s="62"/>
      <c r="M61" s="62"/>
      <c r="N61" s="62"/>
      <c r="O61" s="63"/>
    </row>
    <row r="62" spans="1:34" x14ac:dyDescent="0.2">
      <c r="A62"/>
      <c r="B62" s="12" t="s">
        <v>16</v>
      </c>
      <c r="C62" s="27">
        <f>(SUM(C45:C57))/(100%*13)</f>
        <v>0.99890195639187573</v>
      </c>
      <c r="G62" s="38"/>
      <c r="L62" s="63"/>
      <c r="M62" s="63"/>
      <c r="N62" s="63"/>
      <c r="O62" s="63"/>
    </row>
    <row r="63" spans="1:34" x14ac:dyDescent="0.2">
      <c r="C63" s="74"/>
      <c r="L63" s="63"/>
      <c r="M63" s="63"/>
      <c r="N63" s="63"/>
    </row>
    <row r="64" spans="1:34" x14ac:dyDescent="0.2">
      <c r="B64" s="88"/>
      <c r="C64" s="74"/>
      <c r="L64" s="63"/>
      <c r="M64" s="63"/>
      <c r="N64" s="63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</row>
    <row r="65" spans="1:32" x14ac:dyDescent="0.2">
      <c r="B65" s="89"/>
      <c r="C65" s="74"/>
      <c r="L65" s="63"/>
      <c r="M65" s="63"/>
      <c r="N65" s="63"/>
    </row>
    <row r="66" spans="1:32" x14ac:dyDescent="0.2">
      <c r="B66" s="89"/>
      <c r="C66" s="74"/>
      <c r="L66" s="63"/>
      <c r="M66" s="63"/>
      <c r="N66" s="63"/>
    </row>
    <row r="67" spans="1:32" x14ac:dyDescent="0.2">
      <c r="B67" s="12"/>
      <c r="C67" s="74"/>
      <c r="L67" s="63"/>
      <c r="M67" s="63"/>
      <c r="N67" s="63"/>
    </row>
    <row r="68" spans="1:32" x14ac:dyDescent="0.2">
      <c r="B68" s="86"/>
      <c r="C68" s="74"/>
      <c r="D68" s="76"/>
      <c r="E68" s="75" t="s">
        <v>49</v>
      </c>
    </row>
    <row r="69" spans="1:32" x14ac:dyDescent="0.2">
      <c r="A69"/>
      <c r="B69" s="86"/>
      <c r="C69" s="74"/>
      <c r="D69" s="76"/>
    </row>
    <row r="70" spans="1:32" x14ac:dyDescent="0.2">
      <c r="B70" s="86"/>
      <c r="C70" s="74"/>
      <c r="D70" s="76"/>
    </row>
    <row r="71" spans="1:32" x14ac:dyDescent="0.2">
      <c r="B71" s="86"/>
      <c r="C71" s="74"/>
      <c r="D71" s="76"/>
    </row>
    <row r="72" spans="1:32" x14ac:dyDescent="0.2">
      <c r="B72" s="86"/>
      <c r="C72" s="74"/>
      <c r="D72" s="76"/>
      <c r="O72" s="29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</row>
    <row r="73" spans="1:32" x14ac:dyDescent="0.2">
      <c r="B73" s="74"/>
      <c r="C73" s="74"/>
      <c r="O73" s="29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</row>
    <row r="74" spans="1:32" x14ac:dyDescent="0.2">
      <c r="B74" s="86"/>
      <c r="C74" s="74"/>
      <c r="O74" s="29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</row>
    <row r="75" spans="1:32" x14ac:dyDescent="0.2">
      <c r="B75" s="86"/>
      <c r="C75" s="74"/>
      <c r="O75" s="29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</row>
    <row r="76" spans="1:32" x14ac:dyDescent="0.2">
      <c r="B76" s="86"/>
      <c r="C76" s="74"/>
    </row>
    <row r="77" spans="1:32" x14ac:dyDescent="0.2">
      <c r="A77"/>
      <c r="B77" s="86"/>
      <c r="C77" s="74"/>
      <c r="E77" s="28"/>
      <c r="F77" s="29"/>
      <c r="G77" s="29"/>
      <c r="H77" s="29"/>
      <c r="I77" s="29"/>
      <c r="J77" s="29"/>
      <c r="K77" s="29"/>
      <c r="L77" s="29"/>
      <c r="M77" s="29"/>
      <c r="N77" s="29"/>
    </row>
    <row r="78" spans="1:32" x14ac:dyDescent="0.2">
      <c r="A78"/>
      <c r="B78" s="86"/>
      <c r="C78" s="74"/>
      <c r="E78" s="28"/>
      <c r="F78" s="29"/>
      <c r="G78" s="29"/>
      <c r="H78" s="29"/>
      <c r="I78" s="29"/>
      <c r="J78" s="29"/>
      <c r="K78" s="29"/>
      <c r="L78" s="29"/>
      <c r="M78" s="29"/>
      <c r="N78" s="29"/>
    </row>
    <row r="79" spans="1:32" x14ac:dyDescent="0.2">
      <c r="A79"/>
      <c r="B79" s="86"/>
      <c r="C79" s="74"/>
      <c r="E79" s="28"/>
      <c r="F79" s="29"/>
      <c r="G79" s="29"/>
      <c r="H79" s="29"/>
      <c r="I79" s="29"/>
      <c r="J79" s="29"/>
      <c r="K79" s="29"/>
      <c r="L79" s="29"/>
      <c r="M79" s="29"/>
      <c r="N79" s="29"/>
    </row>
    <row r="80" spans="1:32" x14ac:dyDescent="0.2">
      <c r="A80"/>
      <c r="B80" s="86"/>
      <c r="C80" s="74"/>
      <c r="D80"/>
      <c r="E80" s="28"/>
      <c r="F80" s="29"/>
      <c r="G80" s="29"/>
      <c r="H80" s="29"/>
      <c r="I80" s="29"/>
      <c r="J80" s="29"/>
      <c r="K80" s="29"/>
      <c r="L80" s="29"/>
      <c r="M80" s="29"/>
      <c r="N80" s="29"/>
    </row>
    <row r="81" spans="2:2" x14ac:dyDescent="0.2">
      <c r="B81" s="79"/>
    </row>
  </sheetData>
  <mergeCells count="22">
    <mergeCell ref="A10:A11"/>
    <mergeCell ref="B10:B11"/>
    <mergeCell ref="C10:C11"/>
    <mergeCell ref="A43:A44"/>
    <mergeCell ref="B43:B44"/>
    <mergeCell ref="C43:C44"/>
    <mergeCell ref="A28:A38"/>
    <mergeCell ref="B28:B38"/>
    <mergeCell ref="F46:N46"/>
    <mergeCell ref="D26:AG26"/>
    <mergeCell ref="D43:E43"/>
    <mergeCell ref="D27:AG27"/>
    <mergeCell ref="D28:AG28"/>
    <mergeCell ref="D29:AG29"/>
    <mergeCell ref="D30:AG30"/>
    <mergeCell ref="D33:I33"/>
    <mergeCell ref="D34:I34"/>
    <mergeCell ref="D35:I35"/>
    <mergeCell ref="D36:I36"/>
    <mergeCell ref="D37:J37"/>
    <mergeCell ref="D31:H31"/>
    <mergeCell ref="D32:I32"/>
  </mergeCells>
  <phoneticPr fontId="9" type="noConversion"/>
  <conditionalFormatting sqref="D15:F15 G21 S21 D13:D21 S17 D18:G18 D17:E17 U17 U21:Y21 W17">
    <cfRule type="cellIs" dxfId="88" priority="288" stopIfTrue="1" operator="greaterThan">
      <formula>0</formula>
    </cfRule>
  </conditionalFormatting>
  <conditionalFormatting sqref="I15:M15">
    <cfRule type="cellIs" dxfId="87" priority="287" stopIfTrue="1" operator="greaterThan">
      <formula>0</formula>
    </cfRule>
  </conditionalFormatting>
  <conditionalFormatting sqref="W18:Y18 O15:S15 S18 AB15:AD15 U18 U15:Z15">
    <cfRule type="cellIs" dxfId="86" priority="286" stopIfTrue="1" operator="greaterThan">
      <formula>0</formula>
    </cfRule>
  </conditionalFormatting>
  <conditionalFormatting sqref="G15">
    <cfRule type="cellIs" dxfId="85" priority="280" stopIfTrue="1" operator="greaterThan">
      <formula>0</formula>
    </cfRule>
  </conditionalFormatting>
  <conditionalFormatting sqref="H15">
    <cfRule type="cellIs" dxfId="84" priority="273" stopIfTrue="1" operator="greaterThan">
      <formula>0</formula>
    </cfRule>
  </conditionalFormatting>
  <conditionalFormatting sqref="V18">
    <cfRule type="cellIs" dxfId="83" priority="267" stopIfTrue="1" operator="greaterThan">
      <formula>0</formula>
    </cfRule>
  </conditionalFormatting>
  <conditionalFormatting sqref="AF15">
    <cfRule type="cellIs" dxfId="82" priority="264" stopIfTrue="1" operator="greaterThan">
      <formula>0</formula>
    </cfRule>
  </conditionalFormatting>
  <conditionalFormatting sqref="D14:F14">
    <cfRule type="cellIs" dxfId="81" priority="258" stopIfTrue="1" operator="greaterThan">
      <formula>0</formula>
    </cfRule>
  </conditionalFormatting>
  <conditionalFormatting sqref="I14:M14">
    <cfRule type="cellIs" dxfId="80" priority="257" stopIfTrue="1" operator="greaterThan">
      <formula>0</formula>
    </cfRule>
  </conditionalFormatting>
  <conditionalFormatting sqref="O14:S14 AB14:AD14 U14:Z14">
    <cfRule type="cellIs" dxfId="79" priority="256" stopIfTrue="1" operator="greaterThan">
      <formula>0</formula>
    </cfRule>
  </conditionalFormatting>
  <conditionalFormatting sqref="G14">
    <cfRule type="cellIs" dxfId="78" priority="255" stopIfTrue="1" operator="greaterThan">
      <formula>0</formula>
    </cfRule>
  </conditionalFormatting>
  <conditionalFormatting sqref="H14">
    <cfRule type="cellIs" dxfId="77" priority="253" stopIfTrue="1" operator="greaterThan">
      <formula>0</formula>
    </cfRule>
  </conditionalFormatting>
  <conditionalFormatting sqref="AF14">
    <cfRule type="cellIs" dxfId="76" priority="252" stopIfTrue="1" operator="greaterThan">
      <formula>0</formula>
    </cfRule>
  </conditionalFormatting>
  <conditionalFormatting sqref="D13:F13">
    <cfRule type="cellIs" dxfId="75" priority="242" stopIfTrue="1" operator="greaterThan">
      <formula>0</formula>
    </cfRule>
  </conditionalFormatting>
  <conditionalFormatting sqref="D16:E16">
    <cfRule type="cellIs" dxfId="74" priority="234" stopIfTrue="1" operator="greaterThan">
      <formula>0</formula>
    </cfRule>
  </conditionalFormatting>
  <conditionalFormatting sqref="I13:M13">
    <cfRule type="cellIs" dxfId="73" priority="241" stopIfTrue="1" operator="greaterThan">
      <formula>0</formula>
    </cfRule>
  </conditionalFormatting>
  <conditionalFormatting sqref="O13:S13 AB13:AD13 U13:Z13">
    <cfRule type="cellIs" dxfId="72" priority="240" stopIfTrue="1" operator="greaterThan">
      <formula>0</formula>
    </cfRule>
  </conditionalFormatting>
  <conditionalFormatting sqref="G13">
    <cfRule type="cellIs" dxfId="71" priority="239" stopIfTrue="1" operator="greaterThan">
      <formula>0</formula>
    </cfRule>
  </conditionalFormatting>
  <conditionalFormatting sqref="H13">
    <cfRule type="cellIs" dxfId="70" priority="237" stopIfTrue="1" operator="greaterThan">
      <formula>0</formula>
    </cfRule>
  </conditionalFormatting>
  <conditionalFormatting sqref="AF13">
    <cfRule type="cellIs" dxfId="69" priority="236" stopIfTrue="1" operator="greaterThan">
      <formula>0</formula>
    </cfRule>
  </conditionalFormatting>
  <conditionalFormatting sqref="S19 U18:Y19 U17 U20:X20 W17">
    <cfRule type="cellIs" dxfId="68" priority="212" stopIfTrue="1" operator="greaterThan">
      <formula>0</formula>
    </cfRule>
  </conditionalFormatting>
  <conditionalFormatting sqref="D19:F19">
    <cfRule type="cellIs" dxfId="67" priority="214" stopIfTrue="1" operator="greaterThan">
      <formula>0</formula>
    </cfRule>
  </conditionalFormatting>
  <conditionalFormatting sqref="G19">
    <cfRule type="cellIs" dxfId="66" priority="211" stopIfTrue="1" operator="greaterThan">
      <formula>0</formula>
    </cfRule>
  </conditionalFormatting>
  <conditionalFormatting sqref="U16">
    <cfRule type="cellIs" dxfId="65" priority="189" stopIfTrue="1" operator="greaterThan">
      <formula>0</formula>
    </cfRule>
  </conditionalFormatting>
  <conditionalFormatting sqref="D20">
    <cfRule type="cellIs" dxfId="64" priority="200" stopIfTrue="1" operator="greaterThan">
      <formula>0</formula>
    </cfRule>
  </conditionalFormatting>
  <conditionalFormatting sqref="V19">
    <cfRule type="cellIs" dxfId="63" priority="206" stopIfTrue="1" operator="greaterThan">
      <formula>0</formula>
    </cfRule>
  </conditionalFormatting>
  <conditionalFormatting sqref="G20 U20:V20">
    <cfRule type="cellIs" dxfId="62" priority="203" stopIfTrue="1" operator="greaterThan">
      <formula>0</formula>
    </cfRule>
  </conditionalFormatting>
  <conditionalFormatting sqref="W20">
    <cfRule type="cellIs" dxfId="61" priority="202" stopIfTrue="1" operator="greaterThan">
      <formula>0</formula>
    </cfRule>
  </conditionalFormatting>
  <conditionalFormatting sqref="W16">
    <cfRule type="cellIs" dxfId="60" priority="187" stopIfTrue="1" operator="greaterThan">
      <formula>0</formula>
    </cfRule>
  </conditionalFormatting>
  <conditionalFormatting sqref="S16">
    <cfRule type="cellIs" dxfId="59" priority="191" stopIfTrue="1" operator="greaterThan">
      <formula>0</formula>
    </cfRule>
  </conditionalFormatting>
  <conditionalFormatting sqref="X16">
    <cfRule type="cellIs" dxfId="58" priority="186" stopIfTrue="1" operator="greaterThan">
      <formula>0</formula>
    </cfRule>
  </conditionalFormatting>
  <conditionalFormatting sqref="Y16">
    <cfRule type="cellIs" dxfId="57" priority="185" stopIfTrue="1" operator="greaterThan">
      <formula>0</formula>
    </cfRule>
  </conditionalFormatting>
  <conditionalFormatting sqref="D22:G24 S22:S24 U22:Y24">
    <cfRule type="cellIs" dxfId="56" priority="137" stopIfTrue="1" operator="greaterThan">
      <formula>0</formula>
    </cfRule>
  </conditionalFormatting>
  <conditionalFormatting sqref="AG13">
    <cfRule type="cellIs" dxfId="55" priority="127" stopIfTrue="1" operator="greaterThan">
      <formula>0</formula>
    </cfRule>
  </conditionalFormatting>
  <conditionalFormatting sqref="AG13">
    <cfRule type="cellIs" dxfId="54" priority="118" stopIfTrue="1" operator="greaterThan">
      <formula>0</formula>
    </cfRule>
  </conditionalFormatting>
  <conditionalFormatting sqref="AG21 AG17:AG18">
    <cfRule type="cellIs" dxfId="53" priority="131" stopIfTrue="1" operator="greaterThan">
      <formula>0</formula>
    </cfRule>
  </conditionalFormatting>
  <conditionalFormatting sqref="AG15">
    <cfRule type="cellIs" dxfId="52" priority="130" stopIfTrue="1" operator="greaterThan">
      <formula>0</formula>
    </cfRule>
  </conditionalFormatting>
  <conditionalFormatting sqref="AG14">
    <cfRule type="cellIs" dxfId="51" priority="129" stopIfTrue="1" operator="greaterThan">
      <formula>0</formula>
    </cfRule>
  </conditionalFormatting>
  <conditionalFormatting sqref="AG19">
    <cfRule type="cellIs" dxfId="50" priority="126" stopIfTrue="1" operator="greaterThan">
      <formula>0</formula>
    </cfRule>
  </conditionalFormatting>
  <conditionalFormatting sqref="AG16">
    <cfRule type="cellIs" dxfId="49" priority="124" stopIfTrue="1" operator="greaterThan">
      <formula>0</formula>
    </cfRule>
  </conditionalFormatting>
  <conditionalFormatting sqref="AG21 AG17:AG18">
    <cfRule type="cellIs" dxfId="48" priority="122" stopIfTrue="1" operator="greaterThan">
      <formula>0</formula>
    </cfRule>
  </conditionalFormatting>
  <conditionalFormatting sqref="AG15">
    <cfRule type="cellIs" dxfId="47" priority="121" stopIfTrue="1" operator="greaterThan">
      <formula>0</formula>
    </cfRule>
  </conditionalFormatting>
  <conditionalFormatting sqref="AG14">
    <cfRule type="cellIs" dxfId="46" priority="120" stopIfTrue="1" operator="greaterThan">
      <formula>0</formula>
    </cfRule>
  </conditionalFormatting>
  <conditionalFormatting sqref="AG19">
    <cfRule type="cellIs" dxfId="45" priority="117" stopIfTrue="1" operator="greaterThan">
      <formula>0</formula>
    </cfRule>
  </conditionalFormatting>
  <conditionalFormatting sqref="AG16">
    <cfRule type="cellIs" dxfId="44" priority="115" stopIfTrue="1" operator="greaterThan">
      <formula>0</formula>
    </cfRule>
  </conditionalFormatting>
  <conditionalFormatting sqref="AF13">
    <cfRule type="cellIs" dxfId="43" priority="109" stopIfTrue="1" operator="greaterThan">
      <formula>0</formula>
    </cfRule>
  </conditionalFormatting>
  <conditionalFormatting sqref="AF15">
    <cfRule type="cellIs" dxfId="42" priority="112" stopIfTrue="1" operator="greaterThan">
      <formula>0</formula>
    </cfRule>
  </conditionalFormatting>
  <conditionalFormatting sqref="AF14">
    <cfRule type="cellIs" dxfId="41" priority="111" stopIfTrue="1" operator="greaterThan">
      <formula>0</formula>
    </cfRule>
  </conditionalFormatting>
  <conditionalFormatting sqref="D25:G25 S25 U25:Y25">
    <cfRule type="cellIs" dxfId="40" priority="104" stopIfTrue="1" operator="greaterThan">
      <formula>0</formula>
    </cfRule>
  </conditionalFormatting>
  <conditionalFormatting sqref="AG25">
    <cfRule type="cellIs" dxfId="39" priority="102" stopIfTrue="1" operator="greaterThan">
      <formula>0</formula>
    </cfRule>
  </conditionalFormatting>
  <conditionalFormatting sqref="AG25">
    <cfRule type="cellIs" dxfId="38" priority="101" stopIfTrue="1" operator="greaterThan">
      <formula>0</formula>
    </cfRule>
  </conditionalFormatting>
  <conditionalFormatting sqref="AH13:AH25">
    <cfRule type="cellIs" dxfId="37" priority="77" stopIfTrue="1" operator="greaterThan">
      <formula>0</formula>
    </cfRule>
  </conditionalFormatting>
  <conditionalFormatting sqref="AG22:AG24">
    <cfRule type="cellIs" dxfId="36" priority="96" stopIfTrue="1" operator="greaterThan">
      <formula>0</formula>
    </cfRule>
  </conditionalFormatting>
  <conditionalFormatting sqref="E21:F21">
    <cfRule type="cellIs" dxfId="35" priority="95" stopIfTrue="1" operator="greaterThan">
      <formula>0</formula>
    </cfRule>
  </conditionalFormatting>
  <conditionalFormatting sqref="E20:F20">
    <cfRule type="cellIs" dxfId="34" priority="94" stopIfTrue="1" operator="greaterThan">
      <formula>0</formula>
    </cfRule>
  </conditionalFormatting>
  <conditionalFormatting sqref="X20">
    <cfRule type="cellIs" dxfId="33" priority="91" stopIfTrue="1" operator="greaterThan">
      <formula>0</formula>
    </cfRule>
  </conditionalFormatting>
  <conditionalFormatting sqref="K42">
    <cfRule type="cellIs" dxfId="32" priority="90" stopIfTrue="1" operator="greaterThan">
      <formula>0</formula>
    </cfRule>
  </conditionalFormatting>
  <conditionalFormatting sqref="L42">
    <cfRule type="cellIs" dxfId="31" priority="89" stopIfTrue="1" operator="greaterThan">
      <formula>0</formula>
    </cfRule>
  </conditionalFormatting>
  <conditionalFormatting sqref="AH13:AH25">
    <cfRule type="cellIs" dxfId="30" priority="78" stopIfTrue="1" operator="greaterThan">
      <formula>0</formula>
    </cfRule>
  </conditionalFormatting>
  <conditionalFormatting sqref="AL18">
    <cfRule type="cellIs" dxfId="29" priority="76" stopIfTrue="1" operator="greaterThan">
      <formula>0</formula>
    </cfRule>
  </conditionalFormatting>
  <conditionalFormatting sqref="AL18">
    <cfRule type="cellIs" dxfId="28" priority="75" stopIfTrue="1" operator="greaterThan">
      <formula>0</formula>
    </cfRule>
  </conditionalFormatting>
  <conditionalFormatting sqref="AA13:AA15">
    <cfRule type="cellIs" dxfId="27" priority="74" stopIfTrue="1" operator="greaterThan">
      <formula>0</formula>
    </cfRule>
  </conditionalFormatting>
  <conditionalFormatting sqref="N13:N15">
    <cfRule type="cellIs" dxfId="26" priority="56" stopIfTrue="1" operator="greaterThan">
      <formula>0</formula>
    </cfRule>
  </conditionalFormatting>
  <conditionalFormatting sqref="X17">
    <cfRule type="cellIs" dxfId="25" priority="36" stopIfTrue="1" operator="greaterThan">
      <formula>0</formula>
    </cfRule>
  </conditionalFormatting>
  <conditionalFormatting sqref="H21:R22 I18:R19 I20:J20 O20:R20 H25 H23:I24 K23:R24 I16:L17 N16:N17 P16:R17 J25:R25">
    <cfRule type="cellIs" dxfId="24" priority="54" stopIfTrue="1" operator="greaterThan">
      <formula>0</formula>
    </cfRule>
  </conditionalFormatting>
  <conditionalFormatting sqref="AG20">
    <cfRule type="cellIs" dxfId="23" priority="52" stopIfTrue="1" operator="greaterThan">
      <formula>0</formula>
    </cfRule>
  </conditionalFormatting>
  <conditionalFormatting sqref="D17:E17">
    <cfRule type="cellIs" dxfId="22" priority="51" stopIfTrue="1" operator="greaterThan">
      <formula>0</formula>
    </cfRule>
  </conditionalFormatting>
  <conditionalFormatting sqref="D17:E17">
    <cfRule type="cellIs" dxfId="21" priority="50" stopIfTrue="1" operator="greaterThan">
      <formula>0</formula>
    </cfRule>
  </conditionalFormatting>
  <conditionalFormatting sqref="G17">
    <cfRule type="cellIs" dxfId="20" priority="46" stopIfTrue="1" operator="greaterThan">
      <formula>0</formula>
    </cfRule>
  </conditionalFormatting>
  <conditionalFormatting sqref="T13:T25">
    <cfRule type="cellIs" dxfId="19" priority="42" stopIfTrue="1" operator="greaterThan">
      <formula>0</formula>
    </cfRule>
  </conditionalFormatting>
  <conditionalFormatting sqref="X20">
    <cfRule type="cellIs" dxfId="18" priority="12" stopIfTrue="1" operator="greaterThan">
      <formula>0</formula>
    </cfRule>
  </conditionalFormatting>
  <conditionalFormatting sqref="K20">
    <cfRule type="cellIs" dxfId="17" priority="24" stopIfTrue="1" operator="greaterThan">
      <formula>0</formula>
    </cfRule>
  </conditionalFormatting>
  <conditionalFormatting sqref="G16">
    <cfRule type="cellIs" dxfId="16" priority="28" stopIfTrue="1" operator="greaterThan">
      <formula>0</formula>
    </cfRule>
  </conditionalFormatting>
  <conditionalFormatting sqref="H16:H20">
    <cfRule type="cellIs" dxfId="15" priority="26" stopIfTrue="1" operator="greaterThan">
      <formula>0</formula>
    </cfRule>
  </conditionalFormatting>
  <conditionalFormatting sqref="S20">
    <cfRule type="cellIs" dxfId="14" priority="20" stopIfTrue="1" operator="greaterThan">
      <formula>0</formula>
    </cfRule>
  </conditionalFormatting>
  <conditionalFormatting sqref="L20:N20">
    <cfRule type="cellIs" dxfId="13" priority="22" stopIfTrue="1" operator="greaterThan">
      <formula>0</formula>
    </cfRule>
  </conditionalFormatting>
  <conditionalFormatting sqref="V20">
    <cfRule type="cellIs" dxfId="12" priority="19" stopIfTrue="1" operator="greaterThan">
      <formula>0</formula>
    </cfRule>
  </conditionalFormatting>
  <conditionalFormatting sqref="V20">
    <cfRule type="cellIs" dxfId="11" priority="18" stopIfTrue="1" operator="greaterThan">
      <formula>0</formula>
    </cfRule>
  </conditionalFormatting>
  <conditionalFormatting sqref="AE13:AE15">
    <cfRule type="cellIs" dxfId="10" priority="16" stopIfTrue="1" operator="greaterThan">
      <formula>0</formula>
    </cfRule>
  </conditionalFormatting>
  <conditionalFormatting sqref="Y17">
    <cfRule type="cellIs" dxfId="9" priority="15" stopIfTrue="1" operator="greaterThan">
      <formula>0</formula>
    </cfRule>
  </conditionalFormatting>
  <conditionalFormatting sqref="Y20">
    <cfRule type="cellIs" dxfId="8" priority="14" stopIfTrue="1" operator="greaterThan">
      <formula>0</formula>
    </cfRule>
  </conditionalFormatting>
  <conditionalFormatting sqref="X20">
    <cfRule type="cellIs" dxfId="7" priority="13" stopIfTrue="1" operator="greaterThan">
      <formula>0</formula>
    </cfRule>
  </conditionalFormatting>
  <conditionalFormatting sqref="F16:F17">
    <cfRule type="cellIs" dxfId="6" priority="7" stopIfTrue="1" operator="greaterThan">
      <formula>0</formula>
    </cfRule>
  </conditionalFormatting>
  <conditionalFormatting sqref="J23:J24">
    <cfRule type="cellIs" dxfId="5" priority="6" stopIfTrue="1" operator="greaterThan">
      <formula>0</formula>
    </cfRule>
  </conditionalFormatting>
  <conditionalFormatting sqref="M16:M17">
    <cfRule type="cellIs" dxfId="4" priority="5" stopIfTrue="1" operator="greaterThan">
      <formula>0</formula>
    </cfRule>
  </conditionalFormatting>
  <conditionalFormatting sqref="O16:O17">
    <cfRule type="cellIs" dxfId="3" priority="4" stopIfTrue="1" operator="greaterThan">
      <formula>0</formula>
    </cfRule>
  </conditionalFormatting>
  <conditionalFormatting sqref="V16:V17">
    <cfRule type="cellIs" dxfId="2" priority="3" stopIfTrue="1" operator="greaterThan">
      <formula>0</formula>
    </cfRule>
  </conditionalFormatting>
  <conditionalFormatting sqref="Z16:AF25">
    <cfRule type="cellIs" dxfId="1" priority="2" stopIfTrue="1" operator="greaterThan">
      <formula>0</formula>
    </cfRule>
  </conditionalFormatting>
  <conditionalFormatting sqref="I25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Avaibility ALU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2007-08-03T02:53:39Z</cp:lastPrinted>
  <dcterms:created xsi:type="dcterms:W3CDTF">2006-10-16T02:50:45Z</dcterms:created>
  <dcterms:modified xsi:type="dcterms:W3CDTF">2022-12-30T06:47:39Z</dcterms:modified>
</cp:coreProperties>
</file>