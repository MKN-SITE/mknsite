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ALU" sheetId="11" r:id="rId1"/>
  </sheets>
  <definedNames>
    <definedName name="_xlnm.Print_Area" localSheetId="0">'Avaibility ALU'!$A$1:$AG$64</definedName>
  </definedNames>
  <calcPr calcId="144525"/>
</workbook>
</file>

<file path=xl/calcChain.xml><?xml version="1.0" encoding="utf-8"?>
<calcChain xmlns="http://schemas.openxmlformats.org/spreadsheetml/2006/main">
  <c r="E54" i="11" l="1"/>
  <c r="D54" i="11"/>
  <c r="C54" i="11" l="1"/>
  <c r="D53" i="11"/>
  <c r="D52" i="11"/>
  <c r="D43" i="11"/>
  <c r="D42" i="11"/>
  <c r="E52" i="11" l="1"/>
  <c r="E53" i="11"/>
  <c r="E51" i="11"/>
  <c r="C52" i="11" l="1"/>
  <c r="C53" i="11"/>
  <c r="D51" i="11"/>
  <c r="C51" i="11" s="1"/>
  <c r="E42" i="11"/>
  <c r="C42" i="11" s="1"/>
  <c r="E43" i="11"/>
  <c r="C43" i="11" s="1"/>
  <c r="D44" i="11"/>
  <c r="E44" i="11"/>
  <c r="D45" i="11"/>
  <c r="E45" i="11"/>
  <c r="D46" i="11"/>
  <c r="E46" i="11"/>
  <c r="D47" i="11"/>
  <c r="E47" i="11"/>
  <c r="D48" i="11"/>
  <c r="E48" i="11"/>
  <c r="D49" i="11"/>
  <c r="E49" i="11"/>
  <c r="D50" i="11"/>
  <c r="E50" i="11"/>
  <c r="C46" i="11" l="1"/>
  <c r="C50" i="11"/>
  <c r="C48" i="11"/>
  <c r="C44" i="11"/>
  <c r="C49" i="11"/>
  <c r="C47" i="11"/>
  <c r="C45" i="11"/>
  <c r="C59" i="11" l="1"/>
</calcChain>
</file>

<file path=xl/sharedStrings.xml><?xml version="1.0" encoding="utf-8"?>
<sst xmlns="http://schemas.openxmlformats.org/spreadsheetml/2006/main" count="107" uniqueCount="52">
  <si>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</si>
  <si>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</si>
  <si>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</si>
  <si>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</si>
  <si>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</si>
  <si>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</si>
  <si>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</si>
  <si>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</si>
  <si>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</si>
  <si>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</si>
  <si>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</si>
  <si>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</si>
  <si>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</si>
  <si>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</si>
  <si>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</si>
  <si>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</si>
  <si>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</si>
  <si>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</si>
  <si>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</si>
  <si>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</si>
  <si>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</si>
  <si>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</si>
  <si>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</si>
  <si>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</si>
  <si>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</si>
  <si>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</si>
  <si>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</si>
  <si>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</si>
  <si>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</si>
  <si>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</si>
  <si>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</si>
  <si>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</si>
  <si>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</si>
  <si>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</si>
  <si>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</si>
  <si>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</si>
  <si>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</si>
  <si>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</si>
  <si>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</si>
  <si>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</si>
  <si>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</si>
  <si>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</si>
  <si>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</si>
  <si>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</si>
  <si>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</si>
  <si>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</si>
  <si>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</si>
  <si>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>30</t>
  </si>
  <si>
    <t xml:space="preserve">M5 to SURYA ODU </t>
  </si>
  <si>
    <t>Remaks</t>
  </si>
  <si>
    <t xml:space="preserve">       Mati lampu / Problem Genset di Tower PTH</t>
  </si>
  <si>
    <t xml:space="preserve">       Su tower to  Big tower Loss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</si>
</sst>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7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46" fontId="0" fillId="0" borderId="0" xfId="0" applyNumberFormat="1" applyBorder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49" fontId="6" fillId="0" borderId="26" xfId="0" applyNumberFormat="1" applyFont="1" applyBorder="1" applyAlignment="1">
      <alignment horizontal="center"/>
    </xf>
    <xf numFmtId="164" fontId="35" fillId="0" borderId="27" xfId="0" applyFont="1" applyFill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" fontId="6" fillId="0" borderId="30" xfId="0" applyNumberFormat="1" applyFont="1" applyBorder="1" applyAlignment="1">
      <alignment horizontal="center" vertical="center"/>
    </xf>
    <xf numFmtId="164" fontId="36" fillId="0" borderId="30" xfId="0" applyFont="1" applyBorder="1" applyAlignment="1">
      <alignment vertical="center"/>
    </xf>
    <xf numFmtId="164" fontId="37" fillId="0" borderId="30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" fontId="8" fillId="0" borderId="37" xfId="0" applyNumberFormat="1" applyFont="1" applyBorder="1" applyAlignment="1">
      <alignment horizont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4" xfId="0" applyFont="1" applyBorder="1" applyAlignment="1">
      <alignment horizontal="left" vertical="center"/>
    </xf>
    <xf numFmtId="164" fontId="6" fillId="0" borderId="24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36" fillId="0" borderId="31" xfId="0" applyFont="1" applyBorder="1" applyAlignment="1">
      <alignment horizontal="center" vertical="center" wrapText="1"/>
    </xf>
    <xf numFmtId="164" fontId="36" fillId="0" borderId="32" xfId="0" applyFont="1" applyBorder="1" applyAlignment="1">
      <alignment horizontal="center" vertical="center" wrapText="1"/>
    </xf>
    <xf numFmtId="164" fontId="36" fillId="0" borderId="0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33" xfId="0" applyFont="1" applyBorder="1" applyAlignment="1">
      <alignment horizontal="center" vertical="center" wrapText="1"/>
    </xf>
    <xf numFmtId="164" fontId="36" fillId="0" borderId="34" xfId="0" applyFont="1" applyBorder="1" applyAlignment="1">
      <alignment horizontal="center" vertical="center" wrapText="1"/>
    </xf>
    <xf numFmtId="164" fontId="6" fillId="0" borderId="4" xfId="0" applyFont="1" applyBorder="1" applyAlignment="1">
      <alignment horizontal="center" vertical="center"/>
    </xf>
    <xf numFmtId="164" fontId="6" fillId="0" borderId="24" xfId="0" applyFont="1" applyBorder="1" applyAlignment="1">
      <alignment horizontal="center" vertical="center"/>
    </xf>
    <xf numFmtId="164" fontId="6" fillId="0" borderId="2" xfId="0" applyFont="1" applyBorder="1" applyAlignment="1">
      <alignment horizontal="center" vertical="center"/>
    </xf>
    <xf numFmtId="164" fontId="37" fillId="0" borderId="30" xfId="0" applyFont="1" applyBorder="1" applyAlignment="1">
      <alignment horizontal="center" vertical="center"/>
    </xf>
    <xf numFmtId="164" fontId="37" fillId="0" borderId="28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15" xfId="0" applyFont="1" applyBorder="1" applyAlignment="1">
      <alignment horizontal="center" vertical="center"/>
    </xf>
    <xf numFmtId="164" fontId="6" fillId="0" borderId="35" xfId="0" applyFont="1" applyBorder="1" applyAlignment="1">
      <alignment horizontal="center" vertical="center"/>
    </xf>
    <xf numFmtId="164" fontId="6" fillId="0" borderId="36" xfId="0" applyFont="1" applyBorder="1" applyAlignment="1">
      <alignment horizontal="center" vertical="center"/>
    </xf>
    <xf numFmtId="164" fontId="6" fillId="0" borderId="29" xfId="0" applyFont="1" applyBorder="1" applyAlignment="1">
      <alignment horizontal="left" vertical="center"/>
    </xf>
    <xf numFmtId="164" fontId="6" fillId="0" borderId="25" xfId="0" applyFont="1" applyBorder="1" applyAlignment="1">
      <alignment horizontal="left" vertical="center"/>
    </xf>
    <xf numFmtId="164" fontId="6" fillId="0" borderId="23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7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5"/>
  <sheetViews>
    <sheetView tabSelected="1" topLeftCell="A4" zoomScale="90" zoomScaleNormal="90" workbookViewId="0">
      <selection activeCell="C72" sqref="C72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40">
        <v>44866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2" t="s">
        <v>47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97" t="s">
        <v>2</v>
      </c>
      <c r="B10" s="99" t="s">
        <v>0</v>
      </c>
      <c r="C10" s="99" t="s">
        <v>8</v>
      </c>
      <c r="D10" s="46">
        <v>44501</v>
      </c>
      <c r="E10" s="46">
        <v>44502</v>
      </c>
      <c r="F10" s="46">
        <v>44503</v>
      </c>
      <c r="G10" s="46">
        <v>44504</v>
      </c>
      <c r="H10" s="46">
        <v>44505</v>
      </c>
      <c r="I10" s="46">
        <v>44506</v>
      </c>
      <c r="J10" s="46">
        <v>44507</v>
      </c>
      <c r="K10" s="46">
        <v>44508</v>
      </c>
      <c r="L10" s="46">
        <v>44509</v>
      </c>
      <c r="M10" s="46">
        <v>44510</v>
      </c>
      <c r="N10" s="46">
        <v>44511</v>
      </c>
      <c r="O10" s="46">
        <v>44512</v>
      </c>
      <c r="P10" s="46">
        <v>44513</v>
      </c>
      <c r="Q10" s="46">
        <v>44514</v>
      </c>
      <c r="R10" s="46">
        <v>44515</v>
      </c>
      <c r="S10" s="46">
        <v>44516</v>
      </c>
      <c r="T10" s="46">
        <v>44517</v>
      </c>
      <c r="U10" s="46">
        <v>44518</v>
      </c>
      <c r="V10" s="46">
        <v>44519</v>
      </c>
      <c r="W10" s="46">
        <v>44520</v>
      </c>
      <c r="X10" s="46">
        <v>44521</v>
      </c>
      <c r="Y10" s="46">
        <v>44522</v>
      </c>
      <c r="Z10" s="46">
        <v>44523</v>
      </c>
      <c r="AA10" s="46">
        <v>44524</v>
      </c>
      <c r="AB10" s="46">
        <v>44525</v>
      </c>
      <c r="AC10" s="46">
        <v>44526</v>
      </c>
      <c r="AD10" s="46">
        <v>44527</v>
      </c>
      <c r="AE10" s="46">
        <v>44528</v>
      </c>
      <c r="AF10" s="46">
        <v>44529</v>
      </c>
      <c r="AG10" s="78">
        <v>44530</v>
      </c>
    </row>
    <row r="11" spans="1:33" s="1" customFormat="1" x14ac:dyDescent="0.2">
      <c r="A11" s="98"/>
      <c r="B11" s="100"/>
      <c r="C11" s="100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8"/>
      <c r="AG12" s="67"/>
    </row>
    <row r="13" spans="1:33" s="12" customFormat="1" ht="15.75" x14ac:dyDescent="0.25">
      <c r="A13" s="48" t="s">
        <v>37</v>
      </c>
      <c r="B13" s="32" t="s">
        <v>17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</row>
    <row r="14" spans="1:33" s="12" customFormat="1" ht="15.75" x14ac:dyDescent="0.25">
      <c r="A14" s="48" t="s">
        <v>28</v>
      </c>
      <c r="B14" s="32" t="s">
        <v>25</v>
      </c>
      <c r="C14" s="36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</row>
    <row r="15" spans="1:33" s="12" customFormat="1" ht="15.75" x14ac:dyDescent="0.25">
      <c r="A15" s="48" t="s">
        <v>29</v>
      </c>
      <c r="B15" s="32" t="s">
        <v>18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</row>
    <row r="16" spans="1:33" s="12" customFormat="1" ht="15.75" x14ac:dyDescent="0.25">
      <c r="A16" s="48" t="s">
        <v>30</v>
      </c>
      <c r="B16" s="32" t="s">
        <v>19</v>
      </c>
      <c r="C16" s="36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spans="1:33" s="12" customFormat="1" ht="15.75" x14ac:dyDescent="0.25">
      <c r="A17" s="48" t="s">
        <v>31</v>
      </c>
      <c r="B17" s="32" t="s">
        <v>20</v>
      </c>
      <c r="C17" s="36"/>
      <c r="D17" s="37">
        <v>0</v>
      </c>
      <c r="E17" s="37">
        <v>0</v>
      </c>
      <c r="F17" s="37">
        <v>0</v>
      </c>
      <c r="G17" s="37">
        <v>8.217592592592594E-3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7.1180555555555554E-3</v>
      </c>
      <c r="Z17" s="37">
        <v>0</v>
      </c>
      <c r="AA17" s="37">
        <v>0</v>
      </c>
      <c r="AB17" s="37">
        <v>0</v>
      </c>
      <c r="AC17" s="37">
        <v>0</v>
      </c>
      <c r="AD17" s="37">
        <v>7.1296296296296307E-3</v>
      </c>
      <c r="AE17" s="37">
        <v>0</v>
      </c>
      <c r="AF17" s="37">
        <v>0</v>
      </c>
      <c r="AG17" s="37">
        <v>0</v>
      </c>
    </row>
    <row r="18" spans="1:33" s="12" customFormat="1" ht="15.75" x14ac:dyDescent="0.25">
      <c r="A18" s="48" t="s">
        <v>32</v>
      </c>
      <c r="B18" s="32" t="s">
        <v>21</v>
      </c>
      <c r="C18" s="36"/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</row>
    <row r="19" spans="1:33" s="12" customFormat="1" ht="15.75" x14ac:dyDescent="0.25">
      <c r="A19" s="48" t="s">
        <v>33</v>
      </c>
      <c r="B19" s="32" t="s">
        <v>22</v>
      </c>
      <c r="C19" s="36"/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</row>
    <row r="20" spans="1:33" s="12" customFormat="1" ht="15.75" x14ac:dyDescent="0.25">
      <c r="A20" s="48" t="s">
        <v>34</v>
      </c>
      <c r="B20" s="32" t="s">
        <v>26</v>
      </c>
      <c r="C20" s="36"/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0.1063425925925926</v>
      </c>
      <c r="J20" s="37">
        <v>2.1388888888888888E-2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</row>
    <row r="21" spans="1:33" s="12" customFormat="1" ht="15.75" x14ac:dyDescent="0.25">
      <c r="A21" s="48" t="s">
        <v>35</v>
      </c>
      <c r="B21" s="32" t="s">
        <v>24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0.10112268518518519</v>
      </c>
      <c r="J21" s="37">
        <v>2.1388888888888888E-2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</row>
    <row r="22" spans="1:33" s="12" customFormat="1" ht="15.75" x14ac:dyDescent="0.25">
      <c r="A22" s="48" t="s">
        <v>36</v>
      </c>
      <c r="B22" s="49" t="s">
        <v>23</v>
      </c>
      <c r="C22" s="50"/>
      <c r="D22" s="51">
        <v>0</v>
      </c>
      <c r="E22" s="51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</row>
    <row r="23" spans="1:33" s="12" customFormat="1" ht="15.75" x14ac:dyDescent="0.25">
      <c r="A23" s="48" t="s">
        <v>38</v>
      </c>
      <c r="B23" s="49" t="s">
        <v>39</v>
      </c>
      <c r="C23" s="36"/>
      <c r="D23" s="51">
        <v>0</v>
      </c>
      <c r="E23" s="51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</row>
    <row r="24" spans="1:33" s="12" customFormat="1" ht="15.75" x14ac:dyDescent="0.25">
      <c r="A24" s="48" t="s">
        <v>41</v>
      </c>
      <c r="B24" s="49" t="s">
        <v>40</v>
      </c>
      <c r="C24" s="50"/>
      <c r="D24" s="51">
        <v>0</v>
      </c>
      <c r="E24" s="51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</row>
    <row r="25" spans="1:33" s="12" customFormat="1" ht="14.25" customHeight="1" thickBot="1" x14ac:dyDescent="0.3">
      <c r="A25" s="69" t="s">
        <v>42</v>
      </c>
      <c r="B25" s="70" t="s">
        <v>45</v>
      </c>
      <c r="C25" s="71"/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37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2">
        <v>0</v>
      </c>
    </row>
    <row r="26" spans="1:33" s="12" customFormat="1" ht="16.5" customHeight="1" thickBot="1" x14ac:dyDescent="0.25">
      <c r="A26" s="73"/>
      <c r="B26" s="74"/>
      <c r="C26" s="7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6"/>
    </row>
    <row r="27" spans="1:33" s="12" customFormat="1" ht="16.5" customHeight="1" x14ac:dyDescent="0.2">
      <c r="A27" s="86" t="s">
        <v>49</v>
      </c>
      <c r="B27" s="87"/>
      <c r="C27" s="76">
        <v>44869</v>
      </c>
      <c r="D27" s="83" t="s">
        <v>51</v>
      </c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5"/>
    </row>
    <row r="28" spans="1:33" s="12" customFormat="1" ht="16.5" customHeight="1" x14ac:dyDescent="0.2">
      <c r="A28" s="88"/>
      <c r="B28" s="89"/>
      <c r="C28" s="76">
        <v>44871</v>
      </c>
      <c r="D28" s="83" t="s">
        <v>50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5"/>
    </row>
    <row r="29" spans="1:33" s="12" customFormat="1" ht="16.5" customHeight="1" x14ac:dyDescent="0.2">
      <c r="A29" s="88"/>
      <c r="B29" s="89"/>
      <c r="C29" s="77">
        <v>44872</v>
      </c>
      <c r="D29" s="83" t="s">
        <v>50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5"/>
    </row>
    <row r="30" spans="1:33" s="12" customFormat="1" ht="16.5" customHeight="1" x14ac:dyDescent="0.2">
      <c r="A30" s="88"/>
      <c r="B30" s="89"/>
      <c r="C30" s="77">
        <v>44887</v>
      </c>
      <c r="D30" s="83" t="s">
        <v>51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5"/>
    </row>
    <row r="31" spans="1:33" s="12" customFormat="1" ht="16.5" customHeight="1" x14ac:dyDescent="0.2">
      <c r="A31" s="88"/>
      <c r="B31" s="89"/>
      <c r="C31" s="77">
        <v>44892</v>
      </c>
      <c r="D31" s="83" t="s">
        <v>51</v>
      </c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5"/>
    </row>
    <row r="32" spans="1:33" s="12" customFormat="1" ht="16.5" customHeight="1" x14ac:dyDescent="0.2">
      <c r="A32" s="88"/>
      <c r="B32" s="89"/>
      <c r="C32" s="77"/>
      <c r="D32" s="104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6"/>
    </row>
    <row r="33" spans="1:33" s="12" customFormat="1" ht="16.5" customHeight="1" x14ac:dyDescent="0.2">
      <c r="A33" s="88"/>
      <c r="B33" s="89"/>
      <c r="C33" s="77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4"/>
    </row>
    <row r="34" spans="1:33" s="12" customFormat="1" ht="16.5" customHeight="1" x14ac:dyDescent="0.2">
      <c r="A34" s="88"/>
      <c r="B34" s="89"/>
      <c r="C34" s="77"/>
      <c r="D34" s="101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3"/>
    </row>
    <row r="35" spans="1:33" s="12" customFormat="1" ht="16.5" customHeight="1" thickBot="1" x14ac:dyDescent="0.25">
      <c r="A35" s="90"/>
      <c r="B35" s="91"/>
      <c r="C35" s="77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4"/>
    </row>
    <row r="36" spans="1:33" s="12" customFormat="1" ht="15" x14ac:dyDescent="0.2">
      <c r="A36" s="64"/>
      <c r="B36" s="64"/>
      <c r="C36" s="65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</row>
    <row r="37" spans="1:33" s="12" customFormat="1" ht="15" x14ac:dyDescent="0.2">
      <c r="A37" s="13"/>
      <c r="B37" s="43"/>
      <c r="C37" s="44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4"/>
    </row>
    <row r="38" spans="1:33" s="12" customFormat="1" x14ac:dyDescent="0.2">
      <c r="A38" s="13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33" s="12" customFormat="1" x14ac:dyDescent="0.2">
      <c r="A39" s="23" t="s">
        <v>12</v>
      </c>
      <c r="D39" s="14"/>
      <c r="E39" s="15"/>
      <c r="F39" s="15"/>
      <c r="G39" s="15"/>
      <c r="H39" s="15"/>
      <c r="I39" s="15"/>
      <c r="J39" s="15"/>
      <c r="K39" s="56"/>
      <c r="L39" s="56"/>
      <c r="M39" s="15"/>
      <c r="O39" s="15"/>
      <c r="AB39" s="31"/>
    </row>
    <row r="40" spans="1:33" s="12" customFormat="1" x14ac:dyDescent="0.2">
      <c r="A40" s="79" t="s">
        <v>2</v>
      </c>
      <c r="B40" s="79" t="s">
        <v>9</v>
      </c>
      <c r="C40" s="79" t="s">
        <v>1</v>
      </c>
      <c r="D40" s="81" t="s">
        <v>7</v>
      </c>
      <c r="E40" s="82"/>
      <c r="F40" s="15"/>
      <c r="G40" s="15"/>
      <c r="H40" s="15"/>
      <c r="I40" s="15"/>
      <c r="J40" s="15"/>
      <c r="K40" s="57"/>
      <c r="L40" s="57"/>
      <c r="M40" s="15"/>
      <c r="O40" s="15"/>
      <c r="AB40" s="31"/>
    </row>
    <row r="41" spans="1:33" s="12" customFormat="1" x14ac:dyDescent="0.2">
      <c r="A41" s="80"/>
      <c r="B41" s="80"/>
      <c r="C41" s="80"/>
      <c r="D41" s="27" t="s">
        <v>10</v>
      </c>
      <c r="E41" s="22" t="s">
        <v>11</v>
      </c>
      <c r="F41" s="15"/>
      <c r="G41" s="15"/>
      <c r="H41" s="15"/>
      <c r="I41" s="15"/>
      <c r="J41" s="15"/>
      <c r="K41" s="15"/>
      <c r="L41" s="15"/>
      <c r="M41" s="15"/>
      <c r="O41" s="15"/>
      <c r="AB41" s="31"/>
    </row>
    <row r="42" spans="1:33" s="12" customFormat="1" ht="15.75" x14ac:dyDescent="0.25">
      <c r="A42" s="41" t="s">
        <v>37</v>
      </c>
      <c r="B42" s="32" t="s">
        <v>48</v>
      </c>
      <c r="C42" s="38">
        <f t="shared" ref="C42:C50" si="0">1-(((D42*3600)+(LEFT(E42,2)*60)+RIGHT(E42,2))/((60*60*24)*$C$8))</f>
        <v>1</v>
      </c>
      <c r="D42" s="20" t="str">
        <f t="shared" ref="D42:D54" si="1">TEXT(SUM(D13:AG13),"[h]")</f>
        <v>0</v>
      </c>
      <c r="E42" s="20" t="str">
        <f t="shared" ref="E42:E54" si="2">TEXT(SUM(D13:AG13),"mm ss")</f>
        <v>00 00</v>
      </c>
      <c r="F42" s="15"/>
      <c r="G42" s="21"/>
      <c r="H42" s="15"/>
      <c r="I42" s="15"/>
      <c r="J42" s="15"/>
      <c r="K42" s="15"/>
      <c r="L42" s="15"/>
      <c r="M42" s="15"/>
      <c r="O42" s="15"/>
      <c r="AB42" s="31"/>
    </row>
    <row r="43" spans="1:33" s="12" customFormat="1" ht="15.75" x14ac:dyDescent="0.25">
      <c r="A43" s="41" t="s">
        <v>28</v>
      </c>
      <c r="B43" s="32" t="s">
        <v>25</v>
      </c>
      <c r="C43" s="38">
        <f t="shared" si="0"/>
        <v>1</v>
      </c>
      <c r="D43" s="20" t="str">
        <f t="shared" si="1"/>
        <v>0</v>
      </c>
      <c r="E43" s="20" t="str">
        <f t="shared" si="2"/>
        <v>00 00</v>
      </c>
      <c r="F43" s="15"/>
      <c r="G43" s="21"/>
      <c r="H43" s="15"/>
      <c r="I43" s="15"/>
      <c r="J43" s="15"/>
      <c r="K43" s="15"/>
      <c r="L43" s="15"/>
      <c r="M43" s="15"/>
      <c r="O43" s="15"/>
      <c r="AB43" s="31"/>
    </row>
    <row r="44" spans="1:33" s="12" customFormat="1" ht="15.75" x14ac:dyDescent="0.25">
      <c r="A44" s="41" t="s">
        <v>29</v>
      </c>
      <c r="B44" s="53" t="s">
        <v>18</v>
      </c>
      <c r="C44" s="38">
        <f t="shared" si="0"/>
        <v>1</v>
      </c>
      <c r="D44" s="20" t="str">
        <f t="shared" si="1"/>
        <v>0</v>
      </c>
      <c r="E44" s="20" t="str">
        <f t="shared" si="2"/>
        <v>00 00</v>
      </c>
      <c r="F44" s="15"/>
      <c r="G44" s="21"/>
      <c r="H44" s="15"/>
      <c r="I44" s="15"/>
      <c r="J44" s="15"/>
      <c r="K44" s="62"/>
      <c r="L44" s="15"/>
      <c r="M44" s="15"/>
      <c r="O44" s="15"/>
      <c r="AB44" s="31"/>
    </row>
    <row r="45" spans="1:33" s="12" customFormat="1" ht="15.75" x14ac:dyDescent="0.25">
      <c r="A45" s="41" t="s">
        <v>30</v>
      </c>
      <c r="B45" s="32" t="s">
        <v>19</v>
      </c>
      <c r="C45" s="38">
        <f t="shared" si="0"/>
        <v>1</v>
      </c>
      <c r="D45" s="20" t="str">
        <f t="shared" si="1"/>
        <v>0</v>
      </c>
      <c r="E45" s="20" t="str">
        <f t="shared" si="2"/>
        <v>00 00</v>
      </c>
      <c r="F45" s="15"/>
      <c r="G45" s="21"/>
      <c r="H45" s="15"/>
      <c r="I45" s="15"/>
      <c r="J45" s="15"/>
      <c r="K45" s="15"/>
      <c r="L45" s="15"/>
      <c r="M45" s="15"/>
      <c r="O45" s="15"/>
      <c r="AB45" s="31"/>
    </row>
    <row r="46" spans="1:33" s="12" customFormat="1" ht="15.75" x14ac:dyDescent="0.25">
      <c r="A46" s="41" t="s">
        <v>31</v>
      </c>
      <c r="B46" s="32" t="s">
        <v>20</v>
      </c>
      <c r="C46" s="38">
        <f t="shared" si="0"/>
        <v>0.99925115740740744</v>
      </c>
      <c r="D46" s="20" t="str">
        <f t="shared" si="1"/>
        <v>0</v>
      </c>
      <c r="E46" s="20" t="str">
        <f t="shared" si="2"/>
        <v>32 21</v>
      </c>
      <c r="F46" s="15"/>
      <c r="G46" s="21"/>
      <c r="H46" s="15"/>
      <c r="I46" s="15"/>
      <c r="J46" s="15"/>
      <c r="K46" s="15"/>
      <c r="L46" s="15"/>
      <c r="M46" s="15"/>
      <c r="O46" s="15"/>
      <c r="AB46" s="31"/>
    </row>
    <row r="47" spans="1:33" s="12" customFormat="1" ht="15.75" x14ac:dyDescent="0.25">
      <c r="A47" s="41" t="s">
        <v>32</v>
      </c>
      <c r="B47" s="32" t="s">
        <v>21</v>
      </c>
      <c r="C47" s="38">
        <f t="shared" si="0"/>
        <v>1</v>
      </c>
      <c r="D47" s="20" t="str">
        <f t="shared" si="1"/>
        <v>0</v>
      </c>
      <c r="E47" s="20" t="str">
        <f t="shared" si="2"/>
        <v>00 00</v>
      </c>
      <c r="F47" s="15"/>
      <c r="G47" s="21"/>
      <c r="H47" s="15"/>
      <c r="I47" s="15"/>
      <c r="J47" s="15"/>
      <c r="K47" s="15"/>
      <c r="L47" s="15"/>
      <c r="M47" s="15"/>
      <c r="O47" s="15"/>
      <c r="AB47" s="31"/>
    </row>
    <row r="48" spans="1:33" s="12" customFormat="1" ht="15.75" x14ac:dyDescent="0.25">
      <c r="A48" s="41" t="s">
        <v>33</v>
      </c>
      <c r="B48" s="32" t="s">
        <v>27</v>
      </c>
      <c r="C48" s="38">
        <f t="shared" si="0"/>
        <v>1</v>
      </c>
      <c r="D48" s="20" t="str">
        <f t="shared" si="1"/>
        <v>0</v>
      </c>
      <c r="E48" s="20" t="str">
        <f t="shared" si="2"/>
        <v>00 00</v>
      </c>
      <c r="F48" s="15"/>
      <c r="G48" s="21"/>
      <c r="H48" s="15"/>
      <c r="I48" s="15"/>
      <c r="J48" s="15"/>
      <c r="K48" s="15"/>
      <c r="L48" s="15"/>
      <c r="M48" s="15"/>
      <c r="N48" s="15"/>
      <c r="O48" s="15"/>
    </row>
    <row r="49" spans="1:33" s="12" customFormat="1" ht="15.75" x14ac:dyDescent="0.25">
      <c r="A49" s="41" t="s">
        <v>34</v>
      </c>
      <c r="B49" s="32" t="s">
        <v>26</v>
      </c>
      <c r="C49" s="38">
        <f t="shared" si="0"/>
        <v>0.99574228395061726</v>
      </c>
      <c r="D49" s="20" t="str">
        <f t="shared" si="1"/>
        <v>3</v>
      </c>
      <c r="E49" s="20" t="str">
        <f t="shared" si="2"/>
        <v>03 56</v>
      </c>
      <c r="F49" s="15"/>
      <c r="G49" s="21"/>
      <c r="H49" s="15"/>
      <c r="I49" s="15"/>
      <c r="J49" s="15"/>
      <c r="K49" s="15"/>
      <c r="L49" s="15"/>
      <c r="M49" s="15"/>
      <c r="N49" s="15"/>
      <c r="O49" s="15"/>
    </row>
    <row r="50" spans="1:33" s="12" customFormat="1" ht="15.75" x14ac:dyDescent="0.25">
      <c r="A50" s="41" t="s">
        <v>35</v>
      </c>
      <c r="B50" s="32" t="s">
        <v>24</v>
      </c>
      <c r="C50" s="38">
        <f t="shared" si="0"/>
        <v>0.99591628086419748</v>
      </c>
      <c r="D50" s="20" t="str">
        <f t="shared" si="1"/>
        <v>2</v>
      </c>
      <c r="E50" s="20" t="str">
        <f t="shared" si="2"/>
        <v>56 25</v>
      </c>
      <c r="F50" s="15"/>
      <c r="G50" s="21"/>
      <c r="H50" s="15"/>
      <c r="I50" s="15"/>
      <c r="J50" s="15"/>
      <c r="K50" s="15"/>
      <c r="L50" s="15"/>
      <c r="M50" s="15"/>
      <c r="N50" s="15"/>
      <c r="O50" s="15"/>
    </row>
    <row r="51" spans="1:33" s="12" customFormat="1" ht="15.75" x14ac:dyDescent="0.25">
      <c r="A51" s="41" t="s">
        <v>36</v>
      </c>
      <c r="B51" s="32" t="s">
        <v>23</v>
      </c>
      <c r="C51" s="33">
        <f>1-(((D51*3600)+(LEFT(E51,2)*60)+RIGHT(E51,2))/((60*60*24)*$C$8))</f>
        <v>1</v>
      </c>
      <c r="D51" s="20" t="str">
        <f t="shared" si="1"/>
        <v>0</v>
      </c>
      <c r="E51" s="20" t="str">
        <f t="shared" si="2"/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15"/>
    </row>
    <row r="52" spans="1:33" s="12" customFormat="1" ht="15.75" x14ac:dyDescent="0.25">
      <c r="A52" s="41" t="s">
        <v>38</v>
      </c>
      <c r="B52" s="32" t="s">
        <v>43</v>
      </c>
      <c r="C52" s="33">
        <f t="shared" ref="C52:C54" si="3">1-(((D52*3600)+(LEFT(E52,2)*60)+RIGHT(E52,2))/((60*60*24)*$C$8))</f>
        <v>1</v>
      </c>
      <c r="D52" s="20" t="str">
        <f t="shared" si="1"/>
        <v>0</v>
      </c>
      <c r="E52" s="20" t="str">
        <f t="shared" si="2"/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15"/>
    </row>
    <row r="53" spans="1:33" s="16" customFormat="1" ht="15.75" x14ac:dyDescent="0.25">
      <c r="A53" s="41" t="s">
        <v>41</v>
      </c>
      <c r="B53" s="32" t="s">
        <v>44</v>
      </c>
      <c r="C53" s="33">
        <f t="shared" si="3"/>
        <v>1</v>
      </c>
      <c r="D53" s="20" t="str">
        <f t="shared" si="1"/>
        <v>0</v>
      </c>
      <c r="E53" s="20" t="str">
        <f t="shared" si="2"/>
        <v>00 00</v>
      </c>
      <c r="F53" s="15"/>
      <c r="G53" s="21"/>
      <c r="H53" s="15"/>
      <c r="I53" s="15"/>
      <c r="J53" s="15"/>
      <c r="K53" s="15"/>
      <c r="L53" s="15"/>
      <c r="M53" s="15"/>
      <c r="N53" s="15"/>
      <c r="O53" s="15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ht="15.75" x14ac:dyDescent="0.25">
      <c r="A54" s="58" t="s">
        <v>42</v>
      </c>
      <c r="B54" s="32" t="s">
        <v>46</v>
      </c>
      <c r="C54" s="33">
        <f t="shared" si="3"/>
        <v>1</v>
      </c>
      <c r="D54" s="20" t="str">
        <f t="shared" si="1"/>
        <v>0</v>
      </c>
      <c r="E54" s="20" t="str">
        <f t="shared" si="2"/>
        <v>00 00</v>
      </c>
      <c r="F54" s="15"/>
      <c r="G54" s="21"/>
      <c r="H54" s="15"/>
      <c r="I54" s="15"/>
      <c r="J54" s="15"/>
      <c r="K54" s="15"/>
      <c r="L54" s="59"/>
      <c r="M54" s="59"/>
      <c r="N54" s="59"/>
      <c r="O54" s="59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 ht="15.75" x14ac:dyDescent="0.25">
      <c r="A55" s="52"/>
      <c r="B55" s="53"/>
      <c r="C55" s="54"/>
      <c r="D55" s="55"/>
      <c r="E55" s="55"/>
      <c r="F55" s="15"/>
      <c r="G55" s="21"/>
      <c r="H55" s="15"/>
      <c r="I55" s="15"/>
      <c r="J55" s="15"/>
      <c r="K55" s="15"/>
      <c r="L55" s="59"/>
      <c r="M55" s="59"/>
      <c r="N55" s="59"/>
      <c r="O55" s="59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 x14ac:dyDescent="0.2">
      <c r="A56" s="13"/>
      <c r="B56" s="12"/>
      <c r="C56" s="26"/>
      <c r="D56" s="25"/>
      <c r="E56" s="15"/>
      <c r="F56" s="15"/>
      <c r="G56" s="15"/>
      <c r="H56" s="15"/>
      <c r="I56" s="15"/>
      <c r="J56" s="15"/>
      <c r="K56" s="15"/>
      <c r="L56" s="59"/>
      <c r="M56" s="59"/>
      <c r="N56" s="59"/>
      <c r="O56" s="59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 x14ac:dyDescent="0.2">
      <c r="A57" s="13"/>
      <c r="B57" s="12"/>
      <c r="C57" s="12"/>
      <c r="D57" s="14"/>
      <c r="E57" s="15"/>
      <c r="F57" s="15"/>
      <c r="G57" s="15"/>
      <c r="H57" s="15"/>
      <c r="I57" s="15"/>
      <c r="J57" s="15"/>
      <c r="K57" s="15"/>
      <c r="L57" s="59"/>
      <c r="M57" s="59"/>
      <c r="N57" s="59"/>
      <c r="O57" s="59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 x14ac:dyDescent="0.2">
      <c r="A58" s="14"/>
      <c r="B58" s="24" t="s">
        <v>13</v>
      </c>
      <c r="C58" s="19"/>
      <c r="D58" s="18"/>
      <c r="E58" s="18"/>
      <c r="F58" s="18"/>
      <c r="G58" s="18"/>
      <c r="H58" s="18"/>
      <c r="I58" s="18"/>
      <c r="J58" s="18"/>
      <c r="K58" s="18"/>
      <c r="L58" s="60"/>
      <c r="M58" s="60"/>
      <c r="N58" s="60"/>
      <c r="O58" s="60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6"/>
    </row>
    <row r="59" spans="1:33" x14ac:dyDescent="0.2">
      <c r="A59"/>
      <c r="B59" s="12" t="s">
        <v>16</v>
      </c>
      <c r="C59" s="27">
        <f>(SUM(C42:C54))/(100%*13)</f>
        <v>0.99930074786324785</v>
      </c>
      <c r="G59" s="39"/>
      <c r="L59" s="61"/>
      <c r="M59" s="61"/>
      <c r="N59" s="61"/>
      <c r="O59" s="61"/>
    </row>
    <row r="60" spans="1:33" x14ac:dyDescent="0.2">
      <c r="L60" s="61"/>
      <c r="M60" s="61"/>
      <c r="N60" s="61"/>
      <c r="O60" s="61"/>
    </row>
    <row r="61" spans="1:33" x14ac:dyDescent="0.2">
      <c r="L61" s="61"/>
      <c r="M61" s="61"/>
      <c r="N61" s="61"/>
      <c r="O61" s="61"/>
    </row>
    <row r="62" spans="1:33" x14ac:dyDescent="0.2">
      <c r="L62" s="61"/>
      <c r="M62" s="61"/>
      <c r="N62" s="61"/>
      <c r="O62" s="61"/>
    </row>
    <row r="63" spans="1:33" x14ac:dyDescent="0.2">
      <c r="A63" s="63"/>
    </row>
    <row r="64" spans="1:33" x14ac:dyDescent="0.2">
      <c r="A64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72" spans="1:32" x14ac:dyDescent="0.2">
      <c r="A72"/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x14ac:dyDescent="0.2">
      <c r="A73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">
      <c r="A74"/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">
      <c r="A75"/>
      <c r="D75"/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</sheetData>
  <mergeCells count="18">
    <mergeCell ref="D26:AG26"/>
    <mergeCell ref="A10:A11"/>
    <mergeCell ref="B10:B11"/>
    <mergeCell ref="C10:C11"/>
    <mergeCell ref="D34:AG34"/>
    <mergeCell ref="D32:AG32"/>
    <mergeCell ref="D31:AG31"/>
    <mergeCell ref="D33:AG33"/>
    <mergeCell ref="A40:A41"/>
    <mergeCell ref="B40:B41"/>
    <mergeCell ref="C40:C41"/>
    <mergeCell ref="D40:E40"/>
    <mergeCell ref="D27:AG27"/>
    <mergeCell ref="D28:AG28"/>
    <mergeCell ref="D29:AG29"/>
    <mergeCell ref="D30:AG30"/>
    <mergeCell ref="A27:B35"/>
    <mergeCell ref="D35:AG35"/>
  </mergeCells>
  <phoneticPr fontId="9" type="noConversion"/>
  <conditionalFormatting sqref="D15:F15 D13:D21 D17:E18">
    <cfRule type="cellIs" dxfId="73" priority="280" stopIfTrue="1" operator="greaterThan">
      <formula>0</formula>
    </cfRule>
  </conditionalFormatting>
  <conditionalFormatting sqref="I15:M15">
    <cfRule type="cellIs" dxfId="72" priority="279" stopIfTrue="1" operator="greaterThan">
      <formula>0</formula>
    </cfRule>
  </conditionalFormatting>
  <conditionalFormatting sqref="O15:AD15">
    <cfRule type="cellIs" dxfId="71" priority="278" stopIfTrue="1" operator="greaterThan">
      <formula>0</formula>
    </cfRule>
  </conditionalFormatting>
  <conditionalFormatting sqref="G15">
    <cfRule type="cellIs" dxfId="70" priority="272" stopIfTrue="1" operator="greaterThan">
      <formula>0</formula>
    </cfRule>
  </conditionalFormatting>
  <conditionalFormatting sqref="N15">
    <cfRule type="cellIs" dxfId="69" priority="271" stopIfTrue="1" operator="greaterThan">
      <formula>0</formula>
    </cfRule>
  </conditionalFormatting>
  <conditionalFormatting sqref="H15">
    <cfRule type="cellIs" dxfId="68" priority="265" stopIfTrue="1" operator="greaterThan">
      <formula>0</formula>
    </cfRule>
  </conditionalFormatting>
  <conditionalFormatting sqref="D13:F13">
    <cfRule type="cellIs" dxfId="67" priority="234" stopIfTrue="1" operator="greaterThan">
      <formula>0</formula>
    </cfRule>
  </conditionalFormatting>
  <conditionalFormatting sqref="D14:F14">
    <cfRule type="cellIs" dxfId="66" priority="250" stopIfTrue="1" operator="greaterThan">
      <formula>0</formula>
    </cfRule>
  </conditionalFormatting>
  <conditionalFormatting sqref="I14:M14">
    <cfRule type="cellIs" dxfId="65" priority="249" stopIfTrue="1" operator="greaterThan">
      <formula>0</formula>
    </cfRule>
  </conditionalFormatting>
  <conditionalFormatting sqref="O14:AD14">
    <cfRule type="cellIs" dxfId="64" priority="248" stopIfTrue="1" operator="greaterThan">
      <formula>0</formula>
    </cfRule>
  </conditionalFormatting>
  <conditionalFormatting sqref="G14">
    <cfRule type="cellIs" dxfId="63" priority="247" stopIfTrue="1" operator="greaterThan">
      <formula>0</formula>
    </cfRule>
  </conditionalFormatting>
  <conditionalFormatting sqref="N14">
    <cfRule type="cellIs" dxfId="62" priority="246" stopIfTrue="1" operator="greaterThan">
      <formula>0</formula>
    </cfRule>
  </conditionalFormatting>
  <conditionalFormatting sqref="H14">
    <cfRule type="cellIs" dxfId="61" priority="245" stopIfTrue="1" operator="greaterThan">
      <formula>0</formula>
    </cfRule>
  </conditionalFormatting>
  <conditionalFormatting sqref="D16:F16">
    <cfRule type="cellIs" dxfId="60" priority="226" stopIfTrue="1" operator="greaterThan">
      <formula>0</formula>
    </cfRule>
  </conditionalFormatting>
  <conditionalFormatting sqref="I13:M13">
    <cfRule type="cellIs" dxfId="59" priority="233" stopIfTrue="1" operator="greaterThan">
      <formula>0</formula>
    </cfRule>
  </conditionalFormatting>
  <conditionalFormatting sqref="O13:AD13">
    <cfRule type="cellIs" dxfId="58" priority="232" stopIfTrue="1" operator="greaterThan">
      <formula>0</formula>
    </cfRule>
  </conditionalFormatting>
  <conditionalFormatting sqref="G13">
    <cfRule type="cellIs" dxfId="57" priority="231" stopIfTrue="1" operator="greaterThan">
      <formula>0</formula>
    </cfRule>
  </conditionalFormatting>
  <conditionalFormatting sqref="N13">
    <cfRule type="cellIs" dxfId="56" priority="230" stopIfTrue="1" operator="greaterThan">
      <formula>0</formula>
    </cfRule>
  </conditionalFormatting>
  <conditionalFormatting sqref="H13">
    <cfRule type="cellIs" dxfId="55" priority="229" stopIfTrue="1" operator="greaterThan">
      <formula>0</formula>
    </cfRule>
  </conditionalFormatting>
  <conditionalFormatting sqref="AE13">
    <cfRule type="cellIs" dxfId="54" priority="228" stopIfTrue="1" operator="greaterThan">
      <formula>0</formula>
    </cfRule>
  </conditionalFormatting>
  <conditionalFormatting sqref="I16:M16">
    <cfRule type="cellIs" dxfId="53" priority="225" stopIfTrue="1" operator="greaterThan">
      <formula>0</formula>
    </cfRule>
  </conditionalFormatting>
  <conditionalFormatting sqref="O16:Q16">
    <cfRule type="cellIs" dxfId="52" priority="224" stopIfTrue="1" operator="greaterThan">
      <formula>0</formula>
    </cfRule>
  </conditionalFormatting>
  <conditionalFormatting sqref="N16">
    <cfRule type="cellIs" dxfId="51" priority="222" stopIfTrue="1" operator="greaterThan">
      <formula>0</formula>
    </cfRule>
  </conditionalFormatting>
  <conditionalFormatting sqref="H16">
    <cfRule type="cellIs" dxfId="50" priority="221" stopIfTrue="1" operator="greaterThan">
      <formula>0</formula>
    </cfRule>
  </conditionalFormatting>
  <conditionalFormatting sqref="D19:E19">
    <cfRule type="cellIs" dxfId="49" priority="206" stopIfTrue="1" operator="greaterThan">
      <formula>0</formula>
    </cfRule>
  </conditionalFormatting>
  <conditionalFormatting sqref="D20">
    <cfRule type="cellIs" dxfId="48" priority="192" stopIfTrue="1" operator="greaterThan">
      <formula>0</formula>
    </cfRule>
  </conditionalFormatting>
  <conditionalFormatting sqref="S16">
    <cfRule type="cellIs" dxfId="47" priority="183" stopIfTrue="1" operator="greaterThan">
      <formula>0</formula>
    </cfRule>
  </conditionalFormatting>
  <conditionalFormatting sqref="W16">
    <cfRule type="cellIs" dxfId="46" priority="179" stopIfTrue="1" operator="greaterThan">
      <formula>0</formula>
    </cfRule>
  </conditionalFormatting>
  <conditionalFormatting sqref="V16">
    <cfRule type="cellIs" dxfId="45" priority="180" stopIfTrue="1" operator="greaterThan">
      <formula>0</formula>
    </cfRule>
  </conditionalFormatting>
  <conditionalFormatting sqref="R16">
    <cfRule type="cellIs" dxfId="44" priority="184" stopIfTrue="1" operator="greaterThan">
      <formula>0</formula>
    </cfRule>
  </conditionalFormatting>
  <conditionalFormatting sqref="T16">
    <cfRule type="cellIs" dxfId="43" priority="182" stopIfTrue="1" operator="greaterThan">
      <formula>0</formula>
    </cfRule>
  </conditionalFormatting>
  <conditionalFormatting sqref="U16">
    <cfRule type="cellIs" dxfId="42" priority="181" stopIfTrue="1" operator="greaterThan">
      <formula>0</formula>
    </cfRule>
  </conditionalFormatting>
  <conditionalFormatting sqref="X16">
    <cfRule type="cellIs" dxfId="41" priority="178" stopIfTrue="1" operator="greaterThan">
      <formula>0</formula>
    </cfRule>
  </conditionalFormatting>
  <conditionalFormatting sqref="Y16">
    <cfRule type="cellIs" dxfId="40" priority="177" stopIfTrue="1" operator="greaterThan">
      <formula>0</formula>
    </cfRule>
  </conditionalFormatting>
  <conditionalFormatting sqref="Z16">
    <cfRule type="cellIs" dxfId="39" priority="176" stopIfTrue="1" operator="greaterThan">
      <formula>0</formula>
    </cfRule>
  </conditionalFormatting>
  <conditionalFormatting sqref="AA16">
    <cfRule type="cellIs" dxfId="38" priority="175" stopIfTrue="1" operator="greaterThan">
      <formula>0</formula>
    </cfRule>
  </conditionalFormatting>
  <conditionalFormatting sqref="AB16">
    <cfRule type="cellIs" dxfId="37" priority="174" stopIfTrue="1" operator="greaterThan">
      <formula>0</formula>
    </cfRule>
  </conditionalFormatting>
  <conditionalFormatting sqref="AC16">
    <cfRule type="cellIs" dxfId="36" priority="173" stopIfTrue="1" operator="greaterThan">
      <formula>0</formula>
    </cfRule>
  </conditionalFormatting>
  <conditionalFormatting sqref="AD16">
    <cfRule type="cellIs" dxfId="35" priority="172" stopIfTrue="1" operator="greaterThan">
      <formula>0</formula>
    </cfRule>
  </conditionalFormatting>
  <conditionalFormatting sqref="D22:E24">
    <cfRule type="cellIs" dxfId="34" priority="129" stopIfTrue="1" operator="greaterThan">
      <formula>0</formula>
    </cfRule>
  </conditionalFormatting>
  <conditionalFormatting sqref="AG13">
    <cfRule type="cellIs" dxfId="33" priority="119" stopIfTrue="1" operator="greaterThan">
      <formula>0</formula>
    </cfRule>
  </conditionalFormatting>
  <conditionalFormatting sqref="AG13">
    <cfRule type="cellIs" dxfId="32" priority="110" stopIfTrue="1" operator="greaterThan">
      <formula>0</formula>
    </cfRule>
  </conditionalFormatting>
  <conditionalFormatting sqref="AG15">
    <cfRule type="cellIs" dxfId="31" priority="122" stopIfTrue="1" operator="greaterThan">
      <formula>0</formula>
    </cfRule>
  </conditionalFormatting>
  <conditionalFormatting sqref="AG14">
    <cfRule type="cellIs" dxfId="30" priority="121" stopIfTrue="1" operator="greaterThan">
      <formula>0</formula>
    </cfRule>
  </conditionalFormatting>
  <conditionalFormatting sqref="AG16">
    <cfRule type="cellIs" dxfId="29" priority="116" stopIfTrue="1" operator="greaterThan">
      <formula>0</formula>
    </cfRule>
  </conditionalFormatting>
  <conditionalFormatting sqref="AG15">
    <cfRule type="cellIs" dxfId="28" priority="113" stopIfTrue="1" operator="greaterThan">
      <formula>0</formula>
    </cfRule>
  </conditionalFormatting>
  <conditionalFormatting sqref="AG14">
    <cfRule type="cellIs" dxfId="27" priority="112" stopIfTrue="1" operator="greaterThan">
      <formula>0</formula>
    </cfRule>
  </conditionalFormatting>
  <conditionalFormatting sqref="AG16">
    <cfRule type="cellIs" dxfId="26" priority="107" stopIfTrue="1" operator="greaterThan">
      <formula>0</formula>
    </cfRule>
  </conditionalFormatting>
  <conditionalFormatting sqref="K39">
    <cfRule type="cellIs" dxfId="25" priority="82" stopIfTrue="1" operator="greaterThan">
      <formula>0</formula>
    </cfRule>
  </conditionalFormatting>
  <conditionalFormatting sqref="E21">
    <cfRule type="cellIs" dxfId="24" priority="87" stopIfTrue="1" operator="greaterThan">
      <formula>0</formula>
    </cfRule>
  </conditionalFormatting>
  <conditionalFormatting sqref="D25:J25 M25 AC25:AD25 O25:AA25">
    <cfRule type="cellIs" dxfId="23" priority="96" stopIfTrue="1" operator="greaterThan">
      <formula>0</formula>
    </cfRule>
  </conditionalFormatting>
  <conditionalFormatting sqref="AG25">
    <cfRule type="cellIs" dxfId="22" priority="94" stopIfTrue="1" operator="greaterThan">
      <formula>0</formula>
    </cfRule>
  </conditionalFormatting>
  <conditionalFormatting sqref="AG25">
    <cfRule type="cellIs" dxfId="21" priority="93" stopIfTrue="1" operator="greaterThan">
      <formula>0</formula>
    </cfRule>
  </conditionalFormatting>
  <conditionalFormatting sqref="L39">
    <cfRule type="cellIs" dxfId="20" priority="81" stopIfTrue="1" operator="greaterThan">
      <formula>0</formula>
    </cfRule>
  </conditionalFormatting>
  <conditionalFormatting sqref="K25:L25">
    <cfRule type="cellIs" dxfId="19" priority="74" stopIfTrue="1" operator="greaterThan">
      <formula>0</formula>
    </cfRule>
  </conditionalFormatting>
  <conditionalFormatting sqref="K44">
    <cfRule type="cellIs" dxfId="18" priority="73" stopIfTrue="1" operator="greaterThan">
      <formula>0</formula>
    </cfRule>
  </conditionalFormatting>
  <conditionalFormatting sqref="AE14">
    <cfRule type="cellIs" dxfId="17" priority="64" stopIfTrue="1" operator="greaterThan">
      <formula>0</formula>
    </cfRule>
  </conditionalFormatting>
  <conditionalFormatting sqref="AE15">
    <cfRule type="cellIs" dxfId="16" priority="63" stopIfTrue="1" operator="greaterThan">
      <formula>0</formula>
    </cfRule>
  </conditionalFormatting>
  <conditionalFormatting sqref="AE16">
    <cfRule type="cellIs" dxfId="15" priority="62" stopIfTrue="1" operator="greaterThan">
      <formula>0</formula>
    </cfRule>
  </conditionalFormatting>
  <conditionalFormatting sqref="AE25">
    <cfRule type="cellIs" dxfId="14" priority="53" stopIfTrue="1" operator="greaterThan">
      <formula>0</formula>
    </cfRule>
  </conditionalFormatting>
  <conditionalFormatting sqref="AB25">
    <cfRule type="cellIs" dxfId="13" priority="50" stopIfTrue="1" operator="greaterThan">
      <formula>0</formula>
    </cfRule>
  </conditionalFormatting>
  <conditionalFormatting sqref="E20">
    <cfRule type="cellIs" dxfId="12" priority="45" stopIfTrue="1" operator="greaterThan">
      <formula>0</formula>
    </cfRule>
  </conditionalFormatting>
  <conditionalFormatting sqref="AF13">
    <cfRule type="cellIs" dxfId="11" priority="19" stopIfTrue="1" operator="greaterThan">
      <formula>0</formula>
    </cfRule>
  </conditionalFormatting>
  <conditionalFormatting sqref="AF14">
    <cfRule type="cellIs" dxfId="10" priority="18" stopIfTrue="1" operator="greaterThan">
      <formula>0</formula>
    </cfRule>
  </conditionalFormatting>
  <conditionalFormatting sqref="AF15">
    <cfRule type="cellIs" dxfId="9" priority="17" stopIfTrue="1" operator="greaterThan">
      <formula>0</formula>
    </cfRule>
  </conditionalFormatting>
  <conditionalFormatting sqref="AF16">
    <cfRule type="cellIs" dxfId="8" priority="16" stopIfTrue="1" operator="greaterThan">
      <formula>0</formula>
    </cfRule>
  </conditionalFormatting>
  <conditionalFormatting sqref="AF25">
    <cfRule type="cellIs" dxfId="7" priority="8" stopIfTrue="1" operator="greaterThan">
      <formula>0</formula>
    </cfRule>
  </conditionalFormatting>
  <conditionalFormatting sqref="F24:M24 O24:AG24 F17 H17:AG17 F18:AG23">
    <cfRule type="cellIs" dxfId="6" priority="5" stopIfTrue="1" operator="greaterThan">
      <formula>0</formula>
    </cfRule>
  </conditionalFormatting>
  <conditionalFormatting sqref="N24:N25">
    <cfRule type="cellIs" dxfId="5" priority="3" stopIfTrue="1" operator="greaterThan">
      <formula>0</formula>
    </cfRule>
  </conditionalFormatting>
  <conditionalFormatting sqref="G16:G17">
    <cfRule type="cellIs" dxfId="4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2022-11-30T08:47:18Z</dcterms:modified>
</cp:coreProperties>
</file>