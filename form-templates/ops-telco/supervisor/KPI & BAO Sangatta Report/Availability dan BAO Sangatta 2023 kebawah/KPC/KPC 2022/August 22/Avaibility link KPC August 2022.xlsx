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8" i="11" l="1"/>
  <c r="D58" i="11"/>
  <c r="E57" i="11"/>
  <c r="D57" i="11"/>
  <c r="E56" i="11"/>
  <c r="D56" i="11"/>
  <c r="E55" i="11"/>
  <c r="D55" i="11"/>
  <c r="E54" i="11"/>
  <c r="E53" i="11"/>
  <c r="D54" i="11"/>
  <c r="E52" i="11"/>
  <c r="D52" i="11"/>
  <c r="D53" i="11"/>
  <c r="E51" i="11"/>
  <c r="D51" i="11"/>
  <c r="E49" i="11"/>
  <c r="E50" i="11"/>
  <c r="D49" i="11"/>
  <c r="D50" i="11"/>
  <c r="E48" i="11"/>
  <c r="D48" i="11"/>
  <c r="E47" i="11"/>
  <c r="D47" i="11"/>
  <c r="E46" i="11"/>
  <c r="D46" i="11"/>
  <c r="C58" i="11" l="1"/>
  <c r="C56" i="11" l="1"/>
  <c r="C57" i="11"/>
  <c r="C55" i="11"/>
  <c r="C46" i="11"/>
  <c r="C47" i="11"/>
  <c r="C50" i="11" l="1"/>
  <c r="C54" i="11"/>
  <c r="C52" i="11"/>
  <c r="C48" i="11"/>
  <c r="C53" i="11"/>
  <c r="C51" i="11"/>
  <c r="C49" i="11"/>
  <c r="C63" i="11" l="1"/>
</calcChain>
</file>

<file path=xl/sharedStrings.xml><?xml version="1.0" encoding="utf-8"?>
<sst xmlns="http://schemas.openxmlformats.org/spreadsheetml/2006/main" count="120" uniqueCount="59">
  <si>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</si>
  <si>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</si>
  <si>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</si>
  <si>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</si>
  <si>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</si>
  <si>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</si>
  <si>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</si>
  <si>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</si>
  <si>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</si>
  <si>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</si>
  <si>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</si>
  <si>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</si>
  <si>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</si>
  <si>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</si>
  <si>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</si>
  <si>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</si>
  <si>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</si>
  <si>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</si>
  <si>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</si>
  <si>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</si>
  <si>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</si>
  <si>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</si>
  <si>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</si>
  <si>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</si>
  <si>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</si>
  <si>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</si>
  <si>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</si>
  <si>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</si>
  <si>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</si>
  <si>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</si>
  <si>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</si>
  <si>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</si>
  <si>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</si>
  <si>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</si>
  <si>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</si>
  <si>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</si>
  <si>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</si>
  <si>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</si>
  <si>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</si>
  <si>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</si>
  <si>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</si>
  <si>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</si>
  <si>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</si>
  <si>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</si>
  <si>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</si>
  <si>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</si>
  <si>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</si>
  <si>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</si>
  <si>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</si>
  <si>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</si>
  <si>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I</t>
  </si>
  <si>
    <t xml:space="preserve"> </t>
  </si>
  <si>
    <t xml:space="preserve">      Problem Power at TBTS Middle</t>
  </si>
  <si>
    <t xml:space="preserve">      Genset 15k Down</t>
  </si>
  <si>
    <t xml:space="preserve">      Bintang mati lampu</t>
  </si>
  <si>
    <t xml:space="preserve">      Loss Signal</t>
  </si>
  <si>
    <t>0:10;15</t>
  </si>
  <si>
    <t xml:space="preserve">      High BER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</si>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</sst>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2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4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5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5" xfId="0" applyFont="1" applyBorder="1" applyAlignment="1"/>
    <xf numFmtId="164" fontId="6" fillId="0" borderId="25" xfId="0" applyFont="1" applyBorder="1"/>
    <xf numFmtId="21" fontId="6" fillId="0" borderId="25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36" fillId="0" borderId="0" xfId="0" applyFont="1" applyBorder="1" applyAlignment="1">
      <alignment vertical="center" wrapText="1"/>
    </xf>
    <xf numFmtId="164" fontId="36" fillId="0" borderId="26" xfId="0" applyFont="1" applyBorder="1" applyAlignment="1">
      <alignment vertical="center" wrapText="1"/>
    </xf>
    <xf numFmtId="164" fontId="41" fillId="0" borderId="0" xfId="0" applyFont="1" applyAlignment="1">
      <alignment horizontal="center"/>
    </xf>
    <xf numFmtId="164" fontId="41" fillId="0" borderId="0" xfId="0" applyFont="1"/>
    <xf numFmtId="164" fontId="41" fillId="0" borderId="0" xfId="0" applyFont="1" applyFill="1"/>
    <xf numFmtId="164" fontId="41" fillId="0" borderId="0" xfId="0" applyFont="1" applyFill="1" applyBorder="1"/>
    <xf numFmtId="16" fontId="8" fillId="0" borderId="27" xfId="0" applyNumberFormat="1" applyFont="1" applyBorder="1" applyAlignment="1">
      <alignment horizontal="center"/>
    </xf>
    <xf numFmtId="164" fontId="39" fillId="0" borderId="25" xfId="0" applyFont="1" applyBorder="1" applyAlignment="1">
      <alignment horizontal="left" vertical="center"/>
    </xf>
    <xf numFmtId="164" fontId="39" fillId="0" borderId="25" xfId="0" applyFont="1" applyBorder="1" applyAlignment="1">
      <alignment vertical="center"/>
    </xf>
    <xf numFmtId="164" fontId="39" fillId="0" borderId="25" xfId="0" applyFont="1" applyBorder="1" applyAlignment="1">
      <alignment horizontal="left" vertical="center"/>
    </xf>
    <xf numFmtId="164" fontId="38" fillId="0" borderId="25" xfId="0" applyFont="1" applyBorder="1" applyAlignment="1">
      <alignment horizontal="center" vertical="center"/>
    </xf>
    <xf numFmtId="164" fontId="36" fillId="0" borderId="23" xfId="0" applyFont="1" applyBorder="1" applyAlignment="1">
      <alignment wrapText="1"/>
    </xf>
    <xf numFmtId="1" fontId="6" fillId="0" borderId="15" xfId="0" applyNumberFormat="1" applyFont="1" applyBorder="1" applyAlignment="1">
      <alignment horizontal="center" vertical="center"/>
    </xf>
    <xf numFmtId="164" fontId="36" fillId="0" borderId="0" xfId="0" applyFont="1" applyBorder="1" applyAlignment="1">
      <alignment wrapText="1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top"/>
    </xf>
    <xf numFmtId="164" fontId="39" fillId="0" borderId="25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164" fontId="38" fillId="0" borderId="2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horizontal="left" vertical="center"/>
    </xf>
    <xf numFmtId="164" fontId="36" fillId="0" borderId="3" xfId="0" applyFont="1" applyBorder="1" applyAlignment="1">
      <alignment horizontal="center" vertical="center"/>
    </xf>
    <xf numFmtId="164" fontId="36" fillId="0" borderId="28" xfId="0" applyFont="1" applyBorder="1" applyAlignment="1">
      <alignment horizontal="center" vertical="center"/>
    </xf>
    <xf numFmtId="164" fontId="36" fillId="0" borderId="5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E59" sqref="E5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44774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5" t="s">
        <v>2</v>
      </c>
      <c r="B10" s="107" t="s">
        <v>0</v>
      </c>
      <c r="C10" s="107" t="s">
        <v>8</v>
      </c>
      <c r="D10" s="45">
        <v>44409</v>
      </c>
      <c r="E10" s="45">
        <v>44410</v>
      </c>
      <c r="F10" s="45">
        <v>44411</v>
      </c>
      <c r="G10" s="45">
        <v>44412</v>
      </c>
      <c r="H10" s="45">
        <v>44413</v>
      </c>
      <c r="I10" s="45">
        <v>44414</v>
      </c>
      <c r="J10" s="45">
        <v>44415</v>
      </c>
      <c r="K10" s="45">
        <v>44416</v>
      </c>
      <c r="L10" s="45">
        <v>44417</v>
      </c>
      <c r="M10" s="45">
        <v>44418</v>
      </c>
      <c r="N10" s="45">
        <v>44419</v>
      </c>
      <c r="O10" s="45">
        <v>44420</v>
      </c>
      <c r="P10" s="45">
        <v>44421</v>
      </c>
      <c r="Q10" s="45">
        <v>44422</v>
      </c>
      <c r="R10" s="45">
        <v>44423</v>
      </c>
      <c r="S10" s="45">
        <v>44424</v>
      </c>
      <c r="T10" s="45">
        <v>44425</v>
      </c>
      <c r="U10" s="45">
        <v>44426</v>
      </c>
      <c r="V10" s="45">
        <v>44427</v>
      </c>
      <c r="W10" s="45">
        <v>44428</v>
      </c>
      <c r="X10" s="45">
        <v>44429</v>
      </c>
      <c r="Y10" s="45">
        <v>44430</v>
      </c>
      <c r="Z10" s="45">
        <v>44431</v>
      </c>
      <c r="AA10" s="45">
        <v>44432</v>
      </c>
      <c r="AB10" s="45">
        <v>44433</v>
      </c>
      <c r="AC10" s="45">
        <v>44434</v>
      </c>
      <c r="AD10" s="45">
        <v>44435</v>
      </c>
      <c r="AE10" s="45">
        <v>44436</v>
      </c>
      <c r="AF10" s="45">
        <v>44437</v>
      </c>
      <c r="AG10" s="45">
        <v>44438</v>
      </c>
      <c r="AH10" s="97">
        <v>44439</v>
      </c>
    </row>
    <row r="11" spans="1:34" s="1" customFormat="1" x14ac:dyDescent="0.2">
      <c r="A11" s="106"/>
      <c r="B11" s="108"/>
      <c r="C11" s="108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37</v>
      </c>
      <c r="B13" s="32" t="s">
        <v>17</v>
      </c>
      <c r="C13" s="36"/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  <c r="AE13" s="88">
        <v>0</v>
      </c>
      <c r="AF13" s="88">
        <v>0</v>
      </c>
      <c r="AG13" s="88">
        <v>0</v>
      </c>
      <c r="AH13" s="88">
        <v>0</v>
      </c>
    </row>
    <row r="14" spans="1:34" s="12" customFormat="1" ht="15.75" x14ac:dyDescent="0.25">
      <c r="A14" s="47" t="s">
        <v>28</v>
      </c>
      <c r="B14" s="32" t="s">
        <v>25</v>
      </c>
      <c r="C14" s="36"/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0</v>
      </c>
      <c r="AF14" s="88">
        <v>0</v>
      </c>
      <c r="AG14" s="88">
        <v>0</v>
      </c>
      <c r="AH14" s="88">
        <v>0</v>
      </c>
    </row>
    <row r="15" spans="1:34" s="12" customFormat="1" ht="15.75" x14ac:dyDescent="0.25">
      <c r="A15" s="47" t="s">
        <v>29</v>
      </c>
      <c r="B15" s="32" t="s">
        <v>18</v>
      </c>
      <c r="C15" s="36"/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</row>
    <row r="16" spans="1:34" s="12" customFormat="1" ht="15.75" x14ac:dyDescent="0.25">
      <c r="A16" s="47" t="s">
        <v>30</v>
      </c>
      <c r="B16" s="32" t="s">
        <v>19</v>
      </c>
      <c r="C16" s="36"/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3.5532407407407405E-3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7.69675925925926E-3</v>
      </c>
      <c r="V16" s="88">
        <v>0</v>
      </c>
      <c r="W16" s="88" t="s">
        <v>56</v>
      </c>
      <c r="X16" s="88">
        <v>0</v>
      </c>
      <c r="Y16" s="88">
        <v>0</v>
      </c>
      <c r="Z16" s="88">
        <v>8.8657407407407417E-3</v>
      </c>
      <c r="AA16" s="88">
        <v>0</v>
      </c>
      <c r="AB16" s="88">
        <v>0</v>
      </c>
      <c r="AC16" s="88">
        <v>3.5532407407407405E-3</v>
      </c>
      <c r="AD16" s="88">
        <v>0</v>
      </c>
      <c r="AE16" s="88">
        <v>0</v>
      </c>
      <c r="AF16" s="88">
        <v>0</v>
      </c>
      <c r="AG16" s="88">
        <v>0</v>
      </c>
      <c r="AH16" s="88">
        <v>0</v>
      </c>
    </row>
    <row r="17" spans="1:38" s="12" customFormat="1" ht="15.75" x14ac:dyDescent="0.25">
      <c r="A17" s="47" t="s">
        <v>31</v>
      </c>
      <c r="B17" s="32" t="s">
        <v>20</v>
      </c>
      <c r="C17" s="36"/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3.5532407407407405E-3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1.0983796296296297E-2</v>
      </c>
      <c r="V17" s="88">
        <v>0</v>
      </c>
      <c r="W17" s="88">
        <v>7.1180555555555554E-3</v>
      </c>
      <c r="X17" s="88">
        <v>0</v>
      </c>
      <c r="Y17" s="88">
        <v>0</v>
      </c>
      <c r="Z17" s="88">
        <v>8.7152777777777784E-3</v>
      </c>
      <c r="AA17" s="88">
        <v>0</v>
      </c>
      <c r="AB17" s="88">
        <v>0</v>
      </c>
      <c r="AC17" s="88">
        <v>3.5532407407407405E-3</v>
      </c>
      <c r="AD17" s="88">
        <v>0</v>
      </c>
      <c r="AE17" s="88">
        <v>0</v>
      </c>
      <c r="AF17" s="88">
        <v>0</v>
      </c>
      <c r="AG17" s="88">
        <v>0</v>
      </c>
      <c r="AH17" s="88">
        <v>0</v>
      </c>
    </row>
    <row r="18" spans="1:38" s="12" customFormat="1" ht="15.75" x14ac:dyDescent="0.25">
      <c r="A18" s="47" t="s">
        <v>32</v>
      </c>
      <c r="B18" s="32" t="s">
        <v>21</v>
      </c>
      <c r="C18" s="36"/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0</v>
      </c>
      <c r="AF18" s="88">
        <v>0</v>
      </c>
      <c r="AG18" s="88">
        <v>0</v>
      </c>
      <c r="AH18" s="88">
        <v>0</v>
      </c>
      <c r="AL18" s="72"/>
    </row>
    <row r="19" spans="1:38" s="12" customFormat="1" ht="15.75" x14ac:dyDescent="0.25">
      <c r="A19" s="47" t="s">
        <v>33</v>
      </c>
      <c r="B19" s="32" t="s">
        <v>22</v>
      </c>
      <c r="C19" s="36"/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0</v>
      </c>
      <c r="AC19" s="88">
        <v>0</v>
      </c>
      <c r="AD19" s="88">
        <v>0</v>
      </c>
      <c r="AE19" s="88">
        <v>0</v>
      </c>
      <c r="AF19" s="88">
        <v>0</v>
      </c>
      <c r="AG19" s="88">
        <v>0</v>
      </c>
      <c r="AH19" s="88">
        <v>0</v>
      </c>
    </row>
    <row r="20" spans="1:38" s="12" customFormat="1" ht="15.75" x14ac:dyDescent="0.25">
      <c r="A20" s="47" t="s">
        <v>34</v>
      </c>
      <c r="B20" s="32" t="s">
        <v>26</v>
      </c>
      <c r="C20" s="36"/>
      <c r="D20" s="88">
        <v>0</v>
      </c>
      <c r="E20" s="88">
        <v>0</v>
      </c>
      <c r="F20" s="88">
        <v>0</v>
      </c>
      <c r="G20" s="88">
        <v>1.068287037037037E-2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7.1180555555555554E-3</v>
      </c>
      <c r="O20" s="88">
        <v>7.1296296296296307E-3</v>
      </c>
      <c r="P20" s="88">
        <v>3.5532407407407405E-3</v>
      </c>
      <c r="Q20" s="88">
        <v>3.5532407407407405E-3</v>
      </c>
      <c r="R20" s="88">
        <v>0</v>
      </c>
      <c r="S20" s="88">
        <v>0</v>
      </c>
      <c r="T20" s="88">
        <v>0</v>
      </c>
      <c r="U20" s="88">
        <v>0</v>
      </c>
      <c r="V20" s="88">
        <v>2.4895833333333336E-2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0</v>
      </c>
      <c r="AF20" s="88">
        <v>1.7812499999999998E-2</v>
      </c>
      <c r="AG20" s="88">
        <v>5.3356481481481477E-2</v>
      </c>
      <c r="AH20" s="88">
        <v>0.10689814814814814</v>
      </c>
    </row>
    <row r="21" spans="1:38" s="12" customFormat="1" ht="15.75" x14ac:dyDescent="0.25">
      <c r="A21" s="47" t="s">
        <v>35</v>
      </c>
      <c r="B21" s="32" t="s">
        <v>24</v>
      </c>
      <c r="C21" s="36"/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v>0</v>
      </c>
    </row>
    <row r="22" spans="1:38" s="12" customFormat="1" ht="15.75" x14ac:dyDescent="0.25">
      <c r="A22" s="47" t="s">
        <v>36</v>
      </c>
      <c r="B22" s="48" t="s">
        <v>23</v>
      </c>
      <c r="C22" s="36"/>
      <c r="D22" s="89">
        <v>0</v>
      </c>
      <c r="E22" s="89">
        <v>0</v>
      </c>
      <c r="F22" s="89">
        <v>0</v>
      </c>
      <c r="G22" s="89">
        <v>0</v>
      </c>
      <c r="H22" s="88">
        <v>0</v>
      </c>
      <c r="I22" s="89">
        <v>0</v>
      </c>
      <c r="J22" s="89">
        <v>0</v>
      </c>
      <c r="K22" s="88">
        <v>0</v>
      </c>
      <c r="L22" s="88">
        <v>0</v>
      </c>
      <c r="M22" s="89">
        <v>0</v>
      </c>
      <c r="N22" s="88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8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8">
        <v>0</v>
      </c>
    </row>
    <row r="23" spans="1:38" s="12" customFormat="1" ht="15.75" x14ac:dyDescent="0.25">
      <c r="A23" s="47" t="s">
        <v>38</v>
      </c>
      <c r="B23" s="48" t="s">
        <v>39</v>
      </c>
      <c r="C23" s="54"/>
      <c r="D23" s="89">
        <v>0</v>
      </c>
      <c r="E23" s="89">
        <v>0</v>
      </c>
      <c r="F23" s="89">
        <v>0</v>
      </c>
      <c r="G23" s="89">
        <v>0</v>
      </c>
      <c r="H23" s="88">
        <v>0</v>
      </c>
      <c r="I23" s="89">
        <v>1.7812499999999998E-2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8">
        <v>0</v>
      </c>
      <c r="S23" s="89">
        <v>3.5532407407407405E-3</v>
      </c>
      <c r="T23" s="89">
        <v>0</v>
      </c>
      <c r="U23" s="89">
        <v>0</v>
      </c>
      <c r="V23" s="89">
        <v>0</v>
      </c>
      <c r="W23" s="89">
        <v>0</v>
      </c>
      <c r="X23" s="89">
        <v>7.1296296296296307E-3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8">
        <v>0</v>
      </c>
    </row>
    <row r="24" spans="1:38" s="12" customFormat="1" ht="15.75" x14ac:dyDescent="0.25">
      <c r="A24" s="47" t="s">
        <v>41</v>
      </c>
      <c r="B24" s="48" t="s">
        <v>40</v>
      </c>
      <c r="C24" s="49"/>
      <c r="D24" s="89">
        <v>0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0</v>
      </c>
      <c r="Z24" s="89">
        <v>0</v>
      </c>
      <c r="AA24" s="88">
        <v>0</v>
      </c>
      <c r="AB24" s="89">
        <v>0</v>
      </c>
      <c r="AC24" s="89">
        <v>0</v>
      </c>
      <c r="AD24" s="89">
        <v>0</v>
      </c>
      <c r="AE24" s="89">
        <v>0</v>
      </c>
      <c r="AF24" s="89">
        <v>0</v>
      </c>
      <c r="AG24" s="89">
        <v>0</v>
      </c>
      <c r="AH24" s="88">
        <v>0</v>
      </c>
    </row>
    <row r="25" spans="1:38" s="12" customFormat="1" ht="12.75" customHeight="1" x14ac:dyDescent="0.25">
      <c r="A25" s="47" t="s">
        <v>42</v>
      </c>
      <c r="B25" s="56" t="s">
        <v>45</v>
      </c>
      <c r="C25" s="69"/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</v>
      </c>
      <c r="AH25" s="88">
        <v>0</v>
      </c>
    </row>
    <row r="26" spans="1:38" s="12" customFormat="1" ht="16.5" customHeight="1" x14ac:dyDescent="0.2">
      <c r="A26" s="55"/>
      <c r="B26" s="68"/>
      <c r="C26" s="57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66"/>
    </row>
    <row r="27" spans="1:38" s="12" customFormat="1" ht="16.5" customHeight="1" x14ac:dyDescent="0.2">
      <c r="A27" s="103"/>
      <c r="B27" s="118" t="s">
        <v>58</v>
      </c>
      <c r="C27" s="76">
        <v>44777</v>
      </c>
      <c r="D27" s="112" t="s">
        <v>57</v>
      </c>
      <c r="E27" s="112"/>
      <c r="F27" s="112"/>
      <c r="G27" s="112"/>
      <c r="H27" s="112"/>
      <c r="I27" s="112"/>
      <c r="J27" s="112"/>
      <c r="K27" s="112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67"/>
    </row>
    <row r="28" spans="1:38" s="12" customFormat="1" ht="16.5" customHeight="1" x14ac:dyDescent="0.2">
      <c r="A28" s="104"/>
      <c r="B28" s="119"/>
      <c r="C28" s="76">
        <v>44779</v>
      </c>
      <c r="D28" s="117" t="s">
        <v>52</v>
      </c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67"/>
    </row>
    <row r="29" spans="1:38" s="12" customFormat="1" ht="16.5" customHeight="1" x14ac:dyDescent="0.2">
      <c r="A29" s="102"/>
      <c r="B29" s="119"/>
      <c r="C29" s="76">
        <v>44785</v>
      </c>
      <c r="D29" s="117" t="s">
        <v>55</v>
      </c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66"/>
    </row>
    <row r="30" spans="1:38" s="12" customFormat="1" ht="16.5" customHeight="1" x14ac:dyDescent="0.2">
      <c r="A30" s="102"/>
      <c r="B30" s="119"/>
      <c r="C30" s="76">
        <v>44786</v>
      </c>
      <c r="D30" s="117" t="s">
        <v>53</v>
      </c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67"/>
    </row>
    <row r="31" spans="1:38" s="12" customFormat="1" ht="15" customHeight="1" x14ac:dyDescent="0.2">
      <c r="A31" s="102"/>
      <c r="B31" s="119"/>
      <c r="C31" s="76">
        <v>44787</v>
      </c>
      <c r="D31" s="117" t="s">
        <v>53</v>
      </c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66"/>
    </row>
    <row r="32" spans="1:38" s="12" customFormat="1" ht="15" customHeight="1" x14ac:dyDescent="0.2">
      <c r="A32" s="91"/>
      <c r="B32" s="119"/>
      <c r="C32" s="87">
        <v>44791</v>
      </c>
      <c r="D32" s="111" t="s">
        <v>54</v>
      </c>
      <c r="E32" s="111"/>
      <c r="F32" s="111"/>
      <c r="G32" s="111"/>
      <c r="H32" s="111"/>
      <c r="I32" s="111"/>
      <c r="J32" s="111"/>
      <c r="K32" s="111"/>
      <c r="L32" s="111"/>
      <c r="M32" s="82"/>
      <c r="N32" s="82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H32" s="86"/>
    </row>
    <row r="33" spans="1:34" s="12" customFormat="1" ht="15" customHeight="1" x14ac:dyDescent="0.2">
      <c r="A33" s="91"/>
      <c r="B33" s="119"/>
      <c r="C33" s="87">
        <v>44793</v>
      </c>
      <c r="D33" s="112" t="s">
        <v>55</v>
      </c>
      <c r="E33" s="112"/>
      <c r="F33" s="112"/>
      <c r="G33" s="112"/>
      <c r="H33" s="112"/>
      <c r="I33" s="112"/>
      <c r="J33" s="112"/>
      <c r="K33" s="112"/>
      <c r="L33" s="112"/>
      <c r="M33" s="112"/>
      <c r="N33" s="79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66"/>
    </row>
    <row r="34" spans="1:34" s="12" customFormat="1" ht="15" x14ac:dyDescent="0.2">
      <c r="A34" s="91"/>
      <c r="B34" s="119"/>
      <c r="C34" s="87">
        <v>44794</v>
      </c>
      <c r="D34" s="99" t="s">
        <v>52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66"/>
      <c r="AA34" s="84"/>
      <c r="AB34" s="85"/>
      <c r="AC34" s="84"/>
      <c r="AD34" s="84"/>
      <c r="AE34" s="84"/>
      <c r="AF34" s="84"/>
      <c r="AG34" s="84"/>
      <c r="AH34" s="66"/>
    </row>
    <row r="35" spans="1:34" s="12" customFormat="1" ht="15" x14ac:dyDescent="0.2">
      <c r="A35" s="91"/>
      <c r="B35" s="119"/>
      <c r="C35" s="87">
        <v>44796</v>
      </c>
      <c r="D35" s="112" t="s">
        <v>55</v>
      </c>
      <c r="E35" s="112"/>
      <c r="F35" s="112"/>
      <c r="G35" s="112"/>
      <c r="H35" s="112"/>
      <c r="I35" s="112"/>
      <c r="J35" s="112"/>
      <c r="K35" s="112"/>
      <c r="L35" s="112"/>
      <c r="M35" s="112"/>
      <c r="N35" s="98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5"/>
      <c r="AC35" s="84"/>
      <c r="AD35" s="84"/>
      <c r="AE35" s="84"/>
      <c r="AF35" s="84"/>
      <c r="AG35" s="84"/>
      <c r="AH35" s="66"/>
    </row>
    <row r="36" spans="1:34" s="12" customFormat="1" ht="15" x14ac:dyDescent="0.2">
      <c r="A36" s="91"/>
      <c r="B36" s="119"/>
      <c r="C36" s="87">
        <v>44799</v>
      </c>
      <c r="D36" s="112" t="s">
        <v>55</v>
      </c>
      <c r="E36" s="112"/>
      <c r="F36" s="112"/>
      <c r="G36" s="112"/>
      <c r="H36" s="112"/>
      <c r="I36" s="112"/>
      <c r="J36" s="112"/>
      <c r="K36" s="112"/>
      <c r="L36" s="112"/>
      <c r="M36" s="112"/>
      <c r="N36" s="98"/>
      <c r="O36" s="83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5"/>
      <c r="AC36" s="84"/>
      <c r="AD36" s="84"/>
      <c r="AE36" s="84"/>
      <c r="AF36" s="84"/>
      <c r="AG36" s="84"/>
      <c r="AH36" s="66"/>
    </row>
    <row r="37" spans="1:34" s="12" customFormat="1" ht="15" x14ac:dyDescent="0.2">
      <c r="A37" s="91"/>
      <c r="B37" s="119"/>
      <c r="C37" s="87">
        <v>44802</v>
      </c>
      <c r="D37" s="112" t="s">
        <v>57</v>
      </c>
      <c r="E37" s="112"/>
      <c r="F37" s="112"/>
      <c r="G37" s="112"/>
      <c r="H37" s="112"/>
      <c r="I37" s="112"/>
      <c r="J37" s="112"/>
      <c r="K37" s="112"/>
      <c r="L37" s="98"/>
      <c r="M37" s="98"/>
      <c r="N37" s="98"/>
      <c r="O37" s="83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5"/>
      <c r="AC37" s="84"/>
      <c r="AD37" s="84"/>
      <c r="AE37" s="84"/>
      <c r="AF37" s="84"/>
      <c r="AG37" s="84"/>
      <c r="AH37" s="66"/>
    </row>
    <row r="38" spans="1:34" s="12" customFormat="1" ht="15" x14ac:dyDescent="0.2">
      <c r="A38" s="91"/>
      <c r="B38" s="119"/>
      <c r="C38" s="87">
        <v>44803</v>
      </c>
      <c r="D38" s="112" t="s">
        <v>57</v>
      </c>
      <c r="E38" s="112"/>
      <c r="F38" s="112"/>
      <c r="G38" s="112"/>
      <c r="H38" s="112"/>
      <c r="I38" s="112"/>
      <c r="J38" s="112"/>
      <c r="K38" s="112"/>
      <c r="L38" s="100"/>
      <c r="M38" s="100"/>
      <c r="N38" s="100"/>
      <c r="O38" s="83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4"/>
      <c r="AD38" s="84"/>
      <c r="AE38" s="84"/>
      <c r="AF38" s="84"/>
      <c r="AG38" s="84"/>
      <c r="AH38" s="66"/>
    </row>
    <row r="39" spans="1:34" s="12" customFormat="1" ht="15" x14ac:dyDescent="0.2">
      <c r="A39" s="92"/>
      <c r="B39" s="120"/>
      <c r="C39" s="87">
        <v>44804</v>
      </c>
      <c r="D39" s="112" t="s">
        <v>57</v>
      </c>
      <c r="E39" s="112"/>
      <c r="F39" s="112"/>
      <c r="G39" s="112"/>
      <c r="H39" s="112"/>
      <c r="I39" s="112"/>
      <c r="J39" s="112"/>
      <c r="K39" s="112"/>
      <c r="L39" s="100"/>
      <c r="M39" s="100"/>
      <c r="N39" s="100"/>
      <c r="O39" s="83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5"/>
      <c r="AC39" s="84"/>
      <c r="AD39" s="84"/>
      <c r="AE39" s="84"/>
      <c r="AF39" s="84"/>
      <c r="AG39" s="84"/>
      <c r="AH39" s="66"/>
    </row>
    <row r="40" spans="1:34" s="12" customFormat="1" ht="15" x14ac:dyDescent="0.2">
      <c r="A40" s="80"/>
      <c r="B40" s="80"/>
      <c r="C40" s="8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15"/>
      <c r="AB40" s="31"/>
    </row>
    <row r="41" spans="1:34" s="12" customFormat="1" ht="15" x14ac:dyDescent="0.2">
      <c r="A41" s="13"/>
      <c r="B41" s="42"/>
      <c r="C41" s="4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15"/>
      <c r="AB41" s="31"/>
    </row>
    <row r="42" spans="1:34" s="12" customFormat="1" x14ac:dyDescent="0.2">
      <c r="A42" s="13"/>
      <c r="D42" s="77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AB42" s="31"/>
    </row>
    <row r="43" spans="1:34" s="12" customFormat="1" x14ac:dyDescent="0.2">
      <c r="A43" s="23" t="s">
        <v>12</v>
      </c>
      <c r="D43" s="14"/>
      <c r="E43" s="15"/>
      <c r="F43" s="15"/>
      <c r="G43" s="15"/>
      <c r="H43" s="15"/>
      <c r="I43" s="15"/>
      <c r="J43" s="15"/>
      <c r="K43" s="58"/>
      <c r="L43" s="58"/>
      <c r="M43" s="15"/>
      <c r="O43" s="15"/>
      <c r="AB43" s="31"/>
    </row>
    <row r="44" spans="1:34" s="12" customFormat="1" x14ac:dyDescent="0.2">
      <c r="A44" s="109" t="s">
        <v>2</v>
      </c>
      <c r="B44" s="109" t="s">
        <v>9</v>
      </c>
      <c r="C44" s="109" t="s">
        <v>1</v>
      </c>
      <c r="D44" s="115" t="s">
        <v>7</v>
      </c>
      <c r="E44" s="116"/>
      <c r="F44" s="15"/>
      <c r="G44" s="15"/>
      <c r="H44" s="15"/>
      <c r="I44" s="15"/>
      <c r="J44" s="15"/>
      <c r="K44" s="59"/>
      <c r="L44" s="59"/>
      <c r="M44" s="15"/>
      <c r="O44" s="15"/>
      <c r="T44" s="12" t="s">
        <v>50</v>
      </c>
      <c r="AB44" s="31"/>
    </row>
    <row r="45" spans="1:34" s="12" customFormat="1" x14ac:dyDescent="0.2">
      <c r="A45" s="110"/>
      <c r="B45" s="110"/>
      <c r="C45" s="110"/>
      <c r="D45" s="27" t="s">
        <v>10</v>
      </c>
      <c r="E45" s="22" t="s">
        <v>11</v>
      </c>
      <c r="F45" s="15"/>
      <c r="G45" s="15"/>
      <c r="H45" s="15"/>
      <c r="I45" s="15"/>
      <c r="J45" s="15"/>
      <c r="K45" s="15"/>
      <c r="L45" s="15"/>
      <c r="M45" s="15"/>
      <c r="O45" s="15"/>
      <c r="AB45" s="31"/>
    </row>
    <row r="46" spans="1:34" s="12" customFormat="1" ht="15.75" x14ac:dyDescent="0.25">
      <c r="A46" s="40" t="s">
        <v>37</v>
      </c>
      <c r="B46" s="32" t="s">
        <v>47</v>
      </c>
      <c r="C46" s="37">
        <f t="shared" ref="C46:C54" si="0">1-(((D46*3600)+(LEFT(E46,2)*60)+RIGHT(E46,2))/((60*60*24)*$C$8))</f>
        <v>1</v>
      </c>
      <c r="D46" s="20" t="str">
        <f>TEXT(SUM(D13:AH13),"[h]")</f>
        <v>0</v>
      </c>
      <c r="E46" s="20" t="str">
        <f>TEXT(SUM(D13:AH13),"mm ss")</f>
        <v>00 00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4" s="12" customFormat="1" ht="15.75" x14ac:dyDescent="0.25">
      <c r="A47" s="40" t="s">
        <v>28</v>
      </c>
      <c r="B47" s="32" t="s">
        <v>25</v>
      </c>
      <c r="C47" s="37">
        <f t="shared" si="0"/>
        <v>1</v>
      </c>
      <c r="D47" s="20" t="str">
        <f>TEXT(SUM(D14:AH14),"[h]")</f>
        <v>0</v>
      </c>
      <c r="E47" s="20" t="str">
        <f>TEXT(SUM(D14:AH14),"mm ss")</f>
        <v>00 00</v>
      </c>
      <c r="F47" s="113"/>
      <c r="G47" s="113"/>
      <c r="H47" s="113"/>
      <c r="I47" s="113"/>
      <c r="J47" s="113"/>
      <c r="K47" s="113"/>
      <c r="L47" s="113"/>
      <c r="M47" s="113"/>
      <c r="N47" s="113"/>
      <c r="O47" s="15"/>
    </row>
    <row r="48" spans="1:34" s="12" customFormat="1" ht="15.75" x14ac:dyDescent="0.25">
      <c r="A48" s="40" t="s">
        <v>29</v>
      </c>
      <c r="B48" s="51" t="s">
        <v>18</v>
      </c>
      <c r="C48" s="37">
        <f t="shared" si="0"/>
        <v>1</v>
      </c>
      <c r="D48" s="20" t="str">
        <f>TEXT(SUM(D15:AH15),"[h]")</f>
        <v>0</v>
      </c>
      <c r="E48" s="20" t="str">
        <f>TEXT(SUM(D15:AH15),"mm ss")</f>
        <v>00 00</v>
      </c>
      <c r="F48" s="15"/>
      <c r="G48" s="21"/>
      <c r="H48" s="70"/>
      <c r="I48" s="15"/>
      <c r="J48" s="15"/>
      <c r="K48" s="15"/>
      <c r="L48" s="15"/>
      <c r="M48" s="15"/>
      <c r="O48" s="15"/>
    </row>
    <row r="49" spans="1:34" s="16" customFormat="1" ht="15.75" x14ac:dyDescent="0.25">
      <c r="A49" s="40" t="s">
        <v>30</v>
      </c>
      <c r="B49" s="32" t="s">
        <v>19</v>
      </c>
      <c r="C49" s="37">
        <f t="shared" si="0"/>
        <v>0.99923648446833935</v>
      </c>
      <c r="D49" s="20" t="str">
        <f>TEXT(SUM(D16:AH16),"[h]")</f>
        <v>0</v>
      </c>
      <c r="E49" s="20" t="str">
        <f>TEXT(SUM(D16:AH16),"mm ss")</f>
        <v>34 05</v>
      </c>
      <c r="F49" s="15"/>
      <c r="G49" s="21"/>
      <c r="H49" s="15"/>
      <c r="I49" s="15"/>
      <c r="J49" s="15"/>
      <c r="K49" s="15"/>
      <c r="L49" s="15"/>
      <c r="M49" s="15"/>
      <c r="N49" s="12"/>
      <c r="O49" s="1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ht="15.75" x14ac:dyDescent="0.25">
      <c r="A50" s="40" t="s">
        <v>31</v>
      </c>
      <c r="B50" s="32" t="s">
        <v>20</v>
      </c>
      <c r="C50" s="37">
        <f t="shared" si="0"/>
        <v>0.99890568996415774</v>
      </c>
      <c r="D50" s="20" t="str">
        <f>TEXT(SUM(D17:AH17),"[h]")</f>
        <v>0</v>
      </c>
      <c r="E50" s="20" t="str">
        <f>TEXT(SUM(D17:AH17),"mm ss")</f>
        <v>48 51</v>
      </c>
      <c r="F50" s="15"/>
      <c r="G50" s="21"/>
      <c r="H50" s="15"/>
      <c r="I50" s="15"/>
      <c r="J50" s="15"/>
      <c r="K50" s="15"/>
      <c r="L50" s="15"/>
      <c r="M50" s="15"/>
      <c r="N50" s="12"/>
      <c r="O50" s="15"/>
      <c r="P50" s="12"/>
      <c r="Q50" s="12"/>
      <c r="R50" s="12"/>
      <c r="S50" s="12" t="s">
        <v>51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.75" x14ac:dyDescent="0.25">
      <c r="A51" s="40" t="s">
        <v>32</v>
      </c>
      <c r="B51" s="32" t="s">
        <v>21</v>
      </c>
      <c r="C51" s="37">
        <f t="shared" si="0"/>
        <v>1</v>
      </c>
      <c r="D51" s="20" t="str">
        <f>TEXT(SUM(D18:AH18),"[h]")</f>
        <v>0</v>
      </c>
      <c r="E51" s="20" t="str">
        <f>TEXT(SUM(D18:AH18),"mm ss")</f>
        <v>00 00</v>
      </c>
      <c r="F51" s="15"/>
      <c r="G51" s="21"/>
      <c r="H51" s="15"/>
      <c r="I51" s="15"/>
      <c r="J51" s="71"/>
      <c r="K51" s="15"/>
      <c r="L51" s="15"/>
      <c r="M51" s="15"/>
      <c r="N51" s="12"/>
      <c r="O51" s="1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5.75" x14ac:dyDescent="0.25">
      <c r="A52" s="40" t="s">
        <v>33</v>
      </c>
      <c r="B52" s="32" t="s">
        <v>27</v>
      </c>
      <c r="C52" s="37">
        <f t="shared" si="0"/>
        <v>1</v>
      </c>
      <c r="D52" s="20" t="str">
        <f>TEXT(SUM(D19:AH19),"[h]")</f>
        <v>0</v>
      </c>
      <c r="E52" s="20" t="str">
        <f>TEXT(SUM(D19:AH19),"mm ss")</f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x14ac:dyDescent="0.25">
      <c r="A53" s="40" t="s">
        <v>34</v>
      </c>
      <c r="B53" s="32" t="s">
        <v>26</v>
      </c>
      <c r="C53" s="37">
        <f t="shared" si="0"/>
        <v>0.99241935483870969</v>
      </c>
      <c r="D53" s="20" t="str">
        <f>TEXT(SUM(D20:AH20),"[h]")</f>
        <v>5</v>
      </c>
      <c r="E53" s="20" t="str">
        <f>TEXT(SUM(D20:AH20),"mm ss")</f>
        <v>38 24</v>
      </c>
      <c r="F53" s="15"/>
      <c r="G53" s="21"/>
      <c r="H53" s="15"/>
      <c r="I53" s="15"/>
      <c r="J53" s="15"/>
      <c r="K53" s="15"/>
      <c r="L53" s="15"/>
      <c r="M53" s="15"/>
      <c r="N53" s="15"/>
      <c r="O53" s="6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x14ac:dyDescent="0.25">
      <c r="A54" s="40" t="s">
        <v>35</v>
      </c>
      <c r="B54" s="32" t="s">
        <v>24</v>
      </c>
      <c r="C54" s="37">
        <f t="shared" si="0"/>
        <v>1</v>
      </c>
      <c r="D54" s="20" t="str">
        <f>TEXT(SUM(D21:AH21),"[h]")</f>
        <v>0</v>
      </c>
      <c r="E54" s="20" t="str">
        <f>TEXT(SUM(D21:AH21),"mm ss")</f>
        <v>00 00</v>
      </c>
      <c r="F54" s="15"/>
      <c r="G54" s="21"/>
      <c r="H54" s="15"/>
      <c r="I54" s="15"/>
      <c r="J54" s="15"/>
      <c r="K54" s="15"/>
      <c r="L54" s="15"/>
      <c r="M54" s="15"/>
      <c r="N54" s="15"/>
      <c r="O54" s="6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ht="15.75" x14ac:dyDescent="0.25">
      <c r="A55" s="40" t="s">
        <v>36</v>
      </c>
      <c r="B55" s="32" t="s">
        <v>23</v>
      </c>
      <c r="C55" s="33">
        <f>1-(((D55*3600)+(LEFT(E55,2)*60)+RIGHT(E55,2))/((60*60*24)*$C$8))</f>
        <v>1</v>
      </c>
      <c r="D55" s="20" t="str">
        <f>TEXT(SUM(D22:AH22),"[h]")</f>
        <v>0</v>
      </c>
      <c r="E55" s="20" t="str">
        <f>TEXT(SUM(D22:AH22),"mm ss")</f>
        <v>00 00</v>
      </c>
      <c r="F55" s="15"/>
      <c r="G55" s="21"/>
      <c r="H55" s="15"/>
      <c r="I55" s="15"/>
      <c r="J55" s="15"/>
      <c r="K55" s="15"/>
      <c r="L55" s="15"/>
      <c r="M55" s="15"/>
      <c r="N55" s="15"/>
      <c r="O55" s="6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15.75" x14ac:dyDescent="0.25">
      <c r="A56" s="40" t="s">
        <v>38</v>
      </c>
      <c r="B56" s="32" t="s">
        <v>43</v>
      </c>
      <c r="C56" s="33">
        <f t="shared" ref="C56:C58" si="1">1-(((D56*3600)+(LEFT(E56,2)*60)+RIGHT(E56,2))/((60*60*24)*$C$8))</f>
        <v>0.99908079450418164</v>
      </c>
      <c r="D56" s="20" t="str">
        <f>TEXT(SUM(D23:AH23),"[h]")</f>
        <v>0</v>
      </c>
      <c r="E56" s="20" t="str">
        <f>TEXT(SUM(D23:AH23),"mm ss")</f>
        <v>41 02</v>
      </c>
      <c r="F56" s="15"/>
      <c r="G56" s="21"/>
      <c r="H56" s="15"/>
      <c r="I56" s="15"/>
      <c r="J56" s="15"/>
      <c r="K56" s="15"/>
      <c r="L56" s="15"/>
      <c r="M56" s="15"/>
      <c r="N56" s="15"/>
      <c r="O56" s="61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spans="1:34" ht="15.75" x14ac:dyDescent="0.25">
      <c r="A57" s="40" t="s">
        <v>41</v>
      </c>
      <c r="B57" s="32" t="s">
        <v>44</v>
      </c>
      <c r="C57" s="33">
        <f t="shared" si="1"/>
        <v>1</v>
      </c>
      <c r="D57" s="20" t="str">
        <f>TEXT(SUM(D24:AH24),"[h]")</f>
        <v>0</v>
      </c>
      <c r="E57" s="20" t="str">
        <f>TEXT(SUM(D24:AH24),"mm ss")</f>
        <v>00 00</v>
      </c>
      <c r="F57" s="15"/>
      <c r="G57" s="21"/>
      <c r="H57" s="15"/>
      <c r="I57" s="15"/>
      <c r="J57" s="15"/>
      <c r="K57" s="15"/>
      <c r="L57" s="15"/>
      <c r="M57" s="15"/>
      <c r="N57" s="15"/>
      <c r="O57" s="62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6"/>
      <c r="AH57" s="16"/>
    </row>
    <row r="58" spans="1:34" ht="15.75" x14ac:dyDescent="0.25">
      <c r="A58" s="60" t="s">
        <v>42</v>
      </c>
      <c r="B58" s="32" t="s">
        <v>46</v>
      </c>
      <c r="C58" s="33">
        <f t="shared" si="1"/>
        <v>1</v>
      </c>
      <c r="D58" s="20" t="str">
        <f>TEXT(SUM(D25:AH25),"[h]")</f>
        <v>0</v>
      </c>
      <c r="E58" s="20" t="str">
        <f>TEXT(SUM(D25:AH25),"mm ss")</f>
        <v>00 00</v>
      </c>
      <c r="F58" s="15"/>
      <c r="G58" s="21"/>
      <c r="H58" s="15"/>
      <c r="I58" s="15"/>
      <c r="J58" s="15"/>
      <c r="K58" s="15"/>
      <c r="L58" s="61"/>
      <c r="M58" s="61"/>
      <c r="N58" s="61"/>
      <c r="O58" s="63"/>
    </row>
    <row r="59" spans="1:34" ht="15.75" x14ac:dyDescent="0.25">
      <c r="A59" s="50"/>
      <c r="B59" s="51"/>
      <c r="C59" s="52"/>
      <c r="D59" s="53"/>
      <c r="E59" s="53"/>
      <c r="F59" s="15"/>
      <c r="G59" s="21"/>
      <c r="H59" s="15"/>
      <c r="I59" s="15"/>
      <c r="J59" s="15"/>
      <c r="K59" s="15"/>
      <c r="L59" s="61"/>
      <c r="M59" s="61"/>
      <c r="N59" s="61"/>
      <c r="O59" s="63"/>
    </row>
    <row r="60" spans="1:34" x14ac:dyDescent="0.2">
      <c r="A60" s="13"/>
      <c r="B60" s="12"/>
      <c r="C60" s="26"/>
      <c r="D60" s="25"/>
      <c r="E60" s="15"/>
      <c r="F60" s="15"/>
      <c r="G60" s="15"/>
      <c r="H60" s="15"/>
      <c r="I60" s="15"/>
      <c r="J60" s="15"/>
      <c r="K60" s="15"/>
      <c r="L60" s="61"/>
      <c r="M60" s="61"/>
      <c r="N60" s="61"/>
      <c r="O60" s="63"/>
    </row>
    <row r="61" spans="1:34" x14ac:dyDescent="0.2">
      <c r="A61" s="13"/>
      <c r="B61" s="12"/>
      <c r="C61" s="12"/>
      <c r="D61" s="14"/>
      <c r="E61" s="15"/>
      <c r="F61" s="15"/>
      <c r="G61" s="15"/>
      <c r="H61" s="15"/>
      <c r="I61" s="15"/>
      <c r="J61" s="15"/>
      <c r="K61" s="15"/>
      <c r="L61" s="61"/>
      <c r="M61" s="61"/>
      <c r="N61" s="61"/>
      <c r="O61" s="63"/>
    </row>
    <row r="62" spans="1:34" x14ac:dyDescent="0.2">
      <c r="A62" s="14"/>
      <c r="B62" s="24" t="s">
        <v>13</v>
      </c>
      <c r="C62" s="19"/>
      <c r="D62" s="18"/>
      <c r="E62" s="18"/>
      <c r="F62" s="18"/>
      <c r="G62" s="18"/>
      <c r="H62" s="18"/>
      <c r="I62" s="18"/>
      <c r="J62" s="18"/>
      <c r="K62" s="18"/>
      <c r="L62" s="62"/>
      <c r="M62" s="62"/>
      <c r="N62" s="62"/>
      <c r="O62" s="63"/>
    </row>
    <row r="63" spans="1:34" x14ac:dyDescent="0.2">
      <c r="A63"/>
      <c r="B63" s="12" t="s">
        <v>16</v>
      </c>
      <c r="C63" s="27">
        <f>(SUM(C46:C58))/(100%*13)</f>
        <v>0.99920325567502988</v>
      </c>
      <c r="G63" s="38"/>
      <c r="L63" s="63"/>
      <c r="M63" s="63"/>
      <c r="N63" s="63"/>
      <c r="O63" s="63"/>
    </row>
    <row r="64" spans="1:34" x14ac:dyDescent="0.2">
      <c r="C64" s="73"/>
      <c r="L64" s="63"/>
      <c r="M64" s="63"/>
      <c r="N64" s="63"/>
    </row>
    <row r="65" spans="1:32" x14ac:dyDescent="0.2">
      <c r="A65" s="93"/>
      <c r="B65" s="94"/>
      <c r="C65" s="95"/>
      <c r="L65" s="63"/>
      <c r="M65" s="63"/>
      <c r="N65" s="63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spans="1:32" x14ac:dyDescent="0.2">
      <c r="A66" s="93"/>
      <c r="B66" s="96"/>
      <c r="C66" s="95"/>
      <c r="L66" s="63"/>
      <c r="M66" s="63"/>
      <c r="N66" s="63"/>
    </row>
    <row r="67" spans="1:32" x14ac:dyDescent="0.2">
      <c r="A67" s="93"/>
      <c r="B67" s="94"/>
      <c r="C67" s="95"/>
      <c r="L67" s="63"/>
      <c r="M67" s="63"/>
      <c r="N67" s="63"/>
    </row>
    <row r="68" spans="1:32" x14ac:dyDescent="0.2">
      <c r="A68" s="93"/>
      <c r="B68" s="94"/>
      <c r="C68" s="95"/>
      <c r="L68" s="63"/>
      <c r="M68" s="63"/>
      <c r="N68" s="63"/>
    </row>
    <row r="69" spans="1:32" x14ac:dyDescent="0.2">
      <c r="B69" s="90"/>
      <c r="C69" s="73"/>
      <c r="D69" s="75"/>
      <c r="E69" s="74" t="s">
        <v>49</v>
      </c>
    </row>
    <row r="70" spans="1:32" x14ac:dyDescent="0.2">
      <c r="A70"/>
      <c r="B70" s="90"/>
      <c r="C70" s="73"/>
      <c r="D70" s="75"/>
    </row>
    <row r="71" spans="1:32" x14ac:dyDescent="0.2">
      <c r="B71" s="90"/>
      <c r="C71" s="73"/>
      <c r="D71" s="75"/>
    </row>
    <row r="72" spans="1:32" x14ac:dyDescent="0.2">
      <c r="B72" s="90"/>
      <c r="C72" s="73"/>
      <c r="D72" s="75"/>
    </row>
    <row r="73" spans="1:32" x14ac:dyDescent="0.2">
      <c r="B73" s="90"/>
      <c r="C73" s="73"/>
      <c r="D73" s="75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B74" s="73"/>
      <c r="C74" s="73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B75" s="90"/>
      <c r="C75" s="73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B76" s="90"/>
      <c r="C76" s="73"/>
      <c r="O76" s="29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B77" s="90"/>
      <c r="C77" s="73"/>
    </row>
    <row r="78" spans="1:32" x14ac:dyDescent="0.2">
      <c r="A78"/>
      <c r="B78" s="90"/>
      <c r="C78" s="73"/>
      <c r="E78" s="28"/>
      <c r="F78" s="29"/>
      <c r="G78" s="29"/>
      <c r="H78" s="29"/>
      <c r="I78" s="29"/>
      <c r="J78" s="29"/>
      <c r="K78" s="29"/>
      <c r="L78" s="29"/>
      <c r="M78" s="29"/>
      <c r="N78" s="29"/>
    </row>
    <row r="79" spans="1:32" x14ac:dyDescent="0.2">
      <c r="A79"/>
      <c r="B79" s="90"/>
      <c r="C79" s="73"/>
      <c r="E79" s="28"/>
      <c r="F79" s="29"/>
      <c r="G79" s="29"/>
      <c r="H79" s="29"/>
      <c r="I79" s="29"/>
      <c r="J79" s="29"/>
      <c r="K79" s="29"/>
      <c r="L79" s="29"/>
      <c r="M79" s="29"/>
      <c r="N79" s="29"/>
    </row>
    <row r="80" spans="1:32" x14ac:dyDescent="0.2">
      <c r="A80"/>
      <c r="B80" s="90"/>
      <c r="C80" s="73"/>
      <c r="E80" s="28"/>
      <c r="F80" s="29"/>
      <c r="G80" s="29"/>
      <c r="H80" s="29"/>
      <c r="I80" s="29"/>
      <c r="J80" s="29"/>
      <c r="K80" s="29"/>
      <c r="L80" s="29"/>
      <c r="M80" s="29"/>
      <c r="N80" s="29"/>
    </row>
    <row r="81" spans="1:14" x14ac:dyDescent="0.2">
      <c r="A81"/>
      <c r="B81" s="90"/>
      <c r="C81" s="73"/>
      <c r="D81"/>
      <c r="E81" s="28"/>
      <c r="F81" s="29"/>
      <c r="G81" s="29"/>
      <c r="H81" s="29"/>
      <c r="I81" s="29"/>
      <c r="J81" s="29"/>
      <c r="K81" s="29"/>
      <c r="L81" s="29"/>
      <c r="M81" s="29"/>
      <c r="N81" s="29"/>
    </row>
    <row r="82" spans="1:14" x14ac:dyDescent="0.2">
      <c r="B82" s="78"/>
    </row>
  </sheetData>
  <mergeCells count="22">
    <mergeCell ref="D32:L32"/>
    <mergeCell ref="D33:M33"/>
    <mergeCell ref="F47:N47"/>
    <mergeCell ref="D26:AG26"/>
    <mergeCell ref="D44:E44"/>
    <mergeCell ref="D28:AG28"/>
    <mergeCell ref="D29:AG29"/>
    <mergeCell ref="D30:AG30"/>
    <mergeCell ref="D31:AG31"/>
    <mergeCell ref="D36:M36"/>
    <mergeCell ref="D35:M35"/>
    <mergeCell ref="D37:K37"/>
    <mergeCell ref="D38:K38"/>
    <mergeCell ref="D39:K39"/>
    <mergeCell ref="D27:K27"/>
    <mergeCell ref="A10:A11"/>
    <mergeCell ref="B10:B11"/>
    <mergeCell ref="C10:C11"/>
    <mergeCell ref="A44:A45"/>
    <mergeCell ref="B44:B45"/>
    <mergeCell ref="C44:C45"/>
    <mergeCell ref="B27:B39"/>
  </mergeCells>
  <phoneticPr fontId="9" type="noConversion"/>
  <conditionalFormatting sqref="D15:F15 G21 AE18:AF18 AE21:AF21 P21:Z21 AB21:AC21 AC17:AF17 D13:D21 O17:Z17 D18:K18 I21:M21 D17:F17 H17:K17 M17:M18">
    <cfRule type="cellIs" dxfId="116" priority="272" stopIfTrue="1" operator="greaterThan">
      <formula>0</formula>
    </cfRule>
  </conditionalFormatting>
  <conditionalFormatting sqref="I15:M15">
    <cfRule type="cellIs" dxfId="115" priority="271" stopIfTrue="1" operator="greaterThan">
      <formula>0</formula>
    </cfRule>
  </conditionalFormatting>
  <conditionalFormatting sqref="W18:Z18 O15:Z15 O18:U18 AB15:AD15 AB18:AC18">
    <cfRule type="cellIs" dxfId="114" priority="270" stopIfTrue="1" operator="greaterThan">
      <formula>0</formula>
    </cfRule>
  </conditionalFormatting>
  <conditionalFormatting sqref="G15">
    <cfRule type="cellIs" dxfId="113" priority="264" stopIfTrue="1" operator="greaterThan">
      <formula>0</formula>
    </cfRule>
  </conditionalFormatting>
  <conditionalFormatting sqref="H15">
    <cfRule type="cellIs" dxfId="112" priority="257" stopIfTrue="1" operator="greaterThan">
      <formula>0</formula>
    </cfRule>
  </conditionalFormatting>
  <conditionalFormatting sqref="AD18">
    <cfRule type="cellIs" dxfId="111" priority="256" stopIfTrue="1" operator="greaterThan">
      <formula>0</formula>
    </cfRule>
  </conditionalFormatting>
  <conditionalFormatting sqref="V18">
    <cfRule type="cellIs" dxfId="110" priority="251" stopIfTrue="1" operator="greaterThan">
      <formula>0</formula>
    </cfRule>
  </conditionalFormatting>
  <conditionalFormatting sqref="AE15:AF15">
    <cfRule type="cellIs" dxfId="109" priority="248" stopIfTrue="1" operator="greaterThan">
      <formula>0</formula>
    </cfRule>
  </conditionalFormatting>
  <conditionalFormatting sqref="D14:F14">
    <cfRule type="cellIs" dxfId="108" priority="242" stopIfTrue="1" operator="greaterThan">
      <formula>0</formula>
    </cfRule>
  </conditionalFormatting>
  <conditionalFormatting sqref="I14:M14">
    <cfRule type="cellIs" dxfId="107" priority="241" stopIfTrue="1" operator="greaterThan">
      <formula>0</formula>
    </cfRule>
  </conditionalFormatting>
  <conditionalFormatting sqref="O14:Z14 AB14:AD14">
    <cfRule type="cellIs" dxfId="106" priority="240" stopIfTrue="1" operator="greaterThan">
      <formula>0</formula>
    </cfRule>
  </conditionalFormatting>
  <conditionalFormatting sqref="G14">
    <cfRule type="cellIs" dxfId="105" priority="239" stopIfTrue="1" operator="greaterThan">
      <formula>0</formula>
    </cfRule>
  </conditionalFormatting>
  <conditionalFormatting sqref="H14">
    <cfRule type="cellIs" dxfId="104" priority="237" stopIfTrue="1" operator="greaterThan">
      <formula>0</formula>
    </cfRule>
  </conditionalFormatting>
  <conditionalFormatting sqref="AE14:AF14">
    <cfRule type="cellIs" dxfId="103" priority="236" stopIfTrue="1" operator="greaterThan">
      <formula>0</formula>
    </cfRule>
  </conditionalFormatting>
  <conditionalFormatting sqref="D13:F13">
    <cfRule type="cellIs" dxfId="102" priority="226" stopIfTrue="1" operator="greaterThan">
      <formula>0</formula>
    </cfRule>
  </conditionalFormatting>
  <conditionalFormatting sqref="D16:F16">
    <cfRule type="cellIs" dxfId="101" priority="218" stopIfTrue="1" operator="greaterThan">
      <formula>0</formula>
    </cfRule>
  </conditionalFormatting>
  <conditionalFormatting sqref="I13:M13">
    <cfRule type="cellIs" dxfId="100" priority="225" stopIfTrue="1" operator="greaterThan">
      <formula>0</formula>
    </cfRule>
  </conditionalFormatting>
  <conditionalFormatting sqref="O13:Z13 AB13:AD13">
    <cfRule type="cellIs" dxfId="99" priority="224" stopIfTrue="1" operator="greaterThan">
      <formula>0</formula>
    </cfRule>
  </conditionalFormatting>
  <conditionalFormatting sqref="G13">
    <cfRule type="cellIs" dxfId="98" priority="223" stopIfTrue="1" operator="greaterThan">
      <formula>0</formula>
    </cfRule>
  </conditionalFormatting>
  <conditionalFormatting sqref="H13">
    <cfRule type="cellIs" dxfId="97" priority="221" stopIfTrue="1" operator="greaterThan">
      <formula>0</formula>
    </cfRule>
  </conditionalFormatting>
  <conditionalFormatting sqref="AE13:AF13">
    <cfRule type="cellIs" dxfId="96" priority="220" stopIfTrue="1" operator="greaterThan">
      <formula>0</formula>
    </cfRule>
  </conditionalFormatting>
  <conditionalFormatting sqref="I16:K16 M16">
    <cfRule type="cellIs" dxfId="95" priority="217" stopIfTrue="1" operator="greaterThan">
      <formula>0</formula>
    </cfRule>
  </conditionalFormatting>
  <conditionalFormatting sqref="O16 Q16">
    <cfRule type="cellIs" dxfId="94" priority="216" stopIfTrue="1" operator="greaterThan">
      <formula>0</formula>
    </cfRule>
  </conditionalFormatting>
  <conditionalFormatting sqref="G16">
    <cfRule type="cellIs" dxfId="93" priority="215" stopIfTrue="1" operator="greaterThan">
      <formula>0</formula>
    </cfRule>
  </conditionalFormatting>
  <conditionalFormatting sqref="H16">
    <cfRule type="cellIs" dxfId="92" priority="213" stopIfTrue="1" operator="greaterThan">
      <formula>0</formula>
    </cfRule>
  </conditionalFormatting>
  <conditionalFormatting sqref="D19:F19">
    <cfRule type="cellIs" dxfId="91" priority="198" stopIfTrue="1" operator="greaterThan">
      <formula>0</formula>
    </cfRule>
  </conditionalFormatting>
  <conditionalFormatting sqref="I19:K19 M19">
    <cfRule type="cellIs" dxfId="90" priority="197" stopIfTrue="1" operator="greaterThan">
      <formula>0</formula>
    </cfRule>
  </conditionalFormatting>
  <conditionalFormatting sqref="O19:U19 W19:Z19 AB19:AC19">
    <cfRule type="cellIs" dxfId="89" priority="196" stopIfTrue="1" operator="greaterThan">
      <formula>0</formula>
    </cfRule>
  </conditionalFormatting>
  <conditionalFormatting sqref="G19">
    <cfRule type="cellIs" dxfId="88" priority="195" stopIfTrue="1" operator="greaterThan">
      <formula>0</formula>
    </cfRule>
  </conditionalFormatting>
  <conditionalFormatting sqref="H19">
    <cfRule type="cellIs" dxfId="87" priority="193" stopIfTrue="1" operator="greaterThan">
      <formula>0</formula>
    </cfRule>
  </conditionalFormatting>
  <conditionalFormatting sqref="AD19">
    <cfRule type="cellIs" dxfId="86" priority="192" stopIfTrue="1" operator="greaterThan">
      <formula>0</formula>
    </cfRule>
  </conditionalFormatting>
  <conditionalFormatting sqref="D20">
    <cfRule type="cellIs" dxfId="85" priority="184" stopIfTrue="1" operator="greaterThan">
      <formula>0</formula>
    </cfRule>
  </conditionalFormatting>
  <conditionalFormatting sqref="V19">
    <cfRule type="cellIs" dxfId="84" priority="190" stopIfTrue="1" operator="greaterThan">
      <formula>0</formula>
    </cfRule>
  </conditionalFormatting>
  <conditionalFormatting sqref="AE19:AF19">
    <cfRule type="cellIs" dxfId="83" priority="189" stopIfTrue="1" operator="greaterThan">
      <formula>0</formula>
    </cfRule>
  </conditionalFormatting>
  <conditionalFormatting sqref="G20 AE20:AF20 K20 M20 U20:V20 O20:S20">
    <cfRule type="cellIs" dxfId="82" priority="187" stopIfTrue="1" operator="greaterThan">
      <formula>0</formula>
    </cfRule>
  </conditionalFormatting>
  <conditionalFormatting sqref="W20 Y20">
    <cfRule type="cellIs" dxfId="81" priority="186" stopIfTrue="1" operator="greaterThan">
      <formula>0</formula>
    </cfRule>
  </conditionalFormatting>
  <conditionalFormatting sqref="AC20">
    <cfRule type="cellIs" dxfId="80" priority="185" stopIfTrue="1" operator="greaterThan">
      <formula>0</formula>
    </cfRule>
  </conditionalFormatting>
  <conditionalFormatting sqref="AD20:AD21">
    <cfRule type="cellIs" dxfId="79" priority="182" stopIfTrue="1" operator="greaterThan">
      <formula>0</formula>
    </cfRule>
  </conditionalFormatting>
  <conditionalFormatting sqref="W16">
    <cfRule type="cellIs" dxfId="78" priority="171" stopIfTrue="1" operator="greaterThan">
      <formula>0</formula>
    </cfRule>
  </conditionalFormatting>
  <conditionalFormatting sqref="V16">
    <cfRule type="cellIs" dxfId="77" priority="172" stopIfTrue="1" operator="greaterThan">
      <formula>0</formula>
    </cfRule>
  </conditionalFormatting>
  <conditionalFormatting sqref="R16">
    <cfRule type="cellIs" dxfId="76" priority="176" stopIfTrue="1" operator="greaterThan">
      <formula>0</formula>
    </cfRule>
  </conditionalFormatting>
  <conditionalFormatting sqref="S16">
    <cfRule type="cellIs" dxfId="75" priority="175" stopIfTrue="1" operator="greaterThan">
      <formula>0</formula>
    </cfRule>
  </conditionalFormatting>
  <conditionalFormatting sqref="T16">
    <cfRule type="cellIs" dxfId="74" priority="174" stopIfTrue="1" operator="greaterThan">
      <formula>0</formula>
    </cfRule>
  </conditionalFormatting>
  <conditionalFormatting sqref="U16">
    <cfRule type="cellIs" dxfId="73" priority="173" stopIfTrue="1" operator="greaterThan">
      <formula>0</formula>
    </cfRule>
  </conditionalFormatting>
  <conditionalFormatting sqref="Z16">
    <cfRule type="cellIs" dxfId="72" priority="168" stopIfTrue="1" operator="greaterThan">
      <formula>0</formula>
    </cfRule>
  </conditionalFormatting>
  <conditionalFormatting sqref="AB16">
    <cfRule type="cellIs" dxfId="71" priority="166" stopIfTrue="1" operator="greaterThan">
      <formula>0</formula>
    </cfRule>
  </conditionalFormatting>
  <conditionalFormatting sqref="AC16">
    <cfRule type="cellIs" dxfId="70" priority="165" stopIfTrue="1" operator="greaterThan">
      <formula>0</formula>
    </cfRule>
  </conditionalFormatting>
  <conditionalFormatting sqref="AD16">
    <cfRule type="cellIs" dxfId="69" priority="164" stopIfTrue="1" operator="greaterThan">
      <formula>0</formula>
    </cfRule>
  </conditionalFormatting>
  <conditionalFormatting sqref="AE16:AF16">
    <cfRule type="cellIs" dxfId="68" priority="163" stopIfTrue="1" operator="greaterThan">
      <formula>0</formula>
    </cfRule>
  </conditionalFormatting>
  <conditionalFormatting sqref="M22 AB22:AF24 O22:Z22 D24:Z24 D22:G23 I22:J22 S23:Z23 I23:Q23">
    <cfRule type="cellIs" dxfId="67" priority="121" stopIfTrue="1" operator="greaterThan">
      <formula>0</formula>
    </cfRule>
  </conditionalFormatting>
  <conditionalFormatting sqref="AG13">
    <cfRule type="cellIs" dxfId="66" priority="111" stopIfTrue="1" operator="greaterThan">
      <formula>0</formula>
    </cfRule>
  </conditionalFormatting>
  <conditionalFormatting sqref="AG13">
    <cfRule type="cellIs" dxfId="65" priority="102" stopIfTrue="1" operator="greaterThan">
      <formula>0</formula>
    </cfRule>
  </conditionalFormatting>
  <conditionalFormatting sqref="AG21 AG17:AG18">
    <cfRule type="cellIs" dxfId="64" priority="115" stopIfTrue="1" operator="greaterThan">
      <formula>0</formula>
    </cfRule>
  </conditionalFormatting>
  <conditionalFormatting sqref="AG15">
    <cfRule type="cellIs" dxfId="63" priority="114" stopIfTrue="1" operator="greaterThan">
      <formula>0</formula>
    </cfRule>
  </conditionalFormatting>
  <conditionalFormatting sqref="AG14">
    <cfRule type="cellIs" dxfId="62" priority="113" stopIfTrue="1" operator="greaterThan">
      <formula>0</formula>
    </cfRule>
  </conditionalFormatting>
  <conditionalFormatting sqref="AG19">
    <cfRule type="cellIs" dxfId="61" priority="110" stopIfTrue="1" operator="greaterThan">
      <formula>0</formula>
    </cfRule>
  </conditionalFormatting>
  <conditionalFormatting sqref="AG16">
    <cfRule type="cellIs" dxfId="60" priority="108" stopIfTrue="1" operator="greaterThan">
      <formula>0</formula>
    </cfRule>
  </conditionalFormatting>
  <conditionalFormatting sqref="AG21 AG17:AG18">
    <cfRule type="cellIs" dxfId="59" priority="106" stopIfTrue="1" operator="greaterThan">
      <formula>0</formula>
    </cfRule>
  </conditionalFormatting>
  <conditionalFormatting sqref="AG15">
    <cfRule type="cellIs" dxfId="58" priority="105" stopIfTrue="1" operator="greaterThan">
      <formula>0</formula>
    </cfRule>
  </conditionalFormatting>
  <conditionalFormatting sqref="AG14">
    <cfRule type="cellIs" dxfId="57" priority="104" stopIfTrue="1" operator="greaterThan">
      <formula>0</formula>
    </cfRule>
  </conditionalFormatting>
  <conditionalFormatting sqref="AG19">
    <cfRule type="cellIs" dxfId="56" priority="101" stopIfTrue="1" operator="greaterThan">
      <formula>0</formula>
    </cfRule>
  </conditionalFormatting>
  <conditionalFormatting sqref="AG16">
    <cfRule type="cellIs" dxfId="55" priority="99" stopIfTrue="1" operator="greaterThan">
      <formula>0</formula>
    </cfRule>
  </conditionalFormatting>
  <conditionalFormatting sqref="AF13">
    <cfRule type="cellIs" dxfId="54" priority="93" stopIfTrue="1" operator="greaterThan">
      <formula>0</formula>
    </cfRule>
  </conditionalFormatting>
  <conditionalFormatting sqref="AF19">
    <cfRule type="cellIs" dxfId="53" priority="92" stopIfTrue="1" operator="greaterThan">
      <formula>0</formula>
    </cfRule>
  </conditionalFormatting>
  <conditionalFormatting sqref="AF23:AF24">
    <cfRule type="cellIs" dxfId="52" priority="89" stopIfTrue="1" operator="greaterThan">
      <formula>0</formula>
    </cfRule>
  </conditionalFormatting>
  <conditionalFormatting sqref="AF21 AF17:AF18">
    <cfRule type="cellIs" dxfId="51" priority="97" stopIfTrue="1" operator="greaterThan">
      <formula>0</formula>
    </cfRule>
  </conditionalFormatting>
  <conditionalFormatting sqref="AF15">
    <cfRule type="cellIs" dxfId="50" priority="96" stopIfTrue="1" operator="greaterThan">
      <formula>0</formula>
    </cfRule>
  </conditionalFormatting>
  <conditionalFormatting sqref="AF14">
    <cfRule type="cellIs" dxfId="49" priority="95" stopIfTrue="1" operator="greaterThan">
      <formula>0</formula>
    </cfRule>
  </conditionalFormatting>
  <conditionalFormatting sqref="AF20">
    <cfRule type="cellIs" dxfId="48" priority="91" stopIfTrue="1" operator="greaterThan">
      <formula>0</formula>
    </cfRule>
  </conditionalFormatting>
  <conditionalFormatting sqref="AF16">
    <cfRule type="cellIs" dxfId="47" priority="90" stopIfTrue="1" operator="greaterThan">
      <formula>0</formula>
    </cfRule>
  </conditionalFormatting>
  <conditionalFormatting sqref="D25 M25:U25 AB25:AF25 W25:Z25 F25:I25">
    <cfRule type="cellIs" dxfId="46" priority="88" stopIfTrue="1" operator="greaterThan">
      <formula>0</formula>
    </cfRule>
  </conditionalFormatting>
  <conditionalFormatting sqref="AG25">
    <cfRule type="cellIs" dxfId="45" priority="86" stopIfTrue="1" operator="greaterThan">
      <formula>0</formula>
    </cfRule>
  </conditionalFormatting>
  <conditionalFormatting sqref="AG25">
    <cfRule type="cellIs" dxfId="44" priority="85" stopIfTrue="1" operator="greaterThan">
      <formula>0</formula>
    </cfRule>
  </conditionalFormatting>
  <conditionalFormatting sqref="AF25">
    <cfRule type="cellIs" dxfId="43" priority="84" stopIfTrue="1" operator="greaterThan">
      <formula>0</formula>
    </cfRule>
  </conditionalFormatting>
  <conditionalFormatting sqref="O21">
    <cfRule type="cellIs" dxfId="42" priority="81" stopIfTrue="1" operator="greaterThan">
      <formula>0</formula>
    </cfRule>
  </conditionalFormatting>
  <conditionalFormatting sqref="AG22:AG24">
    <cfRule type="cellIs" dxfId="41" priority="80" stopIfTrue="1" operator="greaterThan">
      <formula>0</formula>
    </cfRule>
  </conditionalFormatting>
  <conditionalFormatting sqref="E21:F21">
    <cfRule type="cellIs" dxfId="40" priority="79" stopIfTrue="1" operator="greaterThan">
      <formula>0</formula>
    </cfRule>
  </conditionalFormatting>
  <conditionalFormatting sqref="F20">
    <cfRule type="cellIs" dxfId="39" priority="78" stopIfTrue="1" operator="greaterThan">
      <formula>0</formula>
    </cfRule>
  </conditionalFormatting>
  <conditionalFormatting sqref="I20">
    <cfRule type="cellIs" dxfId="38" priority="77" stopIfTrue="1" operator="greaterThan">
      <formula>0</formula>
    </cfRule>
  </conditionalFormatting>
  <conditionalFormatting sqref="X20">
    <cfRule type="cellIs" dxfId="37" priority="75" stopIfTrue="1" operator="greaterThan">
      <formula>0</formula>
    </cfRule>
  </conditionalFormatting>
  <conditionalFormatting sqref="K43">
    <cfRule type="cellIs" dxfId="36" priority="74" stopIfTrue="1" operator="greaterThan">
      <formula>0</formula>
    </cfRule>
  </conditionalFormatting>
  <conditionalFormatting sqref="L43">
    <cfRule type="cellIs" dxfId="35" priority="73" stopIfTrue="1" operator="greaterThan">
      <formula>0</formula>
    </cfRule>
  </conditionalFormatting>
  <conditionalFormatting sqref="K22">
    <cfRule type="cellIs" dxfId="34" priority="66" stopIfTrue="1" operator="greaterThan">
      <formula>0</formula>
    </cfRule>
  </conditionalFormatting>
  <conditionalFormatting sqref="K25">
    <cfRule type="cellIs" dxfId="33" priority="65" stopIfTrue="1" operator="greaterThan">
      <formula>0</formula>
    </cfRule>
  </conditionalFormatting>
  <conditionalFormatting sqref="L22">
    <cfRule type="cellIs" dxfId="32" priority="64" stopIfTrue="1" operator="greaterThan">
      <formula>0</formula>
    </cfRule>
  </conditionalFormatting>
  <conditionalFormatting sqref="AH13:AH25">
    <cfRule type="cellIs" dxfId="31" priority="62" stopIfTrue="1" operator="greaterThan">
      <formula>0</formula>
    </cfRule>
  </conditionalFormatting>
  <conditionalFormatting sqref="AH13:AH25">
    <cfRule type="cellIs" dxfId="30" priority="61" stopIfTrue="1" operator="greaterThan">
      <formula>0</formula>
    </cfRule>
  </conditionalFormatting>
  <conditionalFormatting sqref="AL18">
    <cfRule type="cellIs" dxfId="29" priority="60" stopIfTrue="1" operator="greaterThan">
      <formula>0</formula>
    </cfRule>
  </conditionalFormatting>
  <conditionalFormatting sqref="AL18">
    <cfRule type="cellIs" dxfId="28" priority="59" stopIfTrue="1" operator="greaterThan">
      <formula>0</formula>
    </cfRule>
  </conditionalFormatting>
  <conditionalFormatting sqref="AA24:AA25 AA13:AA19 AA21:AA22">
    <cfRule type="cellIs" dxfId="27" priority="58" stopIfTrue="1" operator="greaterThan">
      <formula>0</formula>
    </cfRule>
  </conditionalFormatting>
  <conditionalFormatting sqref="AA23">
    <cfRule type="cellIs" dxfId="26" priority="56" stopIfTrue="1" operator="greaterThan">
      <formula>0</formula>
    </cfRule>
  </conditionalFormatting>
  <conditionalFormatting sqref="N13:N22">
    <cfRule type="cellIs" dxfId="25" priority="40" stopIfTrue="1" operator="greaterThan">
      <formula>0</formula>
    </cfRule>
  </conditionalFormatting>
  <conditionalFormatting sqref="D17">
    <cfRule type="cellIs" dxfId="24" priority="39" stopIfTrue="1" operator="greaterThan">
      <formula>0</formula>
    </cfRule>
  </conditionalFormatting>
  <conditionalFormatting sqref="G17">
    <cfRule type="cellIs" dxfId="23" priority="31" stopIfTrue="1" operator="greaterThan">
      <formula>0</formula>
    </cfRule>
  </conditionalFormatting>
  <conditionalFormatting sqref="H20:H23">
    <cfRule type="cellIs" dxfId="22" priority="30" stopIfTrue="1" operator="greaterThan">
      <formula>0</formula>
    </cfRule>
  </conditionalFormatting>
  <conditionalFormatting sqref="J20">
    <cfRule type="cellIs" dxfId="21" priority="29" stopIfTrue="1" operator="greaterThan">
      <formula>0</formula>
    </cfRule>
  </conditionalFormatting>
  <conditionalFormatting sqref="J25">
    <cfRule type="cellIs" dxfId="20" priority="28" stopIfTrue="1" operator="greaterThan">
      <formula>0</formula>
    </cfRule>
  </conditionalFormatting>
  <conditionalFormatting sqref="L25">
    <cfRule type="cellIs" dxfId="19" priority="27" stopIfTrue="1" operator="greaterThan">
      <formula>0</formula>
    </cfRule>
  </conditionalFormatting>
  <conditionalFormatting sqref="L16:L20">
    <cfRule type="cellIs" dxfId="18" priority="25" stopIfTrue="1" operator="greaterThan">
      <formula>0</formula>
    </cfRule>
  </conditionalFormatting>
  <conditionalFormatting sqref="AG20">
    <cfRule type="cellIs" dxfId="17" priority="24" stopIfTrue="1" operator="greaterThan">
      <formula>0</formula>
    </cfRule>
  </conditionalFormatting>
  <conditionalFormatting sqref="AG20">
    <cfRule type="cellIs" dxfId="16" priority="23" stopIfTrue="1" operator="greaterThan">
      <formula>0</formula>
    </cfRule>
  </conditionalFormatting>
  <conditionalFormatting sqref="AB17">
    <cfRule type="cellIs" dxfId="15" priority="22" stopIfTrue="1" operator="greaterThan">
      <formula>0</formula>
    </cfRule>
  </conditionalFormatting>
  <conditionalFormatting sqref="AB17">
    <cfRule type="cellIs" dxfId="14" priority="21" stopIfTrue="1" operator="greaterThan">
      <formula>0</formula>
    </cfRule>
  </conditionalFormatting>
  <conditionalFormatting sqref="AB20">
    <cfRule type="cellIs" dxfId="13" priority="20" stopIfTrue="1" operator="greaterThan">
      <formula>0</formula>
    </cfRule>
  </conditionalFormatting>
  <conditionalFormatting sqref="AB20">
    <cfRule type="cellIs" dxfId="12" priority="19" stopIfTrue="1" operator="greaterThan">
      <formula>0</formula>
    </cfRule>
  </conditionalFormatting>
  <conditionalFormatting sqref="T20">
    <cfRule type="cellIs" dxfId="11" priority="18" stopIfTrue="1" operator="greaterThan">
      <formula>0</formula>
    </cfRule>
  </conditionalFormatting>
  <conditionalFormatting sqref="T20">
    <cfRule type="cellIs" dxfId="10" priority="17" stopIfTrue="1" operator="greaterThan">
      <formula>0</formula>
    </cfRule>
  </conditionalFormatting>
  <conditionalFormatting sqref="R23">
    <cfRule type="cellIs" dxfId="9" priority="14" stopIfTrue="1" operator="greaterThan">
      <formula>0</formula>
    </cfRule>
  </conditionalFormatting>
  <conditionalFormatting sqref="R23">
    <cfRule type="cellIs" dxfId="8" priority="13" stopIfTrue="1" operator="greaterThan">
      <formula>0</formula>
    </cfRule>
  </conditionalFormatting>
  <conditionalFormatting sqref="X16">
    <cfRule type="cellIs" dxfId="7" priority="10" stopIfTrue="1" operator="greaterThan">
      <formula>0</formula>
    </cfRule>
  </conditionalFormatting>
  <conditionalFormatting sqref="Y16">
    <cfRule type="cellIs" dxfId="6" priority="9" stopIfTrue="1" operator="greaterThan">
      <formula>0</formula>
    </cfRule>
  </conditionalFormatting>
  <conditionalFormatting sqref="V25">
    <cfRule type="cellIs" dxfId="5" priority="8" stopIfTrue="1" operator="greaterThan">
      <formula>0</formula>
    </cfRule>
  </conditionalFormatting>
  <conditionalFormatting sqref="E20">
    <cfRule type="cellIs" dxfId="4" priority="7" stopIfTrue="1" operator="greaterThan">
      <formula>0</formula>
    </cfRule>
  </conditionalFormatting>
  <conditionalFormatting sqref="E25">
    <cfRule type="cellIs" dxfId="3" priority="5" stopIfTrue="1" operator="greaterThan">
      <formula>0</formula>
    </cfRule>
  </conditionalFormatting>
  <conditionalFormatting sqref="P16">
    <cfRule type="cellIs" dxfId="2" priority="3" stopIfTrue="1" operator="greaterThan">
      <formula>0</formula>
    </cfRule>
  </conditionalFormatting>
  <conditionalFormatting sqref="Z20:AA20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2022-09-01T07:18:47Z</dcterms:modified>
</cp:coreProperties>
</file>