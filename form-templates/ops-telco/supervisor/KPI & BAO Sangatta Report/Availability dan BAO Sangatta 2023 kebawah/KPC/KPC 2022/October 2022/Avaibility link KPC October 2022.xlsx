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7" i="11" l="1"/>
  <c r="D57" i="11"/>
  <c r="C57" i="11" l="1"/>
  <c r="D56" i="11"/>
  <c r="D55" i="11"/>
  <c r="D46" i="11"/>
  <c r="D45" i="11"/>
  <c r="E55" i="11" l="1"/>
  <c r="E56" i="11"/>
  <c r="E54" i="11"/>
  <c r="C55" i="11" l="1"/>
  <c r="C56" i="11"/>
  <c r="D54" i="11"/>
  <c r="C54" i="11" s="1"/>
  <c r="E45" i="11"/>
  <c r="C45" i="11" s="1"/>
  <c r="E46" i="11"/>
  <c r="C46" i="11" s="1"/>
  <c r="D47" i="11"/>
  <c r="E47" i="11"/>
  <c r="D48" i="11"/>
  <c r="E48" i="11"/>
  <c r="D49" i="11"/>
  <c r="E49" i="11"/>
  <c r="D50" i="11"/>
  <c r="E50" i="11"/>
  <c r="D51" i="11"/>
  <c r="E51" i="11"/>
  <c r="D52" i="11"/>
  <c r="E52" i="11"/>
  <c r="D53" i="11"/>
  <c r="E53" i="11"/>
  <c r="C49" i="11" l="1"/>
  <c r="C53" i="11"/>
  <c r="C51" i="11"/>
  <c r="C47" i="11"/>
  <c r="C52" i="11"/>
  <c r="C50" i="11"/>
  <c r="C48" i="11"/>
  <c r="C62" i="11" l="1"/>
</calcChain>
</file>

<file path=xl/sharedStrings.xml><?xml version="1.0" encoding="utf-8"?>
<sst xmlns="http://schemas.openxmlformats.org/spreadsheetml/2006/main" count="123" uniqueCount="65">
  <si>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</si>
  <si>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</si>
  <si>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</si>
  <si>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</si>
  <si>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</si>
  <si>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</si>
  <si>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</si>
  <si>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</si>
  <si>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</si>
  <si>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</si>
  <si>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</si>
  <si>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</si>
  <si>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</si>
  <si>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</si>
  <si>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</si>
  <si>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</si>
  <si>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</si>
  <si>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</si>
  <si>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</si>
  <si>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</si>
  <si>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</si>
  <si>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</si>
  <si>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</si>
  <si>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</si>
  <si>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</si>
  <si>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</si>
  <si>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</si>
  <si>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</si>
  <si>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</si>
  <si>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</si>
  <si>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</si>
  <si>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</si>
  <si>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</si>
  <si>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</si>
  <si>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</si>
  <si>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</si>
  <si>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</si>
  <si>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</si>
  <si>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</si>
  <si>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</si>
  <si>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</si>
  <si>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</si>
  <si>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</si>
  <si>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</si>
  <si>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</si>
  <si>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</si>
  <si>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</si>
  <si>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</si>
  <si>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</si>
  <si>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</si>
  <si>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3.10.22</t>
  </si>
  <si>
    <t>7.10.22</t>
  </si>
  <si>
    <t>10.10.22</t>
  </si>
  <si>
    <t>12.10.22</t>
  </si>
  <si>
    <t>19.10.22</t>
  </si>
  <si>
    <t>23.10.22</t>
  </si>
  <si>
    <t>24.10.22</t>
  </si>
  <si>
    <t>26.10.22</t>
  </si>
  <si>
    <t>29.10.22</t>
  </si>
  <si>
    <t xml:space="preserve">            SU to BIG Loss Signal </t>
  </si>
  <si>
    <t xml:space="preserve">            Problem Genset at tower FN</t>
  </si>
  <si>
    <t>Remaks</t>
  </si>
  <si>
    <t>14</t>
  </si>
  <si>
    <t xml:space="preserve">         Replaced Cable antena and Antena ALU at Tower BIG</t>
  </si>
  <si>
    <t xml:space="preserve">            Problem looping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</si>
</sst>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b/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24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2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0" fontId="6" fillId="0" borderId="23" xfId="0" applyNumberFormat="1" applyFont="1" applyBorder="1" applyAlignment="1">
      <alignment horizontal="left" vertical="top" wrapText="1"/>
    </xf>
    <xf numFmtId="164" fontId="41" fillId="0" borderId="0" xfId="0" applyFont="1"/>
    <xf numFmtId="164" fontId="41" fillId="0" borderId="0" xfId="0" applyFont="1" applyFill="1" applyBorder="1"/>
    <xf numFmtId="164" fontId="36" fillId="0" borderId="15" xfId="0" applyFont="1" applyBorder="1" applyAlignment="1">
      <alignment horizontal="center" wrapText="1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3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12" fillId="0" borderId="1" xfId="0" applyFont="1" applyBorder="1" applyAlignment="1">
      <alignment horizontal="left" vertical="center"/>
    </xf>
    <xf numFmtId="16" fontId="8" fillId="0" borderId="24" xfId="0" applyNumberFormat="1" applyFont="1" applyBorder="1" applyAlignment="1">
      <alignment horizontal="left"/>
    </xf>
    <xf numFmtId="164" fontId="8" fillId="0" borderId="23" xfId="0" applyFont="1" applyBorder="1" applyAlignment="1">
      <alignment horizontal="left"/>
    </xf>
    <xf numFmtId="164" fontId="36" fillId="0" borderId="0" xfId="0" applyFont="1" applyBorder="1" applyAlignment="1">
      <alignment horizontal="center" wrapText="1"/>
    </xf>
    <xf numFmtId="164" fontId="39" fillId="0" borderId="0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  <xf numFmtId="164" fontId="39" fillId="0" borderId="4" xfId="0" applyFont="1" applyBorder="1" applyAlignment="1">
      <alignment horizontal="center" vertical="center"/>
    </xf>
    <xf numFmtId="164" fontId="39" fillId="0" borderId="23" xfId="0" applyFont="1" applyBorder="1" applyAlignment="1">
      <alignment horizontal="center" vertical="center"/>
    </xf>
    <xf numFmtId="164" fontId="39" fillId="0" borderId="4" xfId="0" applyFont="1" applyBorder="1" applyAlignment="1">
      <alignment vertical="center"/>
    </xf>
    <xf numFmtId="164" fontId="39" fillId="0" borderId="23" xfId="0" applyFont="1" applyBorder="1" applyAlignment="1">
      <alignment vertical="center"/>
    </xf>
    <xf numFmtId="164" fontId="39" fillId="0" borderId="2" xfId="0" applyFont="1" applyBorder="1" applyAlignment="1">
      <alignment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5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164" fontId="42" fillId="0" borderId="3" xfId="0" applyFont="1" applyBorder="1" applyAlignment="1">
      <alignment horizontal="center" vertical="center"/>
    </xf>
    <xf numFmtId="164" fontId="42" fillId="0" borderId="25" xfId="0" applyFont="1" applyBorder="1" applyAlignment="1">
      <alignment horizontal="center" vertical="center"/>
    </xf>
    <xf numFmtId="164" fontId="42" fillId="0" borderId="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1"/>
  <sheetViews>
    <sheetView tabSelected="1" zoomScale="90" zoomScaleNormal="90" workbookViewId="0">
      <pane xSplit="3" ySplit="11" topLeftCell="D36" activePane="bottomRight" state="frozen"/>
      <selection pane="topRight" activeCell="D1" sqref="D1"/>
      <selection pane="bottomLeft" activeCell="A12" sqref="A12"/>
      <selection pane="bottomRight" activeCell="B6" sqref="B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  <col min="34" max="34" width="10.42578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44835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0" t="s">
        <v>2</v>
      </c>
      <c r="B10" s="102" t="s">
        <v>0</v>
      </c>
      <c r="C10" s="102" t="s">
        <v>8</v>
      </c>
      <c r="D10" s="45">
        <v>44470</v>
      </c>
      <c r="E10" s="45">
        <v>44471</v>
      </c>
      <c r="F10" s="45">
        <v>44472</v>
      </c>
      <c r="G10" s="45">
        <v>44473</v>
      </c>
      <c r="H10" s="45">
        <v>44474</v>
      </c>
      <c r="I10" s="45">
        <v>44475</v>
      </c>
      <c r="J10" s="45">
        <v>44476</v>
      </c>
      <c r="K10" s="45">
        <v>44477</v>
      </c>
      <c r="L10" s="45">
        <v>44478</v>
      </c>
      <c r="M10" s="45">
        <v>44479</v>
      </c>
      <c r="N10" s="45">
        <v>44480</v>
      </c>
      <c r="O10" s="45">
        <v>44481</v>
      </c>
      <c r="P10" s="45">
        <v>44482</v>
      </c>
      <c r="Q10" s="45">
        <v>44483</v>
      </c>
      <c r="R10" s="45">
        <v>44484</v>
      </c>
      <c r="S10" s="45">
        <v>44485</v>
      </c>
      <c r="T10" s="45">
        <v>44486</v>
      </c>
      <c r="U10" s="45">
        <v>44487</v>
      </c>
      <c r="V10" s="45">
        <v>44488</v>
      </c>
      <c r="W10" s="45">
        <v>44489</v>
      </c>
      <c r="X10" s="45">
        <v>44490</v>
      </c>
      <c r="Y10" s="45">
        <v>44491</v>
      </c>
      <c r="Z10" s="45">
        <v>44492</v>
      </c>
      <c r="AA10" s="45">
        <v>44493</v>
      </c>
      <c r="AB10" s="45">
        <v>44494</v>
      </c>
      <c r="AC10" s="45">
        <v>44495</v>
      </c>
      <c r="AD10" s="45">
        <v>44496</v>
      </c>
      <c r="AE10" s="45">
        <v>44497</v>
      </c>
      <c r="AF10" s="45">
        <v>44498</v>
      </c>
      <c r="AG10" s="45">
        <v>44499</v>
      </c>
      <c r="AH10" s="107">
        <v>44500</v>
      </c>
    </row>
    <row r="11" spans="1:34" s="1" customFormat="1" x14ac:dyDescent="0.2">
      <c r="A11" s="101"/>
      <c r="B11" s="103"/>
      <c r="C11" s="103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6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37</v>
      </c>
      <c r="B13" s="32" t="s">
        <v>17</v>
      </c>
      <c r="C13" s="36"/>
      <c r="D13" s="84">
        <v>0</v>
      </c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4">
        <v>0</v>
      </c>
      <c r="K13" s="84">
        <v>0</v>
      </c>
      <c r="L13" s="84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0</v>
      </c>
      <c r="Z13" s="84">
        <v>0</v>
      </c>
      <c r="AA13" s="84">
        <v>0</v>
      </c>
      <c r="AB13" s="84">
        <v>0</v>
      </c>
      <c r="AC13" s="84">
        <v>0</v>
      </c>
      <c r="AD13" s="84">
        <v>0</v>
      </c>
      <c r="AE13" s="85">
        <v>0</v>
      </c>
      <c r="AF13" s="84">
        <v>0</v>
      </c>
      <c r="AG13" s="84">
        <v>0</v>
      </c>
      <c r="AH13" s="84">
        <v>0</v>
      </c>
    </row>
    <row r="14" spans="1:34" s="12" customFormat="1" ht="15.75" x14ac:dyDescent="0.25">
      <c r="A14" s="47" t="s">
        <v>28</v>
      </c>
      <c r="B14" s="32" t="s">
        <v>25</v>
      </c>
      <c r="C14" s="36"/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5">
        <v>0</v>
      </c>
      <c r="AF14" s="84">
        <v>0</v>
      </c>
      <c r="AG14" s="84">
        <v>0</v>
      </c>
      <c r="AH14" s="84">
        <v>0</v>
      </c>
    </row>
    <row r="15" spans="1:34" s="12" customFormat="1" ht="15.75" x14ac:dyDescent="0.25">
      <c r="A15" s="47" t="s">
        <v>29</v>
      </c>
      <c r="B15" s="32" t="s">
        <v>18</v>
      </c>
      <c r="C15" s="36"/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Z15" s="84">
        <v>0</v>
      </c>
      <c r="AA15" s="84">
        <v>0</v>
      </c>
      <c r="AB15" s="84">
        <v>0</v>
      </c>
      <c r="AC15" s="84">
        <v>0</v>
      </c>
      <c r="AD15" s="84">
        <v>0</v>
      </c>
      <c r="AE15" s="85">
        <v>0</v>
      </c>
      <c r="AF15" s="84">
        <v>0</v>
      </c>
      <c r="AG15" s="84">
        <v>0</v>
      </c>
      <c r="AH15" s="84">
        <v>0</v>
      </c>
    </row>
    <row r="16" spans="1:34" s="12" customFormat="1" ht="15.75" x14ac:dyDescent="0.25">
      <c r="A16" s="47" t="s">
        <v>30</v>
      </c>
      <c r="B16" s="32" t="s">
        <v>19</v>
      </c>
      <c r="C16" s="36"/>
      <c r="D16" s="84">
        <v>0</v>
      </c>
      <c r="E16" s="84">
        <v>0</v>
      </c>
      <c r="F16" s="84">
        <v>1.996527777777778E-2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7.1180555555555554E-3</v>
      </c>
      <c r="N16" s="84">
        <v>0</v>
      </c>
      <c r="O16" s="84">
        <v>3.5532407407407405E-3</v>
      </c>
      <c r="P16" s="84">
        <v>0</v>
      </c>
      <c r="Q16" s="84">
        <v>0</v>
      </c>
      <c r="R16" s="84">
        <v>0</v>
      </c>
      <c r="S16" s="84">
        <v>0</v>
      </c>
      <c r="T16" s="84">
        <v>0</v>
      </c>
      <c r="U16" s="84">
        <v>0</v>
      </c>
      <c r="V16" s="84">
        <v>4.6354166666666669E-2</v>
      </c>
      <c r="W16" s="84">
        <v>0</v>
      </c>
      <c r="X16" s="84">
        <v>0</v>
      </c>
      <c r="Y16" s="84">
        <v>0</v>
      </c>
      <c r="Z16" s="84">
        <v>0</v>
      </c>
      <c r="AA16" s="84">
        <v>7.1180555555555554E-3</v>
      </c>
      <c r="AB16" s="84">
        <v>0</v>
      </c>
      <c r="AC16" s="84">
        <v>1.4247685185185184E-2</v>
      </c>
      <c r="AD16" s="84">
        <v>0</v>
      </c>
      <c r="AE16" s="85">
        <v>0</v>
      </c>
      <c r="AF16" s="84">
        <v>0</v>
      </c>
      <c r="AG16" s="84">
        <v>0</v>
      </c>
      <c r="AH16" s="84">
        <v>0</v>
      </c>
    </row>
    <row r="17" spans="1:38" s="12" customFormat="1" ht="15.75" x14ac:dyDescent="0.25">
      <c r="A17" s="47" t="s">
        <v>31</v>
      </c>
      <c r="B17" s="32" t="s">
        <v>20</v>
      </c>
      <c r="C17" s="36"/>
      <c r="D17" s="84">
        <v>0</v>
      </c>
      <c r="E17" s="84">
        <v>0</v>
      </c>
      <c r="F17" s="84">
        <v>1.9942129629629629E-2</v>
      </c>
      <c r="G17" s="84">
        <v>0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  <c r="M17" s="84">
        <v>1.068287037037037E-2</v>
      </c>
      <c r="N17" s="84">
        <v>0</v>
      </c>
      <c r="O17" s="84">
        <v>3.5532407407407405E-3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6.0995370370370366E-2</v>
      </c>
      <c r="W17" s="84">
        <v>0</v>
      </c>
      <c r="X17" s="84">
        <v>0</v>
      </c>
      <c r="Y17" s="84">
        <v>0</v>
      </c>
      <c r="Z17" s="84">
        <v>0</v>
      </c>
      <c r="AA17" s="84">
        <v>2.8506944444444442E-2</v>
      </c>
      <c r="AB17" s="84">
        <v>0</v>
      </c>
      <c r="AC17" s="84">
        <v>1.0694444444444444E-2</v>
      </c>
      <c r="AD17" s="84">
        <v>0</v>
      </c>
      <c r="AE17" s="85">
        <v>0</v>
      </c>
      <c r="AF17" s="84">
        <v>0.19288194444444443</v>
      </c>
      <c r="AG17" s="84">
        <v>0</v>
      </c>
      <c r="AH17" s="84">
        <v>0</v>
      </c>
    </row>
    <row r="18" spans="1:38" s="12" customFormat="1" ht="15.75" x14ac:dyDescent="0.25">
      <c r="A18" s="47" t="s">
        <v>32</v>
      </c>
      <c r="B18" s="32" t="s">
        <v>21</v>
      </c>
      <c r="C18" s="36"/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84">
        <v>0</v>
      </c>
      <c r="AD18" s="84">
        <v>0</v>
      </c>
      <c r="AE18" s="85">
        <v>0</v>
      </c>
      <c r="AF18" s="84">
        <v>0</v>
      </c>
      <c r="AG18" s="84">
        <v>0</v>
      </c>
      <c r="AH18" s="84">
        <v>0</v>
      </c>
      <c r="AL18" s="73"/>
    </row>
    <row r="19" spans="1:38" s="12" customFormat="1" ht="15.75" x14ac:dyDescent="0.25">
      <c r="A19" s="47" t="s">
        <v>33</v>
      </c>
      <c r="B19" s="32" t="s">
        <v>22</v>
      </c>
      <c r="C19" s="36"/>
      <c r="D19" s="84">
        <v>0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K19" s="84">
        <v>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4">
        <v>0</v>
      </c>
      <c r="AC19" s="84">
        <v>0</v>
      </c>
      <c r="AD19" s="84">
        <v>0</v>
      </c>
      <c r="AE19" s="85">
        <v>0</v>
      </c>
      <c r="AF19" s="84">
        <v>0</v>
      </c>
      <c r="AG19" s="84">
        <v>0</v>
      </c>
      <c r="AH19" s="84">
        <v>0</v>
      </c>
    </row>
    <row r="20" spans="1:38" s="12" customFormat="1" ht="15.75" x14ac:dyDescent="0.25">
      <c r="A20" s="47" t="s">
        <v>34</v>
      </c>
      <c r="B20" s="32" t="s">
        <v>26</v>
      </c>
      <c r="C20" s="36"/>
      <c r="D20" s="84">
        <v>0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2.8460648148148148E-2</v>
      </c>
      <c r="AA20" s="84">
        <v>0</v>
      </c>
      <c r="AB20" s="84">
        <v>0</v>
      </c>
      <c r="AC20" s="84">
        <v>0</v>
      </c>
      <c r="AD20" s="84">
        <v>0</v>
      </c>
      <c r="AE20" s="85">
        <v>0</v>
      </c>
      <c r="AF20" s="84">
        <v>0</v>
      </c>
      <c r="AG20" s="84">
        <v>0</v>
      </c>
      <c r="AH20" s="84">
        <v>0</v>
      </c>
    </row>
    <row r="21" spans="1:38" s="12" customFormat="1" ht="15.75" x14ac:dyDescent="0.25">
      <c r="A21" s="47" t="s">
        <v>35</v>
      </c>
      <c r="B21" s="32" t="s">
        <v>24</v>
      </c>
      <c r="C21" s="36"/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0</v>
      </c>
      <c r="X21" s="84">
        <v>0</v>
      </c>
      <c r="Y21" s="84">
        <v>0</v>
      </c>
      <c r="Z21" s="84">
        <v>0</v>
      </c>
      <c r="AA21" s="84">
        <v>0</v>
      </c>
      <c r="AB21" s="84">
        <v>0</v>
      </c>
      <c r="AC21" s="84">
        <v>0</v>
      </c>
      <c r="AD21" s="84">
        <v>0</v>
      </c>
      <c r="AE21" s="85">
        <v>0</v>
      </c>
      <c r="AF21" s="84">
        <v>0</v>
      </c>
      <c r="AG21" s="84">
        <v>0</v>
      </c>
      <c r="AH21" s="84">
        <v>0</v>
      </c>
    </row>
    <row r="22" spans="1:38" s="12" customFormat="1" ht="15.75" x14ac:dyDescent="0.25">
      <c r="A22" s="47" t="s">
        <v>36</v>
      </c>
      <c r="B22" s="48" t="s">
        <v>23</v>
      </c>
      <c r="C22" s="36"/>
      <c r="D22" s="85">
        <v>0</v>
      </c>
      <c r="E22" s="85">
        <v>0</v>
      </c>
      <c r="F22" s="85">
        <v>0</v>
      </c>
      <c r="G22" s="85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5">
        <v>0</v>
      </c>
      <c r="T22" s="84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85">
        <v>2.8483796296296295E-2</v>
      </c>
      <c r="AA22" s="84">
        <v>0</v>
      </c>
      <c r="AB22" s="85">
        <v>0</v>
      </c>
      <c r="AC22" s="85">
        <v>0</v>
      </c>
      <c r="AD22" s="85">
        <v>0</v>
      </c>
      <c r="AE22" s="85">
        <v>0</v>
      </c>
      <c r="AF22" s="85">
        <v>0</v>
      </c>
      <c r="AG22" s="85">
        <v>0</v>
      </c>
      <c r="AH22" s="84">
        <v>0</v>
      </c>
    </row>
    <row r="23" spans="1:38" s="12" customFormat="1" ht="15.75" x14ac:dyDescent="0.25">
      <c r="A23" s="47" t="s">
        <v>38</v>
      </c>
      <c r="B23" s="48" t="s">
        <v>39</v>
      </c>
      <c r="C23" s="54"/>
      <c r="D23" s="85">
        <v>0</v>
      </c>
      <c r="E23" s="85">
        <v>0</v>
      </c>
      <c r="F23" s="85">
        <v>0</v>
      </c>
      <c r="G23" s="85">
        <v>0</v>
      </c>
      <c r="H23" s="84">
        <v>0</v>
      </c>
      <c r="I23" s="84">
        <v>0</v>
      </c>
      <c r="J23" s="84">
        <v>3.5532407407407405E-3</v>
      </c>
      <c r="K23" s="84">
        <v>0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0</v>
      </c>
      <c r="S23" s="85">
        <v>0</v>
      </c>
      <c r="T23" s="84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2.8657407407407406E-2</v>
      </c>
      <c r="AA23" s="84">
        <v>0</v>
      </c>
      <c r="AB23" s="85">
        <v>0</v>
      </c>
      <c r="AC23" s="85">
        <v>0</v>
      </c>
      <c r="AD23" s="85">
        <v>0</v>
      </c>
      <c r="AE23" s="85">
        <v>0</v>
      </c>
      <c r="AF23" s="85">
        <v>3.5648148148148154E-3</v>
      </c>
      <c r="AG23" s="85">
        <v>0</v>
      </c>
      <c r="AH23" s="84">
        <v>0</v>
      </c>
    </row>
    <row r="24" spans="1:38" s="12" customFormat="1" ht="15.75" x14ac:dyDescent="0.25">
      <c r="A24" s="47" t="s">
        <v>41</v>
      </c>
      <c r="B24" s="48" t="s">
        <v>40</v>
      </c>
      <c r="C24" s="49"/>
      <c r="D24" s="85">
        <v>0</v>
      </c>
      <c r="E24" s="85">
        <v>0</v>
      </c>
      <c r="F24" s="85">
        <v>0</v>
      </c>
      <c r="G24" s="85">
        <v>0</v>
      </c>
      <c r="H24" s="84">
        <v>0</v>
      </c>
      <c r="I24" s="84">
        <v>0</v>
      </c>
      <c r="J24" s="84">
        <v>3.5532407407407405E-3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5">
        <v>0</v>
      </c>
      <c r="T24" s="84">
        <v>0</v>
      </c>
      <c r="U24" s="85">
        <v>0</v>
      </c>
      <c r="V24" s="85">
        <v>0</v>
      </c>
      <c r="W24" s="85">
        <v>0</v>
      </c>
      <c r="X24" s="85">
        <v>0</v>
      </c>
      <c r="Y24" s="85">
        <v>0</v>
      </c>
      <c r="Z24" s="85">
        <v>2.8657407407407406E-2</v>
      </c>
      <c r="AA24" s="84">
        <v>0</v>
      </c>
      <c r="AB24" s="85">
        <v>0</v>
      </c>
      <c r="AC24" s="85">
        <v>0</v>
      </c>
      <c r="AD24" s="85">
        <v>0</v>
      </c>
      <c r="AE24" s="85">
        <v>0</v>
      </c>
      <c r="AF24" s="85">
        <v>0</v>
      </c>
      <c r="AG24" s="85">
        <v>0</v>
      </c>
      <c r="AH24" s="84">
        <v>0</v>
      </c>
    </row>
    <row r="25" spans="1:38" s="12" customFormat="1" ht="12.75" customHeight="1" x14ac:dyDescent="0.25">
      <c r="A25" s="47" t="s">
        <v>42</v>
      </c>
      <c r="B25" s="56" t="s">
        <v>45</v>
      </c>
      <c r="C25" s="69"/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Z25" s="85">
        <v>2.8483796296296295E-2</v>
      </c>
      <c r="AA25" s="84">
        <v>0</v>
      </c>
      <c r="AB25" s="84">
        <v>0</v>
      </c>
      <c r="AC25" s="84">
        <v>0</v>
      </c>
      <c r="AD25" s="84">
        <v>0</v>
      </c>
      <c r="AE25" s="85">
        <v>0</v>
      </c>
      <c r="AF25" s="84">
        <v>0</v>
      </c>
      <c r="AG25" s="84">
        <v>0</v>
      </c>
      <c r="AH25" s="84">
        <v>0</v>
      </c>
    </row>
    <row r="26" spans="1:38" s="12" customFormat="1" ht="16.5" customHeight="1" x14ac:dyDescent="0.2">
      <c r="A26" s="55"/>
      <c r="B26" s="68"/>
      <c r="C26" s="57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66"/>
    </row>
    <row r="27" spans="1:38" s="12" customFormat="1" ht="16.5" customHeight="1" x14ac:dyDescent="0.2">
      <c r="A27" s="90"/>
      <c r="B27" s="109"/>
      <c r="C27" s="81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43"/>
    </row>
    <row r="28" spans="1:38" s="12" customFormat="1" ht="16.5" customHeight="1" x14ac:dyDescent="0.2">
      <c r="A28" s="118" t="s">
        <v>62</v>
      </c>
      <c r="B28" s="121" t="s">
        <v>61</v>
      </c>
      <c r="C28" s="77" t="s">
        <v>50</v>
      </c>
      <c r="D28" s="115" t="s">
        <v>59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7"/>
      <c r="AH28" s="43"/>
    </row>
    <row r="29" spans="1:38" s="12" customFormat="1" ht="16.5" customHeight="1" x14ac:dyDescent="0.2">
      <c r="A29" s="119"/>
      <c r="B29" s="122"/>
      <c r="C29" s="72" t="s">
        <v>51</v>
      </c>
      <c r="D29" s="99" t="s">
        <v>64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111"/>
      <c r="AH29" s="43"/>
    </row>
    <row r="30" spans="1:38" s="12" customFormat="1" ht="16.5" customHeight="1" x14ac:dyDescent="0.2">
      <c r="A30" s="119"/>
      <c r="B30" s="122"/>
      <c r="C30" s="77" t="s">
        <v>52</v>
      </c>
      <c r="D30" s="115" t="s">
        <v>59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7"/>
      <c r="AH30" s="43"/>
    </row>
    <row r="31" spans="1:38" s="12" customFormat="1" ht="15" customHeight="1" x14ac:dyDescent="0.2">
      <c r="A31" s="119"/>
      <c r="B31" s="122"/>
      <c r="C31" s="72" t="s">
        <v>53</v>
      </c>
      <c r="D31" s="99" t="s">
        <v>59</v>
      </c>
      <c r="E31" s="94"/>
      <c r="F31" s="94"/>
      <c r="G31" s="94"/>
      <c r="H31" s="94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112"/>
      <c r="AH31" s="43"/>
    </row>
    <row r="32" spans="1:38" s="12" customFormat="1" ht="15" customHeight="1" x14ac:dyDescent="0.2">
      <c r="A32" s="119"/>
      <c r="B32" s="122"/>
      <c r="C32" s="77" t="s">
        <v>54</v>
      </c>
      <c r="D32" s="99" t="s">
        <v>59</v>
      </c>
      <c r="E32" s="94"/>
      <c r="F32" s="94"/>
      <c r="G32" s="94"/>
      <c r="H32" s="94"/>
      <c r="I32" s="94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112"/>
      <c r="AH32" s="43"/>
    </row>
    <row r="33" spans="1:34" s="12" customFormat="1" ht="15" customHeight="1" x14ac:dyDescent="0.2">
      <c r="A33" s="119"/>
      <c r="B33" s="122"/>
      <c r="C33" s="77" t="s">
        <v>55</v>
      </c>
      <c r="D33" s="99" t="s">
        <v>60</v>
      </c>
      <c r="E33" s="94"/>
      <c r="F33" s="94"/>
      <c r="G33" s="94"/>
      <c r="H33" s="94"/>
      <c r="I33" s="94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112"/>
      <c r="AH33" s="43"/>
    </row>
    <row r="34" spans="1:34" s="12" customFormat="1" ht="15" customHeight="1" x14ac:dyDescent="0.2">
      <c r="A34" s="119"/>
      <c r="B34" s="122"/>
      <c r="C34" s="77" t="s">
        <v>56</v>
      </c>
      <c r="D34" s="99" t="s">
        <v>59</v>
      </c>
      <c r="E34" s="94"/>
      <c r="F34" s="94"/>
      <c r="G34" s="94"/>
      <c r="H34" s="94"/>
      <c r="I34" s="94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112"/>
      <c r="AH34" s="43"/>
    </row>
    <row r="35" spans="1:34" s="12" customFormat="1" ht="15" customHeight="1" x14ac:dyDescent="0.2">
      <c r="A35" s="119"/>
      <c r="B35" s="122"/>
      <c r="C35" s="83" t="s">
        <v>57</v>
      </c>
      <c r="D35" s="93" t="s">
        <v>59</v>
      </c>
      <c r="E35" s="93"/>
      <c r="F35" s="93"/>
      <c r="G35" s="93"/>
      <c r="H35" s="93"/>
      <c r="I35" s="93"/>
      <c r="J35" s="91"/>
      <c r="K35" s="91"/>
      <c r="L35" s="91"/>
      <c r="M35" s="82"/>
      <c r="N35" s="82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67"/>
      <c r="AH35" s="43"/>
    </row>
    <row r="36" spans="1:34" s="12" customFormat="1" ht="15" customHeight="1" x14ac:dyDescent="0.2">
      <c r="A36" s="119"/>
      <c r="B36" s="122"/>
      <c r="C36" s="83" t="s">
        <v>58</v>
      </c>
      <c r="D36" s="108" t="s">
        <v>63</v>
      </c>
      <c r="E36" s="108"/>
      <c r="F36" s="108"/>
      <c r="G36" s="108"/>
      <c r="H36" s="108"/>
      <c r="I36" s="108"/>
      <c r="J36" s="91"/>
      <c r="K36" s="91"/>
      <c r="L36" s="91"/>
      <c r="M36" s="92"/>
      <c r="N36" s="92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66"/>
      <c r="AH36" s="43"/>
    </row>
    <row r="37" spans="1:34" s="12" customFormat="1" ht="15" customHeight="1" x14ac:dyDescent="0.2">
      <c r="A37" s="119"/>
      <c r="B37" s="122"/>
      <c r="C37" s="83"/>
      <c r="D37" s="113"/>
      <c r="E37" s="114"/>
      <c r="F37" s="114"/>
      <c r="G37" s="114"/>
      <c r="H37" s="114"/>
      <c r="I37" s="114"/>
      <c r="J37" s="114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112"/>
      <c r="AH37" s="43"/>
    </row>
    <row r="38" spans="1:34" s="12" customFormat="1" ht="15" customHeight="1" x14ac:dyDescent="0.2">
      <c r="A38" s="120"/>
      <c r="B38" s="123"/>
      <c r="C38" s="83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92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66"/>
      <c r="AH38" s="43"/>
    </row>
    <row r="39" spans="1:34" s="12" customFormat="1" ht="15" x14ac:dyDescent="0.2">
      <c r="A39" s="80"/>
      <c r="B39" s="80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15"/>
      <c r="AB39" s="31"/>
    </row>
    <row r="40" spans="1:34" s="12" customFormat="1" ht="15" x14ac:dyDescent="0.2">
      <c r="A40" s="13"/>
      <c r="B40" s="42"/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15"/>
      <c r="AB40" s="31"/>
    </row>
    <row r="41" spans="1:34" s="12" customFormat="1" x14ac:dyDescent="0.2">
      <c r="A41" s="13"/>
      <c r="D41" s="78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AB41" s="31"/>
    </row>
    <row r="42" spans="1:34" s="12" customFormat="1" x14ac:dyDescent="0.2">
      <c r="A42" s="23" t="s">
        <v>12</v>
      </c>
      <c r="D42" s="14"/>
      <c r="E42" s="15"/>
      <c r="F42" s="15"/>
      <c r="G42" s="15"/>
      <c r="H42" s="15"/>
      <c r="I42" s="15"/>
      <c r="J42" s="15"/>
      <c r="K42" s="58"/>
      <c r="L42" s="58"/>
      <c r="M42" s="15"/>
      <c r="O42" s="15"/>
      <c r="AB42" s="31"/>
    </row>
    <row r="43" spans="1:34" s="12" customFormat="1" x14ac:dyDescent="0.2">
      <c r="A43" s="104" t="s">
        <v>2</v>
      </c>
      <c r="B43" s="104" t="s">
        <v>9</v>
      </c>
      <c r="C43" s="104" t="s">
        <v>1</v>
      </c>
      <c r="D43" s="97" t="s">
        <v>7</v>
      </c>
      <c r="E43" s="98"/>
      <c r="F43" s="15"/>
      <c r="G43" s="15"/>
      <c r="H43" s="15"/>
      <c r="I43" s="15"/>
      <c r="J43" s="15"/>
      <c r="K43" s="59"/>
      <c r="L43" s="59"/>
      <c r="M43" s="15"/>
      <c r="O43" s="15"/>
      <c r="AB43" s="31"/>
    </row>
    <row r="44" spans="1:34" s="12" customFormat="1" x14ac:dyDescent="0.2">
      <c r="A44" s="105"/>
      <c r="B44" s="105"/>
      <c r="C44" s="105"/>
      <c r="D44" s="27" t="s">
        <v>10</v>
      </c>
      <c r="E44" s="22" t="s">
        <v>11</v>
      </c>
      <c r="F44" s="15"/>
      <c r="G44" s="15"/>
      <c r="H44" s="15"/>
      <c r="I44" s="15"/>
      <c r="J44" s="15"/>
      <c r="K44" s="15"/>
      <c r="L44" s="15"/>
      <c r="M44" s="15"/>
      <c r="O44" s="15"/>
      <c r="AB44" s="31"/>
    </row>
    <row r="45" spans="1:34" s="12" customFormat="1" ht="15.75" x14ac:dyDescent="0.25">
      <c r="A45" s="40" t="s">
        <v>37</v>
      </c>
      <c r="B45" s="32" t="s">
        <v>47</v>
      </c>
      <c r="C45" s="37">
        <f t="shared" ref="C45:C53" si="0">1-(((D45*3600)+(LEFT(E45,2)*60)+RIGHT(E45,2))/((60*60*24)*$C$8))</f>
        <v>1</v>
      </c>
      <c r="D45" s="20" t="str">
        <f>TEXT(SUM(D13:AG13),"[h]")</f>
        <v>0</v>
      </c>
      <c r="E45" s="20" t="str">
        <f>TEXT(SUM(D13:AG13),"mm ss")</f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4" s="12" customFormat="1" ht="15.75" x14ac:dyDescent="0.25">
      <c r="A46" s="40" t="s">
        <v>28</v>
      </c>
      <c r="B46" s="32" t="s">
        <v>25</v>
      </c>
      <c r="C46" s="37">
        <f t="shared" si="0"/>
        <v>1</v>
      </c>
      <c r="D46" s="20" t="str">
        <f>TEXT(SUM(D14:AG14),"[h]")</f>
        <v>0</v>
      </c>
      <c r="E46" s="20" t="str">
        <f>TEXT(SUM(D14:AG14),"mm ss")</f>
        <v>00 00</v>
      </c>
      <c r="F46" s="95"/>
      <c r="G46" s="95"/>
      <c r="H46" s="95"/>
      <c r="I46" s="95"/>
      <c r="J46" s="95"/>
      <c r="K46" s="95"/>
      <c r="L46" s="95"/>
      <c r="M46" s="95"/>
      <c r="N46" s="95"/>
      <c r="O46" s="15"/>
    </row>
    <row r="47" spans="1:34" s="12" customFormat="1" ht="15.75" x14ac:dyDescent="0.25">
      <c r="A47" s="40" t="s">
        <v>29</v>
      </c>
      <c r="B47" s="51" t="s">
        <v>18</v>
      </c>
      <c r="C47" s="37">
        <f t="shared" si="0"/>
        <v>1</v>
      </c>
      <c r="D47" s="20" t="str">
        <f>TEXT(SUM(D15:AG15),"[h]")</f>
        <v>0</v>
      </c>
      <c r="E47" s="20" t="str">
        <f>TEXT(SUM(D15:AG15),"mm ss")</f>
        <v>00 00</v>
      </c>
      <c r="F47" s="15"/>
      <c r="G47" s="21"/>
      <c r="H47" s="70"/>
      <c r="I47" s="15"/>
      <c r="J47" s="15"/>
      <c r="K47" s="15"/>
      <c r="L47" s="15"/>
      <c r="M47" s="15"/>
      <c r="O47" s="15"/>
    </row>
    <row r="48" spans="1:34" s="12" customFormat="1" ht="15.75" x14ac:dyDescent="0.25">
      <c r="A48" s="40" t="s">
        <v>30</v>
      </c>
      <c r="B48" s="32" t="s">
        <v>19</v>
      </c>
      <c r="C48" s="37">
        <f t="shared" si="0"/>
        <v>0.99682721027479093</v>
      </c>
      <c r="D48" s="20" t="str">
        <f>TEXT(SUM(D16:AG16),"[h]")</f>
        <v>2</v>
      </c>
      <c r="E48" s="20" t="str">
        <f>TEXT(SUM(D16:AG16),"mm ss")</f>
        <v>21 38</v>
      </c>
      <c r="F48" s="15"/>
      <c r="G48" s="21"/>
      <c r="H48" s="15"/>
      <c r="I48" s="15"/>
      <c r="J48" s="15"/>
      <c r="K48" s="15"/>
      <c r="L48" s="15"/>
      <c r="M48" s="15"/>
      <c r="O48" s="15"/>
    </row>
    <row r="49" spans="1:34" s="12" customFormat="1" ht="15.75" x14ac:dyDescent="0.25">
      <c r="A49" s="40" t="s">
        <v>31</v>
      </c>
      <c r="B49" s="32" t="s">
        <v>20</v>
      </c>
      <c r="C49" s="37">
        <f t="shared" si="0"/>
        <v>0.98944332437275984</v>
      </c>
      <c r="D49" s="20" t="str">
        <f>TEXT(SUM(D17:AG17),"[h]")</f>
        <v>7</v>
      </c>
      <c r="E49" s="20" t="str">
        <f>TEXT(SUM(D17:AG17),"mm ss")</f>
        <v>51 15</v>
      </c>
      <c r="F49" s="15"/>
      <c r="G49" s="21"/>
      <c r="H49" s="15"/>
      <c r="I49" s="15"/>
      <c r="J49" s="15"/>
      <c r="K49" s="15"/>
      <c r="L49" s="15"/>
      <c r="M49" s="15"/>
      <c r="O49" s="15"/>
    </row>
    <row r="50" spans="1:34" s="12" customFormat="1" ht="15.75" x14ac:dyDescent="0.25">
      <c r="A50" s="40" t="s">
        <v>32</v>
      </c>
      <c r="B50" s="32" t="s">
        <v>21</v>
      </c>
      <c r="C50" s="37">
        <f t="shared" si="0"/>
        <v>1</v>
      </c>
      <c r="D50" s="20" t="str">
        <f>TEXT(SUM(D18:AG18),"[h]")</f>
        <v>0</v>
      </c>
      <c r="E50" s="20" t="str">
        <f>TEXT(SUM(D18:AG18),"mm ss")</f>
        <v>00 00</v>
      </c>
      <c r="F50" s="15"/>
      <c r="G50" s="21"/>
      <c r="H50" s="15"/>
      <c r="I50" s="15"/>
      <c r="J50" s="71"/>
      <c r="K50" s="15"/>
      <c r="L50" s="15"/>
      <c r="M50" s="15"/>
      <c r="O50" s="15"/>
    </row>
    <row r="51" spans="1:34" s="12" customFormat="1" ht="15.75" x14ac:dyDescent="0.25">
      <c r="A51" s="40" t="s">
        <v>33</v>
      </c>
      <c r="B51" s="32" t="s">
        <v>27</v>
      </c>
      <c r="C51" s="37">
        <f t="shared" si="0"/>
        <v>1</v>
      </c>
      <c r="D51" s="20" t="str">
        <f>TEXT(SUM(D19:AG19),"[h]")</f>
        <v>0</v>
      </c>
      <c r="E51" s="20" t="str">
        <f>TEXT(SUM(D19:AG19),"mm ss")</f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4" s="16" customFormat="1" ht="15.75" x14ac:dyDescent="0.25">
      <c r="A52" s="40" t="s">
        <v>34</v>
      </c>
      <c r="B52" s="32" t="s">
        <v>26</v>
      </c>
      <c r="C52" s="37">
        <f t="shared" si="0"/>
        <v>0.99908191457586615</v>
      </c>
      <c r="D52" s="20" t="str">
        <f>TEXT(SUM(D20:AG20),"[h]")</f>
        <v>0</v>
      </c>
      <c r="E52" s="20" t="str">
        <f>TEXT(SUM(D20:AG20),"mm ss")</f>
        <v>40 59</v>
      </c>
      <c r="F52" s="15"/>
      <c r="G52" s="21"/>
      <c r="H52" s="15"/>
      <c r="I52" s="15"/>
      <c r="J52" s="15"/>
      <c r="K52" s="15"/>
      <c r="L52" s="15"/>
      <c r="M52" s="15"/>
      <c r="N52" s="15"/>
      <c r="O52" s="6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35</v>
      </c>
      <c r="B53" s="32" t="s">
        <v>24</v>
      </c>
      <c r="C53" s="37">
        <f t="shared" si="0"/>
        <v>1</v>
      </c>
      <c r="D53" s="20" t="str">
        <f>TEXT(SUM(D21:AG21),"[h]")</f>
        <v>0</v>
      </c>
      <c r="E53" s="20" t="str">
        <f>TEXT(SUM(D21:AG21),"mm ss")</f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6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36</v>
      </c>
      <c r="B54" s="32" t="s">
        <v>23</v>
      </c>
      <c r="C54" s="33">
        <f>1-(((D54*3600)+(LEFT(E54,2)*60)+RIGHT(E54,2))/((60*60*24)*$C$8))</f>
        <v>0.99908116786140977</v>
      </c>
      <c r="D54" s="20" t="str">
        <f>TEXT(SUM(D22:AG22),"[h]")</f>
        <v>0</v>
      </c>
      <c r="E54" s="20" t="str">
        <f>TEXT(SUM(D22:AG22),"mm ss")</f>
        <v>41 01</v>
      </c>
      <c r="F54" s="15"/>
      <c r="G54" s="21"/>
      <c r="H54" s="15"/>
      <c r="I54" s="15"/>
      <c r="J54" s="15"/>
      <c r="K54" s="15"/>
      <c r="L54" s="15"/>
      <c r="M54" s="15"/>
      <c r="N54" s="15"/>
      <c r="O54" s="6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x14ac:dyDescent="0.25">
      <c r="A55" s="40" t="s">
        <v>38</v>
      </c>
      <c r="B55" s="32" t="s">
        <v>43</v>
      </c>
      <c r="C55" s="33">
        <f t="shared" ref="C55:C57" si="1">1-(((D55*3600)+(LEFT(E55,2)*60)+RIGHT(E55,2))/((60*60*24)*$C$8))</f>
        <v>0.99884595280764632</v>
      </c>
      <c r="D55" s="20" t="str">
        <f>TEXT(SUM(D23:AG23),"[h]")</f>
        <v>0</v>
      </c>
      <c r="E55" s="20" t="str">
        <f>TEXT(SUM(D23:AG23),"mm ss")</f>
        <v>51 31</v>
      </c>
      <c r="F55" s="15"/>
      <c r="G55" s="21"/>
      <c r="H55" s="15"/>
      <c r="I55" s="15"/>
      <c r="J55" s="15"/>
      <c r="K55" s="15"/>
      <c r="L55" s="15"/>
      <c r="M55" s="15"/>
      <c r="N55" s="15"/>
      <c r="O55" s="6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x14ac:dyDescent="0.25">
      <c r="A56" s="40" t="s">
        <v>41</v>
      </c>
      <c r="B56" s="32" t="s">
        <v>44</v>
      </c>
      <c r="C56" s="33">
        <f t="shared" si="1"/>
        <v>0.99896094683393066</v>
      </c>
      <c r="D56" s="20" t="str">
        <f>TEXT(SUM(D24:AG24),"[h]")</f>
        <v>0</v>
      </c>
      <c r="E56" s="20" t="str">
        <f>TEXT(SUM(D24:AG24),"mm ss")</f>
        <v>46 23</v>
      </c>
      <c r="F56" s="15"/>
      <c r="G56" s="21"/>
      <c r="H56" s="15"/>
      <c r="I56" s="15"/>
      <c r="J56" s="15"/>
      <c r="K56" s="15"/>
      <c r="L56" s="15"/>
      <c r="M56" s="15"/>
      <c r="N56" s="15"/>
      <c r="O56" s="62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  <c r="AH56" s="16"/>
    </row>
    <row r="57" spans="1:34" ht="15.75" x14ac:dyDescent="0.25">
      <c r="A57" s="60" t="s">
        <v>42</v>
      </c>
      <c r="B57" s="32" t="s">
        <v>46</v>
      </c>
      <c r="C57" s="33">
        <f t="shared" si="1"/>
        <v>0.99908116786140977</v>
      </c>
      <c r="D57" s="20" t="str">
        <f>TEXT(SUM(D25:AG25),"[h]")</f>
        <v>0</v>
      </c>
      <c r="E57" s="20" t="str">
        <f>TEXT(SUM(D25:AG25),"mm ss")</f>
        <v>41 01</v>
      </c>
      <c r="F57" s="15"/>
      <c r="G57" s="21"/>
      <c r="H57" s="15"/>
      <c r="I57" s="15"/>
      <c r="J57" s="15"/>
      <c r="K57" s="15"/>
      <c r="L57" s="61"/>
      <c r="M57" s="61"/>
      <c r="N57" s="61"/>
      <c r="O57" s="63"/>
    </row>
    <row r="58" spans="1:34" ht="15.75" x14ac:dyDescent="0.25">
      <c r="A58" s="50"/>
      <c r="B58" s="51"/>
      <c r="C58" s="52"/>
      <c r="D58" s="53"/>
      <c r="E58" s="53"/>
      <c r="F58" s="15"/>
      <c r="G58" s="21"/>
      <c r="H58" s="15"/>
      <c r="I58" s="15"/>
      <c r="J58" s="15"/>
      <c r="K58" s="15"/>
      <c r="L58" s="61"/>
      <c r="M58" s="61"/>
      <c r="N58" s="61"/>
      <c r="O58" s="63"/>
    </row>
    <row r="59" spans="1:34" x14ac:dyDescent="0.2">
      <c r="A59" s="13"/>
      <c r="B59" s="12"/>
      <c r="C59" s="26"/>
      <c r="D59" s="25"/>
      <c r="E59" s="15"/>
      <c r="F59" s="15"/>
      <c r="G59" s="15"/>
      <c r="H59" s="15"/>
      <c r="I59" s="15"/>
      <c r="J59" s="15"/>
      <c r="K59" s="15"/>
      <c r="L59" s="61"/>
      <c r="M59" s="61"/>
      <c r="N59" s="61"/>
      <c r="O59" s="63"/>
    </row>
    <row r="60" spans="1:34" x14ac:dyDescent="0.2">
      <c r="A60" s="13"/>
      <c r="B60" s="12"/>
      <c r="C60" s="12"/>
      <c r="D60" s="14"/>
      <c r="E60" s="15"/>
      <c r="F60" s="15"/>
      <c r="G60" s="15"/>
      <c r="H60" s="15"/>
      <c r="I60" s="15"/>
      <c r="J60" s="15"/>
      <c r="K60" s="15"/>
      <c r="L60" s="61"/>
      <c r="M60" s="61"/>
      <c r="N60" s="61"/>
      <c r="O60" s="63"/>
    </row>
    <row r="61" spans="1:34" x14ac:dyDescent="0.2">
      <c r="A61" s="14"/>
      <c r="B61" s="24" t="s">
        <v>13</v>
      </c>
      <c r="C61" s="19"/>
      <c r="D61" s="18"/>
      <c r="E61" s="18"/>
      <c r="F61" s="18"/>
      <c r="G61" s="18"/>
      <c r="H61" s="18"/>
      <c r="I61" s="18"/>
      <c r="J61" s="18"/>
      <c r="K61" s="18"/>
      <c r="L61" s="62"/>
      <c r="M61" s="62"/>
      <c r="N61" s="62"/>
      <c r="O61" s="63"/>
    </row>
    <row r="62" spans="1:34" x14ac:dyDescent="0.2">
      <c r="A62"/>
      <c r="B62" s="12" t="s">
        <v>16</v>
      </c>
      <c r="C62" s="27">
        <f>(SUM(C45:C57))/(100%*13)</f>
        <v>0.99856320650675501</v>
      </c>
      <c r="G62" s="38"/>
      <c r="L62" s="63"/>
      <c r="M62" s="63"/>
      <c r="N62" s="63"/>
      <c r="O62" s="63"/>
    </row>
    <row r="63" spans="1:34" x14ac:dyDescent="0.2">
      <c r="C63" s="74"/>
      <c r="L63" s="63"/>
      <c r="M63" s="63"/>
      <c r="N63" s="63"/>
    </row>
    <row r="64" spans="1:34" x14ac:dyDescent="0.2">
      <c r="B64" s="88"/>
      <c r="C64" s="74"/>
      <c r="L64" s="63"/>
      <c r="M64" s="63"/>
      <c r="N64" s="63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spans="1:32" x14ac:dyDescent="0.2">
      <c r="B65" s="89"/>
      <c r="C65" s="74"/>
      <c r="L65" s="63"/>
      <c r="M65" s="63"/>
      <c r="N65" s="63"/>
    </row>
    <row r="66" spans="1:32" x14ac:dyDescent="0.2">
      <c r="B66" s="89"/>
      <c r="C66" s="74"/>
      <c r="L66" s="63"/>
      <c r="M66" s="63"/>
      <c r="N66" s="63"/>
    </row>
    <row r="67" spans="1:32" x14ac:dyDescent="0.2">
      <c r="B67" s="12"/>
      <c r="C67" s="74"/>
      <c r="L67" s="63"/>
      <c r="M67" s="63"/>
      <c r="N67" s="63"/>
    </row>
    <row r="68" spans="1:32" x14ac:dyDescent="0.2">
      <c r="B68" s="86"/>
      <c r="C68" s="74"/>
      <c r="D68" s="76"/>
      <c r="E68" s="75" t="s">
        <v>49</v>
      </c>
    </row>
    <row r="69" spans="1:32" x14ac:dyDescent="0.2">
      <c r="A69"/>
      <c r="B69" s="86"/>
      <c r="C69" s="74"/>
      <c r="D69" s="76"/>
    </row>
    <row r="70" spans="1:32" x14ac:dyDescent="0.2">
      <c r="B70" s="86"/>
      <c r="C70" s="74"/>
      <c r="D70" s="76"/>
    </row>
    <row r="71" spans="1:32" x14ac:dyDescent="0.2">
      <c r="B71" s="86"/>
      <c r="C71" s="74"/>
      <c r="D71" s="76"/>
    </row>
    <row r="72" spans="1:32" x14ac:dyDescent="0.2">
      <c r="B72" s="86"/>
      <c r="C72" s="74"/>
      <c r="D72" s="76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B73" s="74"/>
      <c r="C73" s="74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86"/>
      <c r="C74" s="74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86"/>
      <c r="C75" s="74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86"/>
      <c r="C76" s="74"/>
    </row>
    <row r="77" spans="1:32" x14ac:dyDescent="0.2">
      <c r="A77"/>
      <c r="B77" s="86"/>
      <c r="C77" s="74"/>
      <c r="E77" s="28"/>
      <c r="F77" s="29"/>
      <c r="G77" s="29"/>
      <c r="H77" s="29"/>
      <c r="I77" s="29"/>
      <c r="J77" s="29"/>
      <c r="K77" s="29"/>
      <c r="L77" s="29"/>
      <c r="M77" s="29"/>
      <c r="N77" s="29"/>
    </row>
    <row r="78" spans="1:32" x14ac:dyDescent="0.2">
      <c r="A78"/>
      <c r="B78" s="86"/>
      <c r="C78" s="74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86"/>
      <c r="C79" s="74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86"/>
      <c r="C80" s="74"/>
      <c r="D80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2:2" x14ac:dyDescent="0.2">
      <c r="B81" s="79"/>
    </row>
  </sheetData>
  <mergeCells count="22">
    <mergeCell ref="D34:I34"/>
    <mergeCell ref="D35:I35"/>
    <mergeCell ref="D36:I36"/>
    <mergeCell ref="D37:J37"/>
    <mergeCell ref="D31:H31"/>
    <mergeCell ref="D32:I32"/>
    <mergeCell ref="A10:A11"/>
    <mergeCell ref="B10:B11"/>
    <mergeCell ref="C10:C11"/>
    <mergeCell ref="A43:A44"/>
    <mergeCell ref="B43:B44"/>
    <mergeCell ref="C43:C44"/>
    <mergeCell ref="A28:A38"/>
    <mergeCell ref="B28:B38"/>
    <mergeCell ref="F46:N46"/>
    <mergeCell ref="D26:AG26"/>
    <mergeCell ref="D43:E43"/>
    <mergeCell ref="D27:AG27"/>
    <mergeCell ref="D28:AG28"/>
    <mergeCell ref="D29:AG29"/>
    <mergeCell ref="D30:AG30"/>
    <mergeCell ref="D33:I33"/>
  </mergeCells>
  <phoneticPr fontId="9" type="noConversion"/>
  <conditionalFormatting sqref="D15:F15 G21 AF21 S21 AB21:AC21 AB17:AD17 D13:D21 S17 D18:G18 D17:F17 U17:W17 U21:Z21 Z17 AF17:AF18">
    <cfRule type="cellIs" dxfId="114" priority="281" stopIfTrue="1" operator="greaterThan">
      <formula>0</formula>
    </cfRule>
  </conditionalFormatting>
  <conditionalFormatting sqref="I15:M15">
    <cfRule type="cellIs" dxfId="113" priority="280" stopIfTrue="1" operator="greaterThan">
      <formula>0</formula>
    </cfRule>
  </conditionalFormatting>
  <conditionalFormatting sqref="W18:Z18 O15:S15 S18 AB15:AD15 AB18:AC18 U18 U15:Z15">
    <cfRule type="cellIs" dxfId="112" priority="279" stopIfTrue="1" operator="greaterThan">
      <formula>0</formula>
    </cfRule>
  </conditionalFormatting>
  <conditionalFormatting sqref="G15">
    <cfRule type="cellIs" dxfId="111" priority="273" stopIfTrue="1" operator="greaterThan">
      <formula>0</formula>
    </cfRule>
  </conditionalFormatting>
  <conditionalFormatting sqref="H15">
    <cfRule type="cellIs" dxfId="110" priority="266" stopIfTrue="1" operator="greaterThan">
      <formula>0</formula>
    </cfRule>
  </conditionalFormatting>
  <conditionalFormatting sqref="AD18">
    <cfRule type="cellIs" dxfId="109" priority="265" stopIfTrue="1" operator="greaterThan">
      <formula>0</formula>
    </cfRule>
  </conditionalFormatting>
  <conditionalFormatting sqref="V18">
    <cfRule type="cellIs" dxfId="108" priority="260" stopIfTrue="1" operator="greaterThan">
      <formula>0</formula>
    </cfRule>
  </conditionalFormatting>
  <conditionalFormatting sqref="AF15">
    <cfRule type="cellIs" dxfId="107" priority="257" stopIfTrue="1" operator="greaterThan">
      <formula>0</formula>
    </cfRule>
  </conditionalFormatting>
  <conditionalFormatting sqref="D14:F14">
    <cfRule type="cellIs" dxfId="106" priority="251" stopIfTrue="1" operator="greaterThan">
      <formula>0</formula>
    </cfRule>
  </conditionalFormatting>
  <conditionalFormatting sqref="I14:M14">
    <cfRule type="cellIs" dxfId="105" priority="250" stopIfTrue="1" operator="greaterThan">
      <formula>0</formula>
    </cfRule>
  </conditionalFormatting>
  <conditionalFormatting sqref="O14:S14 AB14:AD14 U14:Z14">
    <cfRule type="cellIs" dxfId="104" priority="249" stopIfTrue="1" operator="greaterThan">
      <formula>0</formula>
    </cfRule>
  </conditionalFormatting>
  <conditionalFormatting sqref="G14">
    <cfRule type="cellIs" dxfId="103" priority="248" stopIfTrue="1" operator="greaterThan">
      <formula>0</formula>
    </cfRule>
  </conditionalFormatting>
  <conditionalFormatting sqref="H14">
    <cfRule type="cellIs" dxfId="102" priority="246" stopIfTrue="1" operator="greaterThan">
      <formula>0</formula>
    </cfRule>
  </conditionalFormatting>
  <conditionalFormatting sqref="AF14">
    <cfRule type="cellIs" dxfId="101" priority="245" stopIfTrue="1" operator="greaterThan">
      <formula>0</formula>
    </cfRule>
  </conditionalFormatting>
  <conditionalFormatting sqref="D13:F13">
    <cfRule type="cellIs" dxfId="100" priority="235" stopIfTrue="1" operator="greaterThan">
      <formula>0</formula>
    </cfRule>
  </conditionalFormatting>
  <conditionalFormatting sqref="D16:F16">
    <cfRule type="cellIs" dxfId="99" priority="227" stopIfTrue="1" operator="greaterThan">
      <formula>0</formula>
    </cfRule>
  </conditionalFormatting>
  <conditionalFormatting sqref="I13:M13">
    <cfRule type="cellIs" dxfId="98" priority="234" stopIfTrue="1" operator="greaterThan">
      <formula>0</formula>
    </cfRule>
  </conditionalFormatting>
  <conditionalFormatting sqref="O13:S13 AB13:AD13 U13:Z13">
    <cfRule type="cellIs" dxfId="97" priority="233" stopIfTrue="1" operator="greaterThan">
      <formula>0</formula>
    </cfRule>
  </conditionalFormatting>
  <conditionalFormatting sqref="G13">
    <cfRule type="cellIs" dxfId="96" priority="232" stopIfTrue="1" operator="greaterThan">
      <formula>0</formula>
    </cfRule>
  </conditionalFormatting>
  <conditionalFormatting sqref="H13">
    <cfRule type="cellIs" dxfId="95" priority="230" stopIfTrue="1" operator="greaterThan">
      <formula>0</formula>
    </cfRule>
  </conditionalFormatting>
  <conditionalFormatting sqref="AF13">
    <cfRule type="cellIs" dxfId="94" priority="229" stopIfTrue="1" operator="greaterThan">
      <formula>0</formula>
    </cfRule>
  </conditionalFormatting>
  <conditionalFormatting sqref="S19 AB19:AC19 U18:AB19 Z17:AB17 AB20 U17:W17 Z20 U20:X20">
    <cfRule type="cellIs" dxfId="93" priority="205" stopIfTrue="1" operator="greaterThan">
      <formula>0</formula>
    </cfRule>
  </conditionalFormatting>
  <conditionalFormatting sqref="D19:F19">
    <cfRule type="cellIs" dxfId="91" priority="207" stopIfTrue="1" operator="greaterThan">
      <formula>0</formula>
    </cfRule>
  </conditionalFormatting>
  <conditionalFormatting sqref="G19">
    <cfRule type="cellIs" dxfId="90" priority="204" stopIfTrue="1" operator="greaterThan">
      <formula>0</formula>
    </cfRule>
  </conditionalFormatting>
  <conditionalFormatting sqref="U16">
    <cfRule type="cellIs" dxfId="89" priority="182" stopIfTrue="1" operator="greaterThan">
      <formula>0</formula>
    </cfRule>
  </conditionalFormatting>
  <conditionalFormatting sqref="AD19">
    <cfRule type="cellIs" dxfId="88" priority="201" stopIfTrue="1" operator="greaterThan">
      <formula>0</formula>
    </cfRule>
  </conditionalFormatting>
  <conditionalFormatting sqref="D20">
    <cfRule type="cellIs" dxfId="87" priority="193" stopIfTrue="1" operator="greaterThan">
      <formula>0</formula>
    </cfRule>
  </conditionalFormatting>
  <conditionalFormatting sqref="V19">
    <cfRule type="cellIs" dxfId="86" priority="199" stopIfTrue="1" operator="greaterThan">
      <formula>0</formula>
    </cfRule>
  </conditionalFormatting>
  <conditionalFormatting sqref="AF19">
    <cfRule type="cellIs" dxfId="85" priority="198" stopIfTrue="1" operator="greaterThan">
      <formula>0</formula>
    </cfRule>
  </conditionalFormatting>
  <conditionalFormatting sqref="G20 AF20 U20:V20">
    <cfRule type="cellIs" dxfId="84" priority="196" stopIfTrue="1" operator="greaterThan">
      <formula>0</formula>
    </cfRule>
  </conditionalFormatting>
  <conditionalFormatting sqref="W20 Z20 AB20">
    <cfRule type="cellIs" dxfId="83" priority="195" stopIfTrue="1" operator="greaterThan">
      <formula>0</formula>
    </cfRule>
  </conditionalFormatting>
  <conditionalFormatting sqref="AD20:AD21">
    <cfRule type="cellIs" dxfId="81" priority="191" stopIfTrue="1" operator="greaterThan">
      <formula>0</formula>
    </cfRule>
  </conditionalFormatting>
  <conditionalFormatting sqref="W16">
    <cfRule type="cellIs" dxfId="80" priority="180" stopIfTrue="1" operator="greaterThan">
      <formula>0</formula>
    </cfRule>
  </conditionalFormatting>
  <conditionalFormatting sqref="AB16">
    <cfRule type="cellIs" dxfId="79" priority="175" stopIfTrue="1" operator="greaterThan">
      <formula>0</formula>
    </cfRule>
  </conditionalFormatting>
  <conditionalFormatting sqref="S16">
    <cfRule type="cellIs" dxfId="78" priority="184" stopIfTrue="1" operator="greaterThan">
      <formula>0</formula>
    </cfRule>
  </conditionalFormatting>
  <conditionalFormatting sqref="AD16">
    <cfRule type="cellIs" dxfId="77" priority="173" stopIfTrue="1" operator="greaterThan">
      <formula>0</formula>
    </cfRule>
  </conditionalFormatting>
  <conditionalFormatting sqref="X16">
    <cfRule type="cellIs" dxfId="76" priority="179" stopIfTrue="1" operator="greaterThan">
      <formula>0</formula>
    </cfRule>
  </conditionalFormatting>
  <conditionalFormatting sqref="Y16">
    <cfRule type="cellIs" dxfId="75" priority="178" stopIfTrue="1" operator="greaterThan">
      <formula>0</formula>
    </cfRule>
  </conditionalFormatting>
  <conditionalFormatting sqref="Z16">
    <cfRule type="cellIs" dxfId="74" priority="177" stopIfTrue="1" operator="greaterThan">
      <formula>0</formula>
    </cfRule>
  </conditionalFormatting>
  <conditionalFormatting sqref="AC16">
    <cfRule type="cellIs" dxfId="73" priority="174" stopIfTrue="1" operator="greaterThan">
      <formula>0</formula>
    </cfRule>
  </conditionalFormatting>
  <conditionalFormatting sqref="AF16">
    <cfRule type="cellIs" dxfId="72" priority="172" stopIfTrue="1" operator="greaterThan">
      <formula>0</formula>
    </cfRule>
  </conditionalFormatting>
  <conditionalFormatting sqref="AB22:AD24 D22:G24 S22:S24 U22:Z24 AF22:AF24">
    <cfRule type="cellIs" dxfId="71" priority="130" stopIfTrue="1" operator="greaterThan">
      <formula>0</formula>
    </cfRule>
  </conditionalFormatting>
  <conditionalFormatting sqref="AG13">
    <cfRule type="cellIs" dxfId="70" priority="120" stopIfTrue="1" operator="greaterThan">
      <formula>0</formula>
    </cfRule>
  </conditionalFormatting>
  <conditionalFormatting sqref="AG13">
    <cfRule type="cellIs" dxfId="69" priority="111" stopIfTrue="1" operator="greaterThan">
      <formula>0</formula>
    </cfRule>
  </conditionalFormatting>
  <conditionalFormatting sqref="AG21 AG17:AG18">
    <cfRule type="cellIs" dxfId="68" priority="124" stopIfTrue="1" operator="greaterThan">
      <formula>0</formula>
    </cfRule>
  </conditionalFormatting>
  <conditionalFormatting sqref="AG15">
    <cfRule type="cellIs" dxfId="67" priority="123" stopIfTrue="1" operator="greaterThan">
      <formula>0</formula>
    </cfRule>
  </conditionalFormatting>
  <conditionalFormatting sqref="AG14">
    <cfRule type="cellIs" dxfId="66" priority="122" stopIfTrue="1" operator="greaterThan">
      <formula>0</formula>
    </cfRule>
  </conditionalFormatting>
  <conditionalFormatting sqref="AG19">
    <cfRule type="cellIs" dxfId="65" priority="119" stopIfTrue="1" operator="greaterThan">
      <formula>0</formula>
    </cfRule>
  </conditionalFormatting>
  <conditionalFormatting sqref="AF20">
    <cfRule type="cellIs" dxfId="64" priority="100" stopIfTrue="1" operator="greaterThan">
      <formula>0</formula>
    </cfRule>
  </conditionalFormatting>
  <conditionalFormatting sqref="AG16">
    <cfRule type="cellIs" dxfId="63" priority="117" stopIfTrue="1" operator="greaterThan">
      <formula>0</formula>
    </cfRule>
  </conditionalFormatting>
  <conditionalFormatting sqref="AG21 AG17:AG18">
    <cfRule type="cellIs" dxfId="62" priority="115" stopIfTrue="1" operator="greaterThan">
      <formula>0</formula>
    </cfRule>
  </conditionalFormatting>
  <conditionalFormatting sqref="AG15">
    <cfRule type="cellIs" dxfId="61" priority="114" stopIfTrue="1" operator="greaterThan">
      <formula>0</formula>
    </cfRule>
  </conditionalFormatting>
  <conditionalFormatting sqref="AG14">
    <cfRule type="cellIs" dxfId="60" priority="113" stopIfTrue="1" operator="greaterThan">
      <formula>0</formula>
    </cfRule>
  </conditionalFormatting>
  <conditionalFormatting sqref="AG19">
    <cfRule type="cellIs" dxfId="59" priority="110" stopIfTrue="1" operator="greaterThan">
      <formula>0</formula>
    </cfRule>
  </conditionalFormatting>
  <conditionalFormatting sqref="AG16">
    <cfRule type="cellIs" dxfId="58" priority="108" stopIfTrue="1" operator="greaterThan">
      <formula>0</formula>
    </cfRule>
  </conditionalFormatting>
  <conditionalFormatting sqref="AF13">
    <cfRule type="cellIs" dxfId="57" priority="102" stopIfTrue="1" operator="greaterThan">
      <formula>0</formula>
    </cfRule>
  </conditionalFormatting>
  <conditionalFormatting sqref="AF19">
    <cfRule type="cellIs" dxfId="56" priority="101" stopIfTrue="1" operator="greaterThan">
      <formula>0</formula>
    </cfRule>
  </conditionalFormatting>
  <conditionalFormatting sqref="AF23:AF24">
    <cfRule type="cellIs" dxfId="55" priority="98" stopIfTrue="1" operator="greaterThan">
      <formula>0</formula>
    </cfRule>
  </conditionalFormatting>
  <conditionalFormatting sqref="AF21 AF17:AF18">
    <cfRule type="cellIs" dxfId="54" priority="106" stopIfTrue="1" operator="greaterThan">
      <formula>0</formula>
    </cfRule>
  </conditionalFormatting>
  <conditionalFormatting sqref="AF15">
    <cfRule type="cellIs" dxfId="53" priority="105" stopIfTrue="1" operator="greaterThan">
      <formula>0</formula>
    </cfRule>
  </conditionalFormatting>
  <conditionalFormatting sqref="AF14">
    <cfRule type="cellIs" dxfId="52" priority="104" stopIfTrue="1" operator="greaterThan">
      <formula>0</formula>
    </cfRule>
  </conditionalFormatting>
  <conditionalFormatting sqref="AF16">
    <cfRule type="cellIs" dxfId="51" priority="99" stopIfTrue="1" operator="greaterThan">
      <formula>0</formula>
    </cfRule>
  </conditionalFormatting>
  <conditionalFormatting sqref="D25:G25 S25 AB25:AD25 U25:Y25 AF25">
    <cfRule type="cellIs" dxfId="50" priority="97" stopIfTrue="1" operator="greaterThan">
      <formula>0</formula>
    </cfRule>
  </conditionalFormatting>
  <conditionalFormatting sqref="AG25">
    <cfRule type="cellIs" dxfId="49" priority="95" stopIfTrue="1" operator="greaterThan">
      <formula>0</formula>
    </cfRule>
  </conditionalFormatting>
  <conditionalFormatting sqref="AG25">
    <cfRule type="cellIs" dxfId="48" priority="94" stopIfTrue="1" operator="greaterThan">
      <formula>0</formula>
    </cfRule>
  </conditionalFormatting>
  <conditionalFormatting sqref="AF25">
    <cfRule type="cellIs" dxfId="47" priority="93" stopIfTrue="1" operator="greaterThan">
      <formula>0</formula>
    </cfRule>
  </conditionalFormatting>
  <conditionalFormatting sqref="AH13:AH25">
    <cfRule type="cellIs" dxfId="46" priority="70" stopIfTrue="1" operator="greaterThan">
      <formula>0</formula>
    </cfRule>
  </conditionalFormatting>
  <conditionalFormatting sqref="AG22:AG24">
    <cfRule type="cellIs" dxfId="45" priority="89" stopIfTrue="1" operator="greaterThan">
      <formula>0</formula>
    </cfRule>
  </conditionalFormatting>
  <conditionalFormatting sqref="E21:F21">
    <cfRule type="cellIs" dxfId="44" priority="88" stopIfTrue="1" operator="greaterThan">
      <formula>0</formula>
    </cfRule>
  </conditionalFormatting>
  <conditionalFormatting sqref="E20:F20">
    <cfRule type="cellIs" dxfId="43" priority="87" stopIfTrue="1" operator="greaterThan">
      <formula>0</formula>
    </cfRule>
  </conditionalFormatting>
  <conditionalFormatting sqref="X20">
    <cfRule type="cellIs" dxfId="42" priority="84" stopIfTrue="1" operator="greaterThan">
      <formula>0</formula>
    </cfRule>
  </conditionalFormatting>
  <conditionalFormatting sqref="K42">
    <cfRule type="cellIs" dxfId="41" priority="83" stopIfTrue="1" operator="greaterThan">
      <formula>0</formula>
    </cfRule>
  </conditionalFormatting>
  <conditionalFormatting sqref="L42">
    <cfRule type="cellIs" dxfId="40" priority="82" stopIfTrue="1" operator="greaterThan">
      <formula>0</formula>
    </cfRule>
  </conditionalFormatting>
  <conditionalFormatting sqref="AH13:AH25">
    <cfRule type="cellIs" dxfId="39" priority="71" stopIfTrue="1" operator="greaterThan">
      <formula>0</formula>
    </cfRule>
  </conditionalFormatting>
  <conditionalFormatting sqref="AL18">
    <cfRule type="cellIs" dxfId="38" priority="69" stopIfTrue="1" operator="greaterThan">
      <formula>0</formula>
    </cfRule>
  </conditionalFormatting>
  <conditionalFormatting sqref="AL18">
    <cfRule type="cellIs" dxfId="37" priority="68" stopIfTrue="1" operator="greaterThan">
      <formula>0</formula>
    </cfRule>
  </conditionalFormatting>
  <conditionalFormatting sqref="AA13:AA19 AA25">
    <cfRule type="cellIs" dxfId="36" priority="67" stopIfTrue="1" operator="greaterThan">
      <formula>0</formula>
    </cfRule>
  </conditionalFormatting>
  <conditionalFormatting sqref="N13:N15">
    <cfRule type="cellIs" dxfId="35" priority="49" stopIfTrue="1" operator="greaterThan">
      <formula>0</formula>
    </cfRule>
  </conditionalFormatting>
  <conditionalFormatting sqref="X17">
    <cfRule type="cellIs" dxfId="34" priority="29" stopIfTrue="1" operator="greaterThan">
      <formula>0</formula>
    </cfRule>
  </conditionalFormatting>
  <conditionalFormatting sqref="H21:R25 I16:R19 I20:J20 O20:R20">
    <cfRule type="cellIs" dxfId="33" priority="47" stopIfTrue="1" operator="greaterThan">
      <formula>0</formula>
    </cfRule>
  </conditionalFormatting>
  <conditionalFormatting sqref="AG20">
    <cfRule type="cellIs" dxfId="32" priority="45" stopIfTrue="1" operator="greaterThan">
      <formula>0</formula>
    </cfRule>
  </conditionalFormatting>
  <conditionalFormatting sqref="D17:F17">
    <cfRule type="cellIs" dxfId="31" priority="44" stopIfTrue="1" operator="greaterThan">
      <formula>0</formula>
    </cfRule>
  </conditionalFormatting>
  <conditionalFormatting sqref="D17:F17">
    <cfRule type="cellIs" dxfId="30" priority="43" stopIfTrue="1" operator="greaterThan">
      <formula>0</formula>
    </cfRule>
  </conditionalFormatting>
  <conditionalFormatting sqref="G17">
    <cfRule type="cellIs" dxfId="29" priority="39" stopIfTrue="1" operator="greaterThan">
      <formula>0</formula>
    </cfRule>
  </conditionalFormatting>
  <conditionalFormatting sqref="T13:T25">
    <cfRule type="cellIs" dxfId="28" priority="35" stopIfTrue="1" operator="greaterThan">
      <formula>0</formula>
    </cfRule>
  </conditionalFormatting>
  <conditionalFormatting sqref="V16">
    <cfRule type="cellIs" dxfId="27" priority="32" stopIfTrue="1" operator="greaterThan">
      <formula>0</formula>
    </cfRule>
  </conditionalFormatting>
  <conditionalFormatting sqref="V16">
    <cfRule type="cellIs" dxfId="26" priority="31" stopIfTrue="1" operator="greaterThan">
      <formula>0</formula>
    </cfRule>
  </conditionalFormatting>
  <conditionalFormatting sqref="AA20:AA24">
    <cfRule type="cellIs" dxfId="25" priority="27" stopIfTrue="1" operator="greaterThan">
      <formula>0</formula>
    </cfRule>
  </conditionalFormatting>
  <conditionalFormatting sqref="Z25">
    <cfRule type="cellIs" dxfId="24" priority="25" stopIfTrue="1" operator="greaterThan">
      <formula>0</formula>
    </cfRule>
  </conditionalFormatting>
  <conditionalFormatting sqref="X20">
    <cfRule type="cellIs" dxfId="23" priority="5" stopIfTrue="1" operator="greaterThan">
      <formula>0</formula>
    </cfRule>
  </conditionalFormatting>
  <conditionalFormatting sqref="K20">
    <cfRule type="cellIs" dxfId="22" priority="17" stopIfTrue="1" operator="greaterThan">
      <formula>0</formula>
    </cfRule>
  </conditionalFormatting>
  <conditionalFormatting sqref="AC20">
    <cfRule type="cellIs" dxfId="21" priority="1" stopIfTrue="1" operator="greaterThan">
      <formula>0</formula>
    </cfRule>
  </conditionalFormatting>
  <conditionalFormatting sqref="G16">
    <cfRule type="cellIs" dxfId="20" priority="21" stopIfTrue="1" operator="greaterThan">
      <formula>0</formula>
    </cfRule>
  </conditionalFormatting>
  <conditionalFormatting sqref="H16:H20">
    <cfRule type="cellIs" dxfId="18" priority="19" stopIfTrue="1" operator="greaterThan">
      <formula>0</formula>
    </cfRule>
  </conditionalFormatting>
  <conditionalFormatting sqref="S20">
    <cfRule type="cellIs" dxfId="16" priority="13" stopIfTrue="1" operator="greaterThan">
      <formula>0</formula>
    </cfRule>
  </conditionalFormatting>
  <conditionalFormatting sqref="L20:N20">
    <cfRule type="cellIs" dxfId="14" priority="15" stopIfTrue="1" operator="greaterThan">
      <formula>0</formula>
    </cfRule>
  </conditionalFormatting>
  <conditionalFormatting sqref="V20">
    <cfRule type="cellIs" dxfId="11" priority="12" stopIfTrue="1" operator="greaterThan">
      <formula>0</formula>
    </cfRule>
  </conditionalFormatting>
  <conditionalFormatting sqref="V20">
    <cfRule type="cellIs" dxfId="10" priority="11" stopIfTrue="1" operator="greaterThan">
      <formula>0</formula>
    </cfRule>
  </conditionalFormatting>
  <conditionalFormatting sqref="AE13:AE25">
    <cfRule type="cellIs" dxfId="8" priority="9" stopIfTrue="1" operator="greaterThan">
      <formula>0</formula>
    </cfRule>
  </conditionalFormatting>
  <conditionalFormatting sqref="Y17">
    <cfRule type="cellIs" dxfId="7" priority="8" stopIfTrue="1" operator="greaterThan">
      <formula>0</formula>
    </cfRule>
  </conditionalFormatting>
  <conditionalFormatting sqref="Y20">
    <cfRule type="cellIs" dxfId="6" priority="7" stopIfTrue="1" operator="greaterThan">
      <formula>0</formula>
    </cfRule>
  </conditionalFormatting>
  <conditionalFormatting sqref="X20">
    <cfRule type="cellIs" dxfId="5" priority="6" stopIfTrue="1" operator="greaterThan">
      <formula>0</formula>
    </cfRule>
  </conditionalFormatting>
  <conditionalFormatting sqref="AC20">
    <cfRule type="cellIs" dxfId="3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2022-11-01T06:31:50Z</dcterms:modified>
</cp:coreProperties>
</file>