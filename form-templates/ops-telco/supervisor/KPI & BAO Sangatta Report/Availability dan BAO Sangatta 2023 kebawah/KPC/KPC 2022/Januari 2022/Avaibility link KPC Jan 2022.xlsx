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5621"/>
</workbook>
</file>

<file path=xl/calcChain.xml><?xml version="1.0" encoding="utf-8"?>
<calcChain xmlns="http://schemas.openxmlformats.org/spreadsheetml/2006/main">
  <c r="E52" i="11" l="1"/>
  <c r="D52" i="11"/>
  <c r="C52" i="11" l="1"/>
  <c r="D51" i="11"/>
  <c r="D50" i="11"/>
  <c r="D41" i="11"/>
  <c r="D40" i="11"/>
  <c r="E50" i="11" l="1"/>
  <c r="E51" i="11"/>
  <c r="E49" i="11"/>
  <c r="C50" i="11" l="1"/>
  <c r="C51" i="11"/>
  <c r="D49" i="11"/>
  <c r="C49" i="11" s="1"/>
  <c r="E40" i="11"/>
  <c r="C40" i="11" s="1"/>
  <c r="E41" i="11"/>
  <c r="C41" i="11" s="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C44" i="11" l="1"/>
  <c r="C48" i="11"/>
  <c r="C46" i="11"/>
  <c r="C42" i="11"/>
  <c r="C47" i="11"/>
  <c r="C45" i="11"/>
  <c r="C43" i="11"/>
  <c r="C57" i="11" l="1"/>
</calcChain>
</file>

<file path=xl/sharedStrings.xml><?xml version="1.0" encoding="utf-8"?>
<sst xmlns="http://schemas.openxmlformats.org/spreadsheetml/2006/main" count="131" uniqueCount="78">
  <si>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</si>
  <si>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</si>
  <si>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</si>
  <si>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</si>
  <si>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</si>
  <si>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</si>
  <si>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</si>
  <si>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</si>
  <si>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</si>
  <si>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</si>
  <si>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</si>
  <si>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</si>
  <si>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</si>
  <si>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</si>
  <si>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</si>
  <si>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</si>
  <si>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</si>
  <si>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</si>
  <si>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</si>
  <si>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</si>
  <si>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</si>
  <si>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</si>
  <si>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</si>
  <si>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</si>
  <si>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</si>
  <si>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</si>
  <si>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</si>
  <si>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</si>
  <si>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</si>
  <si>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</si>
  <si>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</si>
  <si>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</si>
  <si>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</si>
  <si>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</si>
  <si>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</si>
  <si>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</si>
  <si>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</si>
  <si>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</si>
  <si>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</si>
  <si>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</si>
  <si>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</si>
  <si>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</si>
  <si>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</si>
  <si>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</si>
  <si>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</si>
  <si>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</si>
  <si>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</si>
  <si>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</si>
  <si>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</si>
  <si>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</si>
  <si>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 xml:space="preserve">        penyebabnya adalah UPS di TBTS mengalami stuck pd saat pergantian</t>
  </si>
  <si>
    <t xml:space="preserve">        Genset  On kembali jam 05.25</t>
  </si>
  <si>
    <t>Ket :</t>
  </si>
  <si>
    <t xml:space="preserve">        Tgl 04/01/22</t>
  </si>
  <si>
    <t>α</t>
  </si>
  <si>
    <t xml:space="preserve">   @  Jam 02.15 Link TBTS Galaxi mengalami trouble</t>
  </si>
  <si>
    <t xml:space="preserve">   @  Pagi sekitar jam 10.00,Power dari UPS di matikan dan di bypass untuk    </t>
  </si>
  <si>
    <t xml:space="preserve">        Antisipasi jk UPS kembali hank</t>
  </si>
  <si>
    <t>Tgl 02-Jan-22</t>
  </si>
  <si>
    <t>Tgl 04-Jan-22</t>
  </si>
  <si>
    <t xml:space="preserve">       Tgl 05/01/22</t>
  </si>
  <si>
    <t xml:space="preserve">   @ Jam 00.00 s/d jam 16.20 Link msh mati</t>
  </si>
  <si>
    <t xml:space="preserve">   @ Sekitar Jam 09.00 diadakan pergantian antena PTH to Galaxi dan selesai jam 16.20</t>
  </si>
  <si>
    <t xml:space="preserve">   @ Jam 16.20 Link TBTS Galaxi sdh UP kembali</t>
  </si>
  <si>
    <t>Tgl 09-Jan-22</t>
  </si>
  <si>
    <t>Tgl 11-Jan-22</t>
  </si>
  <si>
    <t xml:space="preserve">       Tgl 04/1/22</t>
  </si>
  <si>
    <t xml:space="preserve">   @ Jam 17.23 s/d Jam 00.00 witaLink TBTS Galaxi mati,Antena di PTH terkena</t>
  </si>
  <si>
    <t xml:space="preserve">       petir  (lama down 10.03.12 ) jam</t>
  </si>
  <si>
    <t xml:space="preserve">   @ Lama down 16.19.18 hour</t>
  </si>
  <si>
    <t xml:space="preserve">     Power mati / kabel tertimpa pohon di area melawan</t>
  </si>
  <si>
    <t xml:space="preserve"> Tgl 21-Jan-22</t>
  </si>
  <si>
    <t xml:space="preserve">     Power mati</t>
  </si>
  <si>
    <t xml:space="preserve"> Tgl 22-Jan-22</t>
  </si>
  <si>
    <t xml:space="preserve">     Genset mati</t>
  </si>
  <si>
    <t xml:space="preserve">     Csm rusak</t>
  </si>
  <si>
    <r>
      <rPr>
        <sz val="9"/>
        <rFont val="Tahoma"/>
        <family val="2"/>
      </rPr>
      <t xml:space="preserve">      </t>
    </r>
    <r>
      <rPr>
        <b/>
        <sz val="9"/>
        <rFont val="Tahoma"/>
        <family val="2"/>
      </rPr>
      <t>Alu di tower LBTT stuck/error</t>
    </r>
  </si>
  <si>
    <t xml:space="preserve">     Power Mati imbas petir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</si>
</sst>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4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4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6" fillId="34" borderId="0" xfId="0" applyFont="1" applyFill="1"/>
    <xf numFmtId="164" fontId="0" fillId="34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6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6" xfId="0" applyFont="1" applyBorder="1" applyAlignment="1"/>
    <xf numFmtId="164" fontId="6" fillId="0" borderId="26" xfId="0" applyFont="1" applyBorder="1"/>
    <xf numFmtId="21" fontId="6" fillId="0" borderId="26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wrapText="1"/>
    </xf>
    <xf numFmtId="164" fontId="36" fillId="0" borderId="22" xfId="0" applyFont="1" applyBorder="1" applyAlignment="1">
      <alignment horizontal="center" wrapText="1"/>
    </xf>
    <xf numFmtId="164" fontId="36" fillId="0" borderId="23" xfId="0" applyFont="1" applyBorder="1" applyAlignment="1">
      <alignment horizontal="center" wrapText="1"/>
    </xf>
    <xf numFmtId="164" fontId="36" fillId="0" borderId="24" xfId="0" applyFont="1" applyBorder="1" applyAlignment="1">
      <alignment horizontal="center" wrapText="1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26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7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39" fillId="0" borderId="26" xfId="0" applyFont="1" applyBorder="1" applyAlignment="1">
      <alignment horizontal="left" vertical="top"/>
    </xf>
    <xf numFmtId="164" fontId="39" fillId="0" borderId="26" xfId="0" applyFont="1" applyBorder="1" applyAlignment="1">
      <alignment horizontal="center" vertical="center"/>
    </xf>
    <xf numFmtId="164" fontId="38" fillId="0" borderId="26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6"/>
  <sheetViews>
    <sheetView tabSelected="1" zoomScale="90" zoomScaleNormal="90" workbookViewId="0">
      <pane xSplit="3" ySplit="11" topLeftCell="D42" activePane="bottomRight" state="frozen"/>
      <selection pane="topRight" activeCell="D1" sqref="D1"/>
      <selection pane="bottomLeft" activeCell="A12" sqref="A12"/>
      <selection pane="bottomRight" activeCell="D33" sqref="D33:N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40">
        <v>44562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2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10" t="s">
        <v>2</v>
      </c>
      <c r="B10" s="112" t="s">
        <v>0</v>
      </c>
      <c r="C10" s="112" t="s">
        <v>8</v>
      </c>
      <c r="D10" s="46">
        <v>44197</v>
      </c>
      <c r="E10" s="46">
        <v>44198</v>
      </c>
      <c r="F10" s="46">
        <v>44199</v>
      </c>
      <c r="G10" s="46">
        <v>44200</v>
      </c>
      <c r="H10" s="46">
        <v>44201</v>
      </c>
      <c r="I10" s="46">
        <v>44202</v>
      </c>
      <c r="J10" s="46">
        <v>44203</v>
      </c>
      <c r="K10" s="46">
        <v>44204</v>
      </c>
      <c r="L10" s="46">
        <v>44205</v>
      </c>
      <c r="M10" s="46">
        <v>44206</v>
      </c>
      <c r="N10" s="46">
        <v>44207</v>
      </c>
      <c r="O10" s="46">
        <v>44208</v>
      </c>
      <c r="P10" s="46">
        <v>44209</v>
      </c>
      <c r="Q10" s="46">
        <v>44210</v>
      </c>
      <c r="R10" s="46">
        <v>44211</v>
      </c>
      <c r="S10" s="46">
        <v>44212</v>
      </c>
      <c r="T10" s="46">
        <v>44213</v>
      </c>
      <c r="U10" s="46">
        <v>44214</v>
      </c>
      <c r="V10" s="46">
        <v>44215</v>
      </c>
      <c r="W10" s="46">
        <v>44216</v>
      </c>
      <c r="X10" s="46">
        <v>44217</v>
      </c>
      <c r="Y10" s="46">
        <v>44218</v>
      </c>
      <c r="Z10" s="46">
        <v>44219</v>
      </c>
      <c r="AA10" s="46">
        <v>44220</v>
      </c>
      <c r="AB10" s="46">
        <v>44221</v>
      </c>
      <c r="AC10" s="46">
        <v>44222</v>
      </c>
      <c r="AD10" s="46">
        <v>44223</v>
      </c>
      <c r="AE10" s="46">
        <v>44224</v>
      </c>
      <c r="AF10" s="46">
        <v>44225</v>
      </c>
      <c r="AG10" s="46">
        <v>44226</v>
      </c>
      <c r="AH10" s="46">
        <v>44227</v>
      </c>
    </row>
    <row r="11" spans="1:34" s="1" customFormat="1" x14ac:dyDescent="0.2">
      <c r="A11" s="111"/>
      <c r="B11" s="113"/>
      <c r="C11" s="113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7"/>
      <c r="AG12" s="66"/>
      <c r="AH12" s="67"/>
    </row>
    <row r="13" spans="1:34" s="12" customFormat="1" ht="15.75" x14ac:dyDescent="0.25">
      <c r="A13" s="48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</row>
    <row r="14" spans="1:34" s="12" customFormat="1" ht="15.75" x14ac:dyDescent="0.25">
      <c r="A14" s="48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</row>
    <row r="15" spans="1:34" s="12" customFormat="1" ht="15.75" x14ac:dyDescent="0.25">
      <c r="A15" s="48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</row>
    <row r="16" spans="1:34" s="12" customFormat="1" ht="15.75" x14ac:dyDescent="0.25">
      <c r="A16" s="48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</row>
    <row r="17" spans="1:38" s="12" customFormat="1" ht="15.75" x14ac:dyDescent="0.25">
      <c r="A17" s="48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0.19240740740740739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5.3379629629629631E-2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</row>
    <row r="18" spans="1:38" s="12" customFormat="1" ht="15.75" x14ac:dyDescent="0.25">
      <c r="A18" s="48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L18" s="75"/>
    </row>
    <row r="19" spans="1:38" s="12" customFormat="1" ht="15.75" x14ac:dyDescent="0.25">
      <c r="A19" s="48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</row>
    <row r="20" spans="1:38" s="12" customFormat="1" ht="15.75" x14ac:dyDescent="0.25">
      <c r="A20" s="48" t="s">
        <v>35</v>
      </c>
      <c r="B20" s="32" t="s">
        <v>27</v>
      </c>
      <c r="C20" s="36"/>
      <c r="D20" s="37">
        <v>0</v>
      </c>
      <c r="E20" s="37">
        <v>2.494212962962963E-2</v>
      </c>
      <c r="F20" s="37">
        <v>0</v>
      </c>
      <c r="G20" s="37">
        <v>0.16614583333333333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5.7511574074074069E-2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</row>
    <row r="21" spans="1:38" s="12" customFormat="1" ht="15.75" x14ac:dyDescent="0.25">
      <c r="A21" s="48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</row>
    <row r="22" spans="1:38" s="12" customFormat="1" ht="15.75" x14ac:dyDescent="0.25">
      <c r="A22" s="48" t="s">
        <v>37</v>
      </c>
      <c r="B22" s="49" t="s">
        <v>24</v>
      </c>
      <c r="C22" s="36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37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37">
        <v>0</v>
      </c>
    </row>
    <row r="23" spans="1:38" s="12" customFormat="1" ht="15.75" x14ac:dyDescent="0.25">
      <c r="A23" s="48" t="s">
        <v>39</v>
      </c>
      <c r="B23" s="49" t="s">
        <v>40</v>
      </c>
      <c r="C23" s="56"/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37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37">
        <v>0</v>
      </c>
    </row>
    <row r="24" spans="1:38" s="12" customFormat="1" ht="15.75" x14ac:dyDescent="0.25">
      <c r="A24" s="48" t="s">
        <v>42</v>
      </c>
      <c r="B24" s="49" t="s">
        <v>41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37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37">
        <v>0</v>
      </c>
    </row>
    <row r="25" spans="1:38" s="12" customFormat="1" ht="12.75" customHeight="1" x14ac:dyDescent="0.25">
      <c r="A25" s="48" t="s">
        <v>43</v>
      </c>
      <c r="B25" s="58" t="s">
        <v>46</v>
      </c>
      <c r="C25" s="71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8.4629629629629624E-2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5.7557870370370377E-2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</row>
    <row r="26" spans="1:38" s="12" customFormat="1" ht="16.5" customHeight="1" x14ac:dyDescent="0.2">
      <c r="A26" s="57"/>
      <c r="B26" s="70"/>
      <c r="C26" s="5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68"/>
    </row>
    <row r="27" spans="1:38" s="12" customFormat="1" ht="16.5" customHeight="1" x14ac:dyDescent="0.2">
      <c r="A27" s="95" t="s">
        <v>17</v>
      </c>
      <c r="B27" s="96"/>
      <c r="C27" s="74" t="s">
        <v>58</v>
      </c>
      <c r="D27" s="101" t="s">
        <v>76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69"/>
    </row>
    <row r="28" spans="1:38" s="12" customFormat="1" ht="16.5" customHeight="1" x14ac:dyDescent="0.2">
      <c r="A28" s="97"/>
      <c r="B28" s="98"/>
      <c r="C28" s="81" t="s">
        <v>59</v>
      </c>
      <c r="D28" s="102" t="s">
        <v>77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68"/>
    </row>
    <row r="29" spans="1:38" s="12" customFormat="1" ht="16.5" customHeight="1" x14ac:dyDescent="0.2">
      <c r="A29" s="97"/>
      <c r="B29" s="98"/>
      <c r="C29" s="81" t="s">
        <v>64</v>
      </c>
      <c r="D29" s="102" t="s">
        <v>74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69"/>
    </row>
    <row r="30" spans="1:38" s="12" customFormat="1" ht="16.5" customHeight="1" x14ac:dyDescent="0.2">
      <c r="A30" s="97"/>
      <c r="B30" s="98"/>
      <c r="C30" s="81" t="s">
        <v>65</v>
      </c>
      <c r="D30" s="102" t="s">
        <v>70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68"/>
    </row>
    <row r="31" spans="1:38" s="12" customFormat="1" ht="15" customHeight="1" x14ac:dyDescent="0.2">
      <c r="A31" s="103"/>
      <c r="B31" s="104"/>
      <c r="C31" s="92" t="s">
        <v>71</v>
      </c>
      <c r="D31" s="107" t="s">
        <v>72</v>
      </c>
      <c r="E31" s="107"/>
      <c r="F31" s="107"/>
      <c r="G31" s="107"/>
      <c r="H31" s="107"/>
      <c r="I31" s="107"/>
      <c r="J31" s="107"/>
      <c r="K31" s="107"/>
      <c r="L31" s="107"/>
      <c r="M31" s="87"/>
      <c r="N31" s="87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H31" s="91"/>
    </row>
    <row r="32" spans="1:38" s="12" customFormat="1" ht="15" customHeight="1" x14ac:dyDescent="0.2">
      <c r="A32" s="103"/>
      <c r="B32" s="104"/>
      <c r="C32" s="92" t="s">
        <v>73</v>
      </c>
      <c r="D32" s="101" t="s">
        <v>75</v>
      </c>
      <c r="E32" s="101"/>
      <c r="F32" s="101"/>
      <c r="G32" s="101"/>
      <c r="H32" s="101"/>
      <c r="I32" s="101"/>
      <c r="J32" s="101"/>
      <c r="K32" s="101"/>
      <c r="L32" s="101"/>
      <c r="M32" s="101"/>
      <c r="N32" s="84"/>
      <c r="O32" s="88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68"/>
    </row>
    <row r="33" spans="1:34" s="12" customFormat="1" ht="15" customHeight="1" x14ac:dyDescent="0.2">
      <c r="A33" s="105"/>
      <c r="B33" s="106"/>
      <c r="C33" s="92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68"/>
      <c r="AA33" s="89"/>
      <c r="AB33" s="90"/>
      <c r="AC33" s="89"/>
      <c r="AD33" s="89"/>
      <c r="AE33" s="89"/>
      <c r="AF33" s="89"/>
      <c r="AG33" s="89"/>
      <c r="AH33" s="68"/>
    </row>
    <row r="34" spans="1:34" s="12" customFormat="1" ht="15" x14ac:dyDescent="0.2">
      <c r="A34" s="85"/>
      <c r="B34" s="85"/>
      <c r="C34" s="86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15"/>
      <c r="AB34" s="31"/>
    </row>
    <row r="35" spans="1:34" s="12" customFormat="1" ht="15" x14ac:dyDescent="0.2">
      <c r="A35" s="13"/>
      <c r="B35" s="43"/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15"/>
      <c r="AB35" s="31"/>
    </row>
    <row r="36" spans="1:34" s="12" customFormat="1" x14ac:dyDescent="0.2">
      <c r="A36" s="13"/>
      <c r="D36" s="82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AB36" s="31"/>
    </row>
    <row r="37" spans="1:34" s="12" customFormat="1" x14ac:dyDescent="0.2">
      <c r="A37" s="23" t="s">
        <v>12</v>
      </c>
      <c r="D37" s="14"/>
      <c r="E37" s="15"/>
      <c r="F37" s="15"/>
      <c r="G37" s="15"/>
      <c r="H37" s="15"/>
      <c r="I37" s="15"/>
      <c r="J37" s="15"/>
      <c r="K37" s="60"/>
      <c r="L37" s="60"/>
      <c r="M37" s="15"/>
      <c r="O37" s="15"/>
      <c r="AB37" s="31"/>
    </row>
    <row r="38" spans="1:34" s="12" customFormat="1" x14ac:dyDescent="0.2">
      <c r="A38" s="93" t="s">
        <v>2</v>
      </c>
      <c r="B38" s="93" t="s">
        <v>9</v>
      </c>
      <c r="C38" s="93" t="s">
        <v>1</v>
      </c>
      <c r="D38" s="99" t="s">
        <v>7</v>
      </c>
      <c r="E38" s="100"/>
      <c r="F38" s="15"/>
      <c r="G38" s="15"/>
      <c r="H38" s="15"/>
      <c r="I38" s="15"/>
      <c r="J38" s="15"/>
      <c r="K38" s="61"/>
      <c r="L38" s="61"/>
      <c r="M38" s="15"/>
      <c r="O38" s="15"/>
      <c r="AB38" s="31"/>
    </row>
    <row r="39" spans="1:34" s="12" customFormat="1" x14ac:dyDescent="0.2">
      <c r="A39" s="94"/>
      <c r="B39" s="94"/>
      <c r="C39" s="94"/>
      <c r="D39" s="27" t="s">
        <v>10</v>
      </c>
      <c r="E39" s="22" t="s">
        <v>11</v>
      </c>
      <c r="F39" s="15"/>
      <c r="G39" s="15"/>
      <c r="H39" s="15"/>
      <c r="I39" s="15"/>
      <c r="J39" s="15"/>
      <c r="K39" s="15"/>
      <c r="L39" s="15"/>
      <c r="M39" s="15"/>
      <c r="O39" s="15"/>
      <c r="AB39" s="31"/>
    </row>
    <row r="40" spans="1:34" s="12" customFormat="1" ht="15.75" x14ac:dyDescent="0.25">
      <c r="A40" s="41" t="s">
        <v>38</v>
      </c>
      <c r="B40" s="32" t="s">
        <v>48</v>
      </c>
      <c r="C40" s="38">
        <f t="shared" ref="C40:C48" si="0">1-(((D40*3600)+(LEFT(E40,2)*60)+RIGHT(E40,2))/((60*60*24)*$C$8))</f>
        <v>1</v>
      </c>
      <c r="D40" s="20" t="str">
        <f t="shared" ref="D40:D52" si="1">TEXT(SUM(D13:AG13),"[h]")</f>
        <v>0</v>
      </c>
      <c r="E40" s="20" t="str">
        <f t="shared" ref="E40:E52" si="2">TEXT(SUM(D13:AG13),"mm ss")</f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1" t="s">
        <v>29</v>
      </c>
      <c r="B41" s="32" t="s">
        <v>26</v>
      </c>
      <c r="C41" s="38">
        <f t="shared" si="0"/>
        <v>1</v>
      </c>
      <c r="D41" s="20" t="str">
        <f t="shared" si="1"/>
        <v>0</v>
      </c>
      <c r="E41" s="20" t="str">
        <f t="shared" si="2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1" t="s">
        <v>30</v>
      </c>
      <c r="B42" s="53" t="s">
        <v>19</v>
      </c>
      <c r="C42" s="38">
        <f t="shared" si="0"/>
        <v>1</v>
      </c>
      <c r="D42" s="20" t="str">
        <f t="shared" si="1"/>
        <v>0</v>
      </c>
      <c r="E42" s="20" t="str">
        <f t="shared" si="2"/>
        <v>00 00</v>
      </c>
      <c r="F42" s="15"/>
      <c r="G42" s="21"/>
      <c r="H42" s="72"/>
      <c r="I42" s="15"/>
      <c r="J42" s="15"/>
      <c r="K42" s="15"/>
      <c r="L42" s="15"/>
      <c r="M42" s="15"/>
      <c r="O42" s="15"/>
    </row>
    <row r="43" spans="1:34" s="12" customFormat="1" ht="15.75" x14ac:dyDescent="0.25">
      <c r="A43" s="41" t="s">
        <v>31</v>
      </c>
      <c r="B43" s="32" t="s">
        <v>20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</row>
    <row r="44" spans="1:34" s="12" customFormat="1" ht="15.75" x14ac:dyDescent="0.25">
      <c r="A44" s="41" t="s">
        <v>32</v>
      </c>
      <c r="B44" s="32" t="s">
        <v>21</v>
      </c>
      <c r="C44" s="38">
        <f t="shared" si="0"/>
        <v>0.99207138590203103</v>
      </c>
      <c r="D44" s="20" t="str">
        <f t="shared" si="1"/>
        <v>5</v>
      </c>
      <c r="E44" s="20" t="str">
        <f t="shared" si="2"/>
        <v>53 56</v>
      </c>
      <c r="F44" s="15"/>
      <c r="G44" s="21"/>
      <c r="H44" s="15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1" t="s">
        <v>33</v>
      </c>
      <c r="B45" s="32" t="s">
        <v>22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73"/>
      <c r="K45" s="15"/>
      <c r="L45" s="15"/>
      <c r="M45" s="15"/>
      <c r="O45" s="15"/>
    </row>
    <row r="46" spans="1:34" s="12" customFormat="1" ht="15.75" x14ac:dyDescent="0.25">
      <c r="A46" s="41" t="s">
        <v>34</v>
      </c>
      <c r="B46" s="32" t="s">
        <v>28</v>
      </c>
      <c r="C46" s="38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34" s="12" customFormat="1" ht="15.75" x14ac:dyDescent="0.25">
      <c r="A47" s="41" t="s">
        <v>35</v>
      </c>
      <c r="B47" s="32" t="s">
        <v>27</v>
      </c>
      <c r="C47" s="38">
        <f t="shared" si="0"/>
        <v>0.9919806600955795</v>
      </c>
      <c r="D47" s="20" t="str">
        <f t="shared" si="1"/>
        <v>5</v>
      </c>
      <c r="E47" s="20" t="str">
        <f t="shared" si="2"/>
        <v>57 59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4" s="12" customFormat="1" ht="15.75" x14ac:dyDescent="0.25">
      <c r="A48" s="41" t="s">
        <v>36</v>
      </c>
      <c r="B48" s="32" t="s">
        <v>25</v>
      </c>
      <c r="C48" s="38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63"/>
    </row>
    <row r="49" spans="1:32" s="12" customFormat="1" ht="15.75" x14ac:dyDescent="0.25">
      <c r="A49" s="41" t="s">
        <v>37</v>
      </c>
      <c r="B49" s="32" t="s">
        <v>24</v>
      </c>
      <c r="C49" s="33">
        <f>1-(((D49*3600)+(LEFT(E49,2)*60)+RIGHT(E49,2))/((60*60*24)*$C$8))</f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63"/>
    </row>
    <row r="50" spans="1:32" s="12" customFormat="1" ht="15.75" x14ac:dyDescent="0.25">
      <c r="A50" s="41" t="s">
        <v>39</v>
      </c>
      <c r="B50" s="32" t="s">
        <v>44</v>
      </c>
      <c r="C50" s="33">
        <f t="shared" ref="C50:C52" si="3">1-(((D50*3600)+(LEFT(E50,2)*60)+RIGHT(E50,2))/((60*60*24)*$C$8))</f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3"/>
    </row>
    <row r="51" spans="1:32" s="12" customFormat="1" ht="15.75" x14ac:dyDescent="0.25">
      <c r="A51" s="41" t="s">
        <v>42</v>
      </c>
      <c r="B51" s="32" t="s">
        <v>45</v>
      </c>
      <c r="C51" s="33">
        <f t="shared" si="3"/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3"/>
    </row>
    <row r="52" spans="1:32" s="16" customFormat="1" ht="15.75" x14ac:dyDescent="0.25">
      <c r="A52" s="62" t="s">
        <v>43</v>
      </c>
      <c r="B52" s="32" t="s">
        <v>47</v>
      </c>
      <c r="C52" s="33">
        <f t="shared" si="3"/>
        <v>0.99541330645161286</v>
      </c>
      <c r="D52" s="20" t="str">
        <f t="shared" si="1"/>
        <v>3</v>
      </c>
      <c r="E52" s="20" t="str">
        <f t="shared" si="2"/>
        <v>24 45</v>
      </c>
      <c r="F52" s="15"/>
      <c r="G52" s="21"/>
      <c r="H52" s="15"/>
      <c r="I52" s="15"/>
      <c r="J52" s="15"/>
      <c r="K52" s="15"/>
      <c r="L52" s="63"/>
      <c r="M52" s="63"/>
      <c r="N52" s="63"/>
      <c r="O52" s="64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x14ac:dyDescent="0.25">
      <c r="A53" s="52"/>
      <c r="B53" s="53"/>
      <c r="C53" s="54"/>
      <c r="D53" s="55"/>
      <c r="E53" s="55"/>
      <c r="F53" s="15"/>
      <c r="G53" s="21"/>
      <c r="H53" s="15"/>
      <c r="I53" s="15"/>
      <c r="J53" s="15"/>
      <c r="K53" s="15"/>
      <c r="L53" s="63"/>
      <c r="M53" s="63"/>
      <c r="N53" s="63"/>
      <c r="O53" s="65"/>
    </row>
    <row r="54" spans="1:32" x14ac:dyDescent="0.2">
      <c r="A54" s="13"/>
      <c r="B54" s="12"/>
      <c r="C54" s="26"/>
      <c r="D54" s="25"/>
      <c r="E54" s="15"/>
      <c r="F54" s="15"/>
      <c r="G54" s="15"/>
      <c r="H54" s="15"/>
      <c r="I54" s="15"/>
      <c r="J54" s="15"/>
      <c r="K54" s="15"/>
      <c r="L54" s="63"/>
      <c r="M54" s="63"/>
      <c r="N54" s="63"/>
      <c r="O54" s="65"/>
    </row>
    <row r="55" spans="1:32" x14ac:dyDescent="0.2">
      <c r="A55" s="13"/>
      <c r="B55" s="12"/>
      <c r="C55" s="12"/>
      <c r="D55" s="14"/>
      <c r="E55" s="15"/>
      <c r="F55" s="15"/>
      <c r="G55" s="15"/>
      <c r="H55" s="15"/>
      <c r="I55" s="15"/>
      <c r="J55" s="15"/>
      <c r="K55" s="15"/>
      <c r="L55" s="63"/>
      <c r="M55" s="63"/>
      <c r="N55" s="63"/>
      <c r="O55" s="65"/>
    </row>
    <row r="56" spans="1:32" x14ac:dyDescent="0.2">
      <c r="A56" s="14"/>
      <c r="B56" s="24" t="s">
        <v>13</v>
      </c>
      <c r="C56" s="19"/>
      <c r="D56" s="18"/>
      <c r="E56" s="18"/>
      <c r="F56" s="18"/>
      <c r="G56" s="18"/>
      <c r="H56" s="18"/>
      <c r="I56" s="18"/>
      <c r="J56" s="18"/>
      <c r="K56" s="18"/>
      <c r="L56" s="64"/>
      <c r="M56" s="64"/>
      <c r="N56" s="64"/>
      <c r="O56" s="65"/>
    </row>
    <row r="57" spans="1:32" x14ac:dyDescent="0.2">
      <c r="A57"/>
      <c r="B57" s="12" t="s">
        <v>16</v>
      </c>
      <c r="C57" s="27">
        <f>(SUM(C40:C52))/(100%*13)</f>
        <v>0.99842041172686347</v>
      </c>
      <c r="G57" s="39"/>
      <c r="L57" s="65"/>
      <c r="M57" s="65"/>
      <c r="N57" s="65"/>
      <c r="O57" s="65"/>
    </row>
    <row r="58" spans="1:32" x14ac:dyDescent="0.2">
      <c r="C58" s="76"/>
      <c r="L58" s="65"/>
      <c r="M58" s="65"/>
      <c r="N58" s="65"/>
      <c r="O58" s="65"/>
    </row>
    <row r="59" spans="1:32" x14ac:dyDescent="0.2">
      <c r="C59" s="76"/>
      <c r="L59" s="65"/>
      <c r="M59" s="65"/>
      <c r="N59" s="65"/>
    </row>
    <row r="60" spans="1:32" x14ac:dyDescent="0.2">
      <c r="C60" s="76"/>
      <c r="L60" s="65"/>
      <c r="M60" s="65"/>
      <c r="N60" s="6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x14ac:dyDescent="0.2">
      <c r="B61" s="12" t="s">
        <v>52</v>
      </c>
      <c r="C61" s="76"/>
      <c r="L61" s="65"/>
      <c r="M61" s="65"/>
      <c r="N61" s="65"/>
    </row>
    <row r="62" spans="1:32" x14ac:dyDescent="0.2">
      <c r="B62" s="12" t="s">
        <v>53</v>
      </c>
      <c r="C62" s="76"/>
      <c r="L62" s="65"/>
      <c r="M62" s="65"/>
      <c r="N62" s="65"/>
    </row>
    <row r="63" spans="1:32" x14ac:dyDescent="0.2">
      <c r="B63" s="77" t="s">
        <v>55</v>
      </c>
      <c r="C63" s="78"/>
      <c r="D63" s="80"/>
      <c r="E63" s="79" t="s">
        <v>54</v>
      </c>
    </row>
    <row r="64" spans="1:32" x14ac:dyDescent="0.2">
      <c r="A64"/>
      <c r="B64" s="77" t="s">
        <v>50</v>
      </c>
      <c r="C64" s="78"/>
      <c r="D64" s="80"/>
    </row>
    <row r="65" spans="1:32" x14ac:dyDescent="0.2">
      <c r="B65" s="77" t="s">
        <v>51</v>
      </c>
      <c r="C65" s="78"/>
      <c r="D65" s="80"/>
    </row>
    <row r="66" spans="1:32" x14ac:dyDescent="0.2">
      <c r="B66" s="77" t="s">
        <v>56</v>
      </c>
      <c r="C66" s="78"/>
      <c r="D66" s="80"/>
    </row>
    <row r="67" spans="1:32" x14ac:dyDescent="0.2">
      <c r="B67" s="77" t="s">
        <v>57</v>
      </c>
      <c r="C67" s="78"/>
      <c r="D67" s="80"/>
    </row>
    <row r="68" spans="1:32" x14ac:dyDescent="0.2"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77" t="s">
        <v>66</v>
      </c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77" t="s">
        <v>67</v>
      </c>
      <c r="C70" s="78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77" t="s">
        <v>68</v>
      </c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A72"/>
      <c r="B72" s="77" t="s">
        <v>60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</row>
    <row r="73" spans="1:32" x14ac:dyDescent="0.2">
      <c r="A73"/>
      <c r="B73" s="77" t="s">
        <v>61</v>
      </c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77" t="s">
        <v>62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77" t="s">
        <v>63</v>
      </c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B76" s="83" t="s">
        <v>69</v>
      </c>
    </row>
  </sheetData>
  <mergeCells count="17">
    <mergeCell ref="D26:AG26"/>
    <mergeCell ref="A10:A11"/>
    <mergeCell ref="B10:B11"/>
    <mergeCell ref="C10:C11"/>
    <mergeCell ref="A38:A39"/>
    <mergeCell ref="B38:B39"/>
    <mergeCell ref="C38:C39"/>
    <mergeCell ref="A27:B30"/>
    <mergeCell ref="D38:E38"/>
    <mergeCell ref="D27:AG27"/>
    <mergeCell ref="D28:AG28"/>
    <mergeCell ref="D29:AG29"/>
    <mergeCell ref="D30:AG30"/>
    <mergeCell ref="A31:B33"/>
    <mergeCell ref="D31:L31"/>
    <mergeCell ref="D32:M32"/>
    <mergeCell ref="D33:N33"/>
  </mergeCells>
  <phoneticPr fontId="9" type="noConversion"/>
  <conditionalFormatting sqref="D15:F15 G21:M21 D17:N18 AE18:AF18 AE21:AF21 O17:Z17 P21:Z21 D13:D21 AB21:AC21 AB17:AF17">
    <cfRule type="cellIs" dxfId="100" priority="215" stopIfTrue="1" operator="greaterThan">
      <formula>0</formula>
    </cfRule>
  </conditionalFormatting>
  <conditionalFormatting sqref="I15:M15">
    <cfRule type="cellIs" dxfId="99" priority="214" stopIfTrue="1" operator="greaterThan">
      <formula>0</formula>
    </cfRule>
  </conditionalFormatting>
  <conditionalFormatting sqref="W18:Z18 O15:Z15 O18:U18 AB15:AD15 AB18:AC18">
    <cfRule type="cellIs" dxfId="98" priority="213" stopIfTrue="1" operator="greaterThan">
      <formula>0</formula>
    </cfRule>
  </conditionalFormatting>
  <conditionalFormatting sqref="G15">
    <cfRule type="cellIs" dxfId="97" priority="207" stopIfTrue="1" operator="greaterThan">
      <formula>0</formula>
    </cfRule>
  </conditionalFormatting>
  <conditionalFormatting sqref="N15">
    <cfRule type="cellIs" dxfId="96" priority="206" stopIfTrue="1" operator="greaterThan">
      <formula>0</formula>
    </cfRule>
  </conditionalFormatting>
  <conditionalFormatting sqref="H15">
    <cfRule type="cellIs" dxfId="95" priority="200" stopIfTrue="1" operator="greaterThan">
      <formula>0</formula>
    </cfRule>
  </conditionalFormatting>
  <conditionalFormatting sqref="AD18">
    <cfRule type="cellIs" dxfId="94" priority="199" stopIfTrue="1" operator="greaterThan">
      <formula>0</formula>
    </cfRule>
  </conditionalFormatting>
  <conditionalFormatting sqref="V18">
    <cfRule type="cellIs" dxfId="93" priority="194" stopIfTrue="1" operator="greaterThan">
      <formula>0</formula>
    </cfRule>
  </conditionalFormatting>
  <conditionalFormatting sqref="AE15:AF15">
    <cfRule type="cellIs" dxfId="92" priority="191" stopIfTrue="1" operator="greaterThan">
      <formula>0</formula>
    </cfRule>
  </conditionalFormatting>
  <conditionalFormatting sqref="D14:F14">
    <cfRule type="cellIs" dxfId="91" priority="185" stopIfTrue="1" operator="greaterThan">
      <formula>0</formula>
    </cfRule>
  </conditionalFormatting>
  <conditionalFormatting sqref="I14:M14">
    <cfRule type="cellIs" dxfId="90" priority="184" stopIfTrue="1" operator="greaterThan">
      <formula>0</formula>
    </cfRule>
  </conditionalFormatting>
  <conditionalFormatting sqref="O14:Z14 AB14:AD14">
    <cfRule type="cellIs" dxfId="89" priority="183" stopIfTrue="1" operator="greaterThan">
      <formula>0</formula>
    </cfRule>
  </conditionalFormatting>
  <conditionalFormatting sqref="G14">
    <cfRule type="cellIs" dxfId="88" priority="182" stopIfTrue="1" operator="greaterThan">
      <formula>0</formula>
    </cfRule>
  </conditionalFormatting>
  <conditionalFormatting sqref="N14">
    <cfRule type="cellIs" dxfId="87" priority="181" stopIfTrue="1" operator="greaterThan">
      <formula>0</formula>
    </cfRule>
  </conditionalFormatting>
  <conditionalFormatting sqref="H14">
    <cfRule type="cellIs" dxfId="86" priority="180" stopIfTrue="1" operator="greaterThan">
      <formula>0</formula>
    </cfRule>
  </conditionalFormatting>
  <conditionalFormatting sqref="AE14:AF14">
    <cfRule type="cellIs" dxfId="85" priority="179" stopIfTrue="1" operator="greaterThan">
      <formula>0</formula>
    </cfRule>
  </conditionalFormatting>
  <conditionalFormatting sqref="D13:F13">
    <cfRule type="cellIs" dxfId="84" priority="169" stopIfTrue="1" operator="greaterThan">
      <formula>0</formula>
    </cfRule>
  </conditionalFormatting>
  <conditionalFormatting sqref="D16:F16">
    <cfRule type="cellIs" dxfId="83" priority="161" stopIfTrue="1" operator="greaterThan">
      <formula>0</formula>
    </cfRule>
  </conditionalFormatting>
  <conditionalFormatting sqref="I13:M13">
    <cfRule type="cellIs" dxfId="82" priority="168" stopIfTrue="1" operator="greaterThan">
      <formula>0</formula>
    </cfRule>
  </conditionalFormatting>
  <conditionalFormatting sqref="O13:Z13 AB13:AD13">
    <cfRule type="cellIs" dxfId="81" priority="167" stopIfTrue="1" operator="greaterThan">
      <formula>0</formula>
    </cfRule>
  </conditionalFormatting>
  <conditionalFormatting sqref="G13">
    <cfRule type="cellIs" dxfId="80" priority="166" stopIfTrue="1" operator="greaterThan">
      <formula>0</formula>
    </cfRule>
  </conditionalFormatting>
  <conditionalFormatting sqref="N13">
    <cfRule type="cellIs" dxfId="79" priority="165" stopIfTrue="1" operator="greaterThan">
      <formula>0</formula>
    </cfRule>
  </conditionalFormatting>
  <conditionalFormatting sqref="H13">
    <cfRule type="cellIs" dxfId="78" priority="164" stopIfTrue="1" operator="greaterThan">
      <formula>0</formula>
    </cfRule>
  </conditionalFormatting>
  <conditionalFormatting sqref="AE13:AF13">
    <cfRule type="cellIs" dxfId="77" priority="163" stopIfTrue="1" operator="greaterThan">
      <formula>0</formula>
    </cfRule>
  </conditionalFormatting>
  <conditionalFormatting sqref="I16:M16">
    <cfRule type="cellIs" dxfId="76" priority="160" stopIfTrue="1" operator="greaterThan">
      <formula>0</formula>
    </cfRule>
  </conditionalFormatting>
  <conditionalFormatting sqref="O16:Q16">
    <cfRule type="cellIs" dxfId="75" priority="159" stopIfTrue="1" operator="greaterThan">
      <formula>0</formula>
    </cfRule>
  </conditionalFormatting>
  <conditionalFormatting sqref="G16">
    <cfRule type="cellIs" dxfId="74" priority="158" stopIfTrue="1" operator="greaterThan">
      <formula>0</formula>
    </cfRule>
  </conditionalFormatting>
  <conditionalFormatting sqref="N16">
    <cfRule type="cellIs" dxfId="73" priority="157" stopIfTrue="1" operator="greaterThan">
      <formula>0</formula>
    </cfRule>
  </conditionalFormatting>
  <conditionalFormatting sqref="H16">
    <cfRule type="cellIs" dxfId="72" priority="156" stopIfTrue="1" operator="greaterThan">
      <formula>0</formula>
    </cfRule>
  </conditionalFormatting>
  <conditionalFormatting sqref="D19:F19">
    <cfRule type="cellIs" dxfId="71" priority="141" stopIfTrue="1" operator="greaterThan">
      <formula>0</formula>
    </cfRule>
  </conditionalFormatting>
  <conditionalFormatting sqref="I19:M19">
    <cfRule type="cellIs" dxfId="70" priority="140" stopIfTrue="1" operator="greaterThan">
      <formula>0</formula>
    </cfRule>
  </conditionalFormatting>
  <conditionalFormatting sqref="O19:U19 W19:Z19 AB19:AC19">
    <cfRule type="cellIs" dxfId="69" priority="139" stopIfTrue="1" operator="greaterThan">
      <formula>0</formula>
    </cfRule>
  </conditionalFormatting>
  <conditionalFormatting sqref="G19">
    <cfRule type="cellIs" dxfId="68" priority="138" stopIfTrue="1" operator="greaterThan">
      <formula>0</formula>
    </cfRule>
  </conditionalFormatting>
  <conditionalFormatting sqref="N19">
    <cfRule type="cellIs" dxfId="67" priority="137" stopIfTrue="1" operator="greaterThan">
      <formula>0</formula>
    </cfRule>
  </conditionalFormatting>
  <conditionalFormatting sqref="H19">
    <cfRule type="cellIs" dxfId="66" priority="136" stopIfTrue="1" operator="greaterThan">
      <formula>0</formula>
    </cfRule>
  </conditionalFormatting>
  <conditionalFormatting sqref="AD19">
    <cfRule type="cellIs" dxfId="65" priority="135" stopIfTrue="1" operator="greaterThan">
      <formula>0</formula>
    </cfRule>
  </conditionalFormatting>
  <conditionalFormatting sqref="D20">
    <cfRule type="cellIs" dxfId="64" priority="127" stopIfTrue="1" operator="greaterThan">
      <formula>0</formula>
    </cfRule>
  </conditionalFormatting>
  <conditionalFormatting sqref="V19">
    <cfRule type="cellIs" dxfId="63" priority="133" stopIfTrue="1" operator="greaterThan">
      <formula>0</formula>
    </cfRule>
  </conditionalFormatting>
  <conditionalFormatting sqref="AE19:AF19">
    <cfRule type="cellIs" dxfId="62" priority="132" stopIfTrue="1" operator="greaterThan">
      <formula>0</formula>
    </cfRule>
  </conditionalFormatting>
  <conditionalFormatting sqref="G20:H20 AE20:AF20 J20:V20">
    <cfRule type="cellIs" dxfId="61" priority="130" stopIfTrue="1" operator="greaterThan">
      <formula>0</formula>
    </cfRule>
  </conditionalFormatting>
  <conditionalFormatting sqref="W20 Y20:Z20 AB20">
    <cfRule type="cellIs" dxfId="60" priority="129" stopIfTrue="1" operator="greaterThan">
      <formula>0</formula>
    </cfRule>
  </conditionalFormatting>
  <conditionalFormatting sqref="AC20">
    <cfRule type="cellIs" dxfId="59" priority="128" stopIfTrue="1" operator="greaterThan">
      <formula>0</formula>
    </cfRule>
  </conditionalFormatting>
  <conditionalFormatting sqref="AD20:AD21">
    <cfRule type="cellIs" dxfId="58" priority="125" stopIfTrue="1" operator="greaterThan">
      <formula>0</formula>
    </cfRule>
  </conditionalFormatting>
  <conditionalFormatting sqref="W16">
    <cfRule type="cellIs" dxfId="57" priority="114" stopIfTrue="1" operator="greaterThan">
      <formula>0</formula>
    </cfRule>
  </conditionalFormatting>
  <conditionalFormatting sqref="V16">
    <cfRule type="cellIs" dxfId="56" priority="115" stopIfTrue="1" operator="greaterThan">
      <formula>0</formula>
    </cfRule>
  </conditionalFormatting>
  <conditionalFormatting sqref="R16">
    <cfRule type="cellIs" dxfId="55" priority="119" stopIfTrue="1" operator="greaterThan">
      <formula>0</formula>
    </cfRule>
  </conditionalFormatting>
  <conditionalFormatting sqref="S16">
    <cfRule type="cellIs" dxfId="54" priority="118" stopIfTrue="1" operator="greaterThan">
      <formula>0</formula>
    </cfRule>
  </conditionalFormatting>
  <conditionalFormatting sqref="T16">
    <cfRule type="cellIs" dxfId="53" priority="117" stopIfTrue="1" operator="greaterThan">
      <formula>0</formula>
    </cfRule>
  </conditionalFormatting>
  <conditionalFormatting sqref="U16">
    <cfRule type="cellIs" dxfId="52" priority="116" stopIfTrue="1" operator="greaterThan">
      <formula>0</formula>
    </cfRule>
  </conditionalFormatting>
  <conditionalFormatting sqref="X16">
    <cfRule type="cellIs" dxfId="51" priority="113" stopIfTrue="1" operator="greaterThan">
      <formula>0</formula>
    </cfRule>
  </conditionalFormatting>
  <conditionalFormatting sqref="Y16">
    <cfRule type="cellIs" dxfId="50" priority="112" stopIfTrue="1" operator="greaterThan">
      <formula>0</formula>
    </cfRule>
  </conditionalFormatting>
  <conditionalFormatting sqref="Z16">
    <cfRule type="cellIs" dxfId="49" priority="111" stopIfTrue="1" operator="greaterThan">
      <formula>0</formula>
    </cfRule>
  </conditionalFormatting>
  <conditionalFormatting sqref="AB16">
    <cfRule type="cellIs" dxfId="48" priority="109" stopIfTrue="1" operator="greaterThan">
      <formula>0</formula>
    </cfRule>
  </conditionalFormatting>
  <conditionalFormatting sqref="AC16">
    <cfRule type="cellIs" dxfId="47" priority="108" stopIfTrue="1" operator="greaterThan">
      <formula>0</formula>
    </cfRule>
  </conditionalFormatting>
  <conditionalFormatting sqref="AD16">
    <cfRule type="cellIs" dxfId="46" priority="107" stopIfTrue="1" operator="greaterThan">
      <formula>0</formula>
    </cfRule>
  </conditionalFormatting>
  <conditionalFormatting sqref="AE16:AF16">
    <cfRule type="cellIs" dxfId="45" priority="106" stopIfTrue="1" operator="greaterThan">
      <formula>0</formula>
    </cfRule>
  </conditionalFormatting>
  <conditionalFormatting sqref="D23:Z24 D22:J22 M22:Z22 AB22:AF24">
    <cfRule type="cellIs" dxfId="44" priority="64" stopIfTrue="1" operator="greaterThan">
      <formula>0</formula>
    </cfRule>
  </conditionalFormatting>
  <conditionalFormatting sqref="AG13">
    <cfRule type="cellIs" dxfId="43" priority="54" stopIfTrue="1" operator="greaterThan">
      <formula>0</formula>
    </cfRule>
  </conditionalFormatting>
  <conditionalFormatting sqref="AG13">
    <cfRule type="cellIs" dxfId="42" priority="45" stopIfTrue="1" operator="greaterThan">
      <formula>0</formula>
    </cfRule>
  </conditionalFormatting>
  <conditionalFormatting sqref="AG21 AG17:AG18">
    <cfRule type="cellIs" dxfId="41" priority="58" stopIfTrue="1" operator="greaterThan">
      <formula>0</formula>
    </cfRule>
  </conditionalFormatting>
  <conditionalFormatting sqref="AG15">
    <cfRule type="cellIs" dxfId="40" priority="57" stopIfTrue="1" operator="greaterThan">
      <formula>0</formula>
    </cfRule>
  </conditionalFormatting>
  <conditionalFormatting sqref="AG14">
    <cfRule type="cellIs" dxfId="39" priority="56" stopIfTrue="1" operator="greaterThan">
      <formula>0</formula>
    </cfRule>
  </conditionalFormatting>
  <conditionalFormatting sqref="AG19">
    <cfRule type="cellIs" dxfId="38" priority="53" stopIfTrue="1" operator="greaterThan">
      <formula>0</formula>
    </cfRule>
  </conditionalFormatting>
  <conditionalFormatting sqref="AG20">
    <cfRule type="cellIs" dxfId="37" priority="52" stopIfTrue="1" operator="greaterThan">
      <formula>0</formula>
    </cfRule>
  </conditionalFormatting>
  <conditionalFormatting sqref="AG16">
    <cfRule type="cellIs" dxfId="36" priority="51" stopIfTrue="1" operator="greaterThan">
      <formula>0</formula>
    </cfRule>
  </conditionalFormatting>
  <conditionalFormatting sqref="AG21 AG17:AG18">
    <cfRule type="cellIs" dxfId="35" priority="49" stopIfTrue="1" operator="greaterThan">
      <formula>0</formula>
    </cfRule>
  </conditionalFormatting>
  <conditionalFormatting sqref="AG15">
    <cfRule type="cellIs" dxfId="34" priority="48" stopIfTrue="1" operator="greaterThan">
      <formula>0</formula>
    </cfRule>
  </conditionalFormatting>
  <conditionalFormatting sqref="AG14">
    <cfRule type="cellIs" dxfId="33" priority="47" stopIfTrue="1" operator="greaterThan">
      <formula>0</formula>
    </cfRule>
  </conditionalFormatting>
  <conditionalFormatting sqref="AG19">
    <cfRule type="cellIs" dxfId="32" priority="44" stopIfTrue="1" operator="greaterThan">
      <formula>0</formula>
    </cfRule>
  </conditionalFormatting>
  <conditionalFormatting sqref="AG20">
    <cfRule type="cellIs" dxfId="31" priority="43" stopIfTrue="1" operator="greaterThan">
      <formula>0</formula>
    </cfRule>
  </conditionalFormatting>
  <conditionalFormatting sqref="AG16">
    <cfRule type="cellIs" dxfId="30" priority="42" stopIfTrue="1" operator="greaterThan">
      <formula>0</formula>
    </cfRule>
  </conditionalFormatting>
  <conditionalFormatting sqref="AF13">
    <cfRule type="cellIs" dxfId="29" priority="36" stopIfTrue="1" operator="greaterThan">
      <formula>0</formula>
    </cfRule>
  </conditionalFormatting>
  <conditionalFormatting sqref="AF19">
    <cfRule type="cellIs" dxfId="28" priority="35" stopIfTrue="1" operator="greaterThan">
      <formula>0</formula>
    </cfRule>
  </conditionalFormatting>
  <conditionalFormatting sqref="AF23:AF24">
    <cfRule type="cellIs" dxfId="27" priority="32" stopIfTrue="1" operator="greaterThan">
      <formula>0</formula>
    </cfRule>
  </conditionalFormatting>
  <conditionalFormatting sqref="AF21 AF17:AF18">
    <cfRule type="cellIs" dxfId="26" priority="40" stopIfTrue="1" operator="greaterThan">
      <formula>0</formula>
    </cfRule>
  </conditionalFormatting>
  <conditionalFormatting sqref="AF15">
    <cfRule type="cellIs" dxfId="25" priority="39" stopIfTrue="1" operator="greaterThan">
      <formula>0</formula>
    </cfRule>
  </conditionalFormatting>
  <conditionalFormatting sqref="AF14">
    <cfRule type="cellIs" dxfId="24" priority="38" stopIfTrue="1" operator="greaterThan">
      <formula>0</formula>
    </cfRule>
  </conditionalFormatting>
  <conditionalFormatting sqref="AF20">
    <cfRule type="cellIs" dxfId="23" priority="34" stopIfTrue="1" operator="greaterThan">
      <formula>0</formula>
    </cfRule>
  </conditionalFormatting>
  <conditionalFormatting sqref="AF16">
    <cfRule type="cellIs" dxfId="22" priority="33" stopIfTrue="1" operator="greaterThan">
      <formula>0</formula>
    </cfRule>
  </conditionalFormatting>
  <conditionalFormatting sqref="D25:J25 M25:Z25 AB25:AF25">
    <cfRule type="cellIs" dxfId="21" priority="31" stopIfTrue="1" operator="greaterThan">
      <formula>0</formula>
    </cfRule>
  </conditionalFormatting>
  <conditionalFormatting sqref="AG25">
    <cfRule type="cellIs" dxfId="20" priority="29" stopIfTrue="1" operator="greaterThan">
      <formula>0</formula>
    </cfRule>
  </conditionalFormatting>
  <conditionalFormatting sqref="AG25">
    <cfRule type="cellIs" dxfId="19" priority="28" stopIfTrue="1" operator="greaterThan">
      <formula>0</formula>
    </cfRule>
  </conditionalFormatting>
  <conditionalFormatting sqref="AF25">
    <cfRule type="cellIs" dxfId="18" priority="27" stopIfTrue="1" operator="greaterThan">
      <formula>0</formula>
    </cfRule>
  </conditionalFormatting>
  <conditionalFormatting sqref="N21">
    <cfRule type="cellIs" dxfId="17" priority="25" stopIfTrue="1" operator="greaterThan">
      <formula>0</formula>
    </cfRule>
  </conditionalFormatting>
  <conditionalFormatting sqref="O21">
    <cfRule type="cellIs" dxfId="16" priority="24" stopIfTrue="1" operator="greaterThan">
      <formula>0</formula>
    </cfRule>
  </conditionalFormatting>
  <conditionalFormatting sqref="AG22:AG24">
    <cfRule type="cellIs" dxfId="15" priority="23" stopIfTrue="1" operator="greaterThan">
      <formula>0</formula>
    </cfRule>
  </conditionalFormatting>
  <conditionalFormatting sqref="E21:F21">
    <cfRule type="cellIs" dxfId="14" priority="22" stopIfTrue="1" operator="greaterThan">
      <formula>0</formula>
    </cfRule>
  </conditionalFormatting>
  <conditionalFormatting sqref="E20:F20">
    <cfRule type="cellIs" dxfId="13" priority="21" stopIfTrue="1" operator="greaterThan">
      <formula>0</formula>
    </cfRule>
  </conditionalFormatting>
  <conditionalFormatting sqref="I20">
    <cfRule type="cellIs" dxfId="12" priority="20" stopIfTrue="1" operator="greaterThan">
      <formula>0</formula>
    </cfRule>
  </conditionalFormatting>
  <conditionalFormatting sqref="X20">
    <cfRule type="cellIs" dxfId="11" priority="18" stopIfTrue="1" operator="greaterThan">
      <formula>0</formula>
    </cfRule>
  </conditionalFormatting>
  <conditionalFormatting sqref="K37">
    <cfRule type="cellIs" dxfId="10" priority="17" stopIfTrue="1" operator="greaterThan">
      <formula>0</formula>
    </cfRule>
  </conditionalFormatting>
  <conditionalFormatting sqref="L37">
    <cfRule type="cellIs" dxfId="9" priority="16" stopIfTrue="1" operator="greaterThan">
      <formula>0</formula>
    </cfRule>
  </conditionalFormatting>
  <conditionalFormatting sqref="K22">
    <cfRule type="cellIs" dxfId="8" priority="9" stopIfTrue="1" operator="greaterThan">
      <formula>0</formula>
    </cfRule>
  </conditionalFormatting>
  <conditionalFormatting sqref="K25">
    <cfRule type="cellIs" dxfId="7" priority="8" stopIfTrue="1" operator="greaterThan">
      <formula>0</formula>
    </cfRule>
  </conditionalFormatting>
  <conditionalFormatting sqref="L22">
    <cfRule type="cellIs" dxfId="6" priority="7" stopIfTrue="1" operator="greaterThan">
      <formula>0</formula>
    </cfRule>
  </conditionalFormatting>
  <conditionalFormatting sqref="L25">
    <cfRule type="cellIs" dxfId="5" priority="6" stopIfTrue="1" operator="greaterThan">
      <formula>0</formula>
    </cfRule>
  </conditionalFormatting>
  <conditionalFormatting sqref="AH13:AH25">
    <cfRule type="cellIs" dxfId="4" priority="5" stopIfTrue="1" operator="greaterThan">
      <formula>0</formula>
    </cfRule>
  </conditionalFormatting>
  <conditionalFormatting sqref="AH13:AH25">
    <cfRule type="cellIs" dxfId="3" priority="4" stopIfTrue="1" operator="greaterThan">
      <formula>0</formula>
    </cfRule>
  </conditionalFormatting>
  <conditionalFormatting sqref="AL18">
    <cfRule type="cellIs" dxfId="2" priority="3" stopIfTrue="1" operator="greaterThan">
      <formula>0</formula>
    </cfRule>
  </conditionalFormatting>
  <conditionalFormatting sqref="AL18">
    <cfRule type="cellIs" dxfId="1" priority="2" stopIfTrue="1" operator="greaterThan">
      <formula>0</formula>
    </cfRule>
  </conditionalFormatting>
  <conditionalFormatting sqref="AA13:AA25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2022-02-21T03:30:19Z</dcterms:modified>
</cp:coreProperties>
</file>