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5621"/>
</workbook>
</file>

<file path=xl/calcChain.xml><?xml version="1.0" encoding="utf-8"?>
<calcChain xmlns="http://schemas.openxmlformats.org/spreadsheetml/2006/main">
  <c r="E53" i="11" l="1"/>
  <c r="D53" i="11"/>
  <c r="C53" i="11" l="1"/>
  <c r="D52" i="11"/>
  <c r="D51" i="11"/>
  <c r="D42" i="11"/>
  <c r="D41" i="11"/>
  <c r="E51" i="11" l="1"/>
  <c r="E52" i="11"/>
  <c r="E50" i="11"/>
  <c r="C51" i="11" l="1"/>
  <c r="C52" i="11"/>
  <c r="D50" i="11"/>
  <c r="C50" i="11" s="1"/>
  <c r="E41" i="11"/>
  <c r="C41" i="11" s="1"/>
  <c r="E42" i="11"/>
  <c r="C42" i="11" s="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C45" i="11" l="1"/>
  <c r="C49" i="11"/>
  <c r="C47" i="11"/>
  <c r="C43" i="11"/>
  <c r="C48" i="11"/>
  <c r="C46" i="11"/>
  <c r="C44" i="11"/>
  <c r="C58" i="11" l="1"/>
</calcChain>
</file>

<file path=xl/sharedStrings.xml><?xml version="1.0" encoding="utf-8"?>
<sst xmlns="http://schemas.openxmlformats.org/spreadsheetml/2006/main" count="110" uniqueCount="55">
  <si>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</si>
  <si>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</si>
  <si>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</si>
  <si>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</si>
  <si>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</si>
  <si>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</si>
  <si>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</si>
  <si>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</si>
  <si>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</si>
  <si>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</si>
  <si>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</si>
  <si>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</si>
  <si>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</si>
  <si>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</si>
  <si>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</si>
  <si>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</si>
  <si>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</si>
  <si>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</si>
  <si>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</si>
  <si>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</si>
  <si>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</si>
  <si>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</si>
  <si>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</si>
  <si>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</si>
  <si>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</si>
  <si>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</si>
  <si>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</si>
  <si>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</si>
  <si>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</si>
  <si>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</si>
  <si>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</si>
  <si>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</si>
  <si>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</si>
  <si>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</si>
  <si>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</si>
  <si>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</si>
  <si>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</si>
  <si>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</si>
  <si>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</si>
  <si>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</si>
  <si>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</si>
  <si>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</si>
  <si>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</si>
  <si>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</si>
  <si>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</si>
  <si>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</si>
  <si>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</si>
  <si>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</si>
  <si>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</si>
  <si>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</si>
  <si>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</si>
  <si>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 xml:space="preserve">   Intermitten</t>
  </si>
  <si>
    <t xml:space="preserve">   Genset mati di 15k</t>
  </si>
  <si>
    <t>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</si>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</sst>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5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6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6" xfId="0" applyFont="1" applyBorder="1" applyAlignment="1"/>
    <xf numFmtId="164" fontId="6" fillId="0" borderId="26" xfId="0" applyFont="1" applyBorder="1"/>
    <xf numFmtId="21" fontId="6" fillId="0" borderId="26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8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6" fillId="0" borderId="0" xfId="0" applyFont="1" applyFill="1" applyBorder="1"/>
    <xf numFmtId="164" fontId="36" fillId="0" borderId="0" xfId="0" applyFont="1" applyBorder="1" applyAlignment="1">
      <alignment vertical="center" wrapText="1"/>
    </xf>
    <xf numFmtId="164" fontId="36" fillId="0" borderId="24" xfId="0" applyFont="1" applyBorder="1" applyAlignment="1">
      <alignment vertical="center" wrapText="1"/>
    </xf>
    <xf numFmtId="164" fontId="36" fillId="0" borderId="27" xfId="0" applyFont="1" applyBorder="1" applyAlignment="1">
      <alignment vertical="center" wrapText="1"/>
    </xf>
    <xf numFmtId="164" fontId="36" fillId="0" borderId="25" xfId="0" applyFont="1" applyBorder="1" applyAlignment="1">
      <alignment vertical="center" wrapText="1"/>
    </xf>
    <xf numFmtId="164" fontId="39" fillId="0" borderId="26" xfId="0" applyFont="1" applyBorder="1" applyAlignment="1">
      <alignment horizontal="left" vertical="top"/>
    </xf>
    <xf numFmtId="164" fontId="39" fillId="0" borderId="26" xfId="0" applyFont="1" applyBorder="1" applyAlignment="1">
      <alignment horizontal="left" vertical="center"/>
    </xf>
    <xf numFmtId="164" fontId="39" fillId="0" borderId="0" xfId="0" applyFont="1" applyBorder="1" applyAlignment="1">
      <alignment horizontal="left" vertical="top"/>
    </xf>
    <xf numFmtId="164" fontId="38" fillId="0" borderId="26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wrapText="1"/>
    </xf>
    <xf numFmtId="164" fontId="36" fillId="0" borderId="22" xfId="0" applyFont="1" applyBorder="1" applyAlignment="1">
      <alignment horizontal="center" wrapText="1"/>
    </xf>
    <xf numFmtId="164" fontId="36" fillId="0" borderId="23" xfId="0" applyFont="1" applyBorder="1" applyAlignment="1">
      <alignment horizontal="center" wrapText="1"/>
    </xf>
    <xf numFmtId="164" fontId="36" fillId="0" borderId="24" xfId="0" applyFont="1" applyBorder="1" applyAlignment="1">
      <alignment horizont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7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44" sqref="I4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44743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5" t="s">
        <v>2</v>
      </c>
      <c r="B10" s="107" t="s">
        <v>0</v>
      </c>
      <c r="C10" s="107" t="s">
        <v>8</v>
      </c>
      <c r="D10" s="45">
        <v>44378</v>
      </c>
      <c r="E10" s="45">
        <v>44379</v>
      </c>
      <c r="F10" s="45">
        <v>44380</v>
      </c>
      <c r="G10" s="45">
        <v>44381</v>
      </c>
      <c r="H10" s="45">
        <v>44382</v>
      </c>
      <c r="I10" s="45">
        <v>44383</v>
      </c>
      <c r="J10" s="45">
        <v>44384</v>
      </c>
      <c r="K10" s="45">
        <v>44385</v>
      </c>
      <c r="L10" s="45">
        <v>44386</v>
      </c>
      <c r="M10" s="45">
        <v>44387</v>
      </c>
      <c r="N10" s="45">
        <v>44388</v>
      </c>
      <c r="O10" s="45">
        <v>44389</v>
      </c>
      <c r="P10" s="45">
        <v>44390</v>
      </c>
      <c r="Q10" s="45">
        <v>44391</v>
      </c>
      <c r="R10" s="45">
        <v>44392</v>
      </c>
      <c r="S10" s="45">
        <v>44393</v>
      </c>
      <c r="T10" s="45">
        <v>44394</v>
      </c>
      <c r="U10" s="45">
        <v>44395</v>
      </c>
      <c r="V10" s="45">
        <v>44396</v>
      </c>
      <c r="W10" s="45">
        <v>44397</v>
      </c>
      <c r="X10" s="45">
        <v>44398</v>
      </c>
      <c r="Y10" s="45">
        <v>44399</v>
      </c>
      <c r="Z10" s="45">
        <v>44400</v>
      </c>
      <c r="AA10" s="45">
        <v>44401</v>
      </c>
      <c r="AB10" s="45">
        <v>44402</v>
      </c>
      <c r="AC10" s="45">
        <v>44403</v>
      </c>
      <c r="AD10" s="45">
        <v>44404</v>
      </c>
      <c r="AE10" s="45">
        <v>44405</v>
      </c>
      <c r="AF10" s="45">
        <v>44406</v>
      </c>
      <c r="AG10" s="45">
        <v>44407</v>
      </c>
      <c r="AH10" s="89">
        <v>44408</v>
      </c>
    </row>
    <row r="11" spans="1:34" s="1" customFormat="1" x14ac:dyDescent="0.2">
      <c r="A11" s="106"/>
      <c r="B11" s="108"/>
      <c r="C11" s="108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38</v>
      </c>
      <c r="B13" s="32" t="s">
        <v>18</v>
      </c>
      <c r="C13" s="36"/>
      <c r="D13" s="90">
        <v>0</v>
      </c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</row>
    <row r="14" spans="1:34" s="12" customFormat="1" ht="15.75" x14ac:dyDescent="0.25">
      <c r="A14" s="47" t="s">
        <v>29</v>
      </c>
      <c r="B14" s="32" t="s">
        <v>26</v>
      </c>
      <c r="C14" s="36"/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</row>
    <row r="15" spans="1:34" s="12" customFormat="1" ht="15.75" x14ac:dyDescent="0.25">
      <c r="A15" s="47" t="s">
        <v>30</v>
      </c>
      <c r="B15" s="32" t="s">
        <v>19</v>
      </c>
      <c r="C15" s="36"/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</row>
    <row r="16" spans="1:34" s="12" customFormat="1" ht="15.75" x14ac:dyDescent="0.25">
      <c r="A16" s="47" t="s">
        <v>31</v>
      </c>
      <c r="B16" s="32" t="s">
        <v>20</v>
      </c>
      <c r="C16" s="36"/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7.5462962962962966E-3</v>
      </c>
      <c r="Z16" s="90">
        <v>0</v>
      </c>
      <c r="AA16" s="90">
        <v>7.1296296296296307E-3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</row>
    <row r="17" spans="1:38" s="12" customFormat="1" ht="15.75" x14ac:dyDescent="0.25">
      <c r="A17" s="47" t="s">
        <v>32</v>
      </c>
      <c r="B17" s="32" t="s">
        <v>21</v>
      </c>
      <c r="C17" s="36"/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</row>
    <row r="18" spans="1:38" s="12" customFormat="1" ht="15.75" x14ac:dyDescent="0.25">
      <c r="A18" s="47" t="s">
        <v>33</v>
      </c>
      <c r="B18" s="32" t="s">
        <v>22</v>
      </c>
      <c r="C18" s="36"/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L18" s="73"/>
    </row>
    <row r="19" spans="1:38" s="12" customFormat="1" ht="15.75" x14ac:dyDescent="0.25">
      <c r="A19" s="47" t="s">
        <v>34</v>
      </c>
      <c r="B19" s="32" t="s">
        <v>23</v>
      </c>
      <c r="C19" s="36"/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</row>
    <row r="20" spans="1:38" s="12" customFormat="1" ht="15.75" x14ac:dyDescent="0.25">
      <c r="A20" s="47" t="s">
        <v>35</v>
      </c>
      <c r="B20" s="32" t="s">
        <v>27</v>
      </c>
      <c r="C20" s="36"/>
      <c r="D20" s="90">
        <v>0</v>
      </c>
      <c r="E20" s="90">
        <v>9.300925925925925E-2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</row>
    <row r="21" spans="1:38" s="12" customFormat="1" ht="15.75" x14ac:dyDescent="0.25">
      <c r="A21" s="47" t="s">
        <v>36</v>
      </c>
      <c r="B21" s="32" t="s">
        <v>25</v>
      </c>
      <c r="C21" s="36"/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</row>
    <row r="22" spans="1:38" s="12" customFormat="1" ht="15.75" x14ac:dyDescent="0.25">
      <c r="A22" s="47" t="s">
        <v>37</v>
      </c>
      <c r="B22" s="48" t="s">
        <v>24</v>
      </c>
      <c r="C22" s="36"/>
      <c r="D22" s="91">
        <v>0</v>
      </c>
      <c r="E22" s="91">
        <v>0</v>
      </c>
      <c r="F22" s="91">
        <v>0</v>
      </c>
      <c r="G22" s="91">
        <v>0</v>
      </c>
      <c r="H22" s="90">
        <v>0</v>
      </c>
      <c r="I22" s="91">
        <v>0</v>
      </c>
      <c r="J22" s="91">
        <v>0</v>
      </c>
      <c r="K22" s="90">
        <v>0</v>
      </c>
      <c r="L22" s="90">
        <v>0</v>
      </c>
      <c r="M22" s="91">
        <v>0</v>
      </c>
      <c r="N22" s="90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0">
        <v>0</v>
      </c>
      <c r="AB22" s="9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0">
        <v>0</v>
      </c>
    </row>
    <row r="23" spans="1:38" s="12" customFormat="1" ht="15.75" x14ac:dyDescent="0.25">
      <c r="A23" s="47" t="s">
        <v>39</v>
      </c>
      <c r="B23" s="48" t="s">
        <v>40</v>
      </c>
      <c r="C23" s="54"/>
      <c r="D23" s="91">
        <v>0</v>
      </c>
      <c r="E23" s="91">
        <v>0</v>
      </c>
      <c r="F23" s="91">
        <v>0</v>
      </c>
      <c r="G23" s="91">
        <v>0</v>
      </c>
      <c r="H23" s="90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0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1">
        <v>0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0">
        <v>0</v>
      </c>
    </row>
    <row r="24" spans="1:38" s="12" customFormat="1" ht="15.75" x14ac:dyDescent="0.25">
      <c r="A24" s="47" t="s">
        <v>42</v>
      </c>
      <c r="B24" s="48" t="s">
        <v>41</v>
      </c>
      <c r="C24" s="49"/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0">
        <v>0</v>
      </c>
      <c r="AB24" s="91">
        <v>0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0">
        <v>0</v>
      </c>
    </row>
    <row r="25" spans="1:38" s="12" customFormat="1" ht="12.75" customHeight="1" x14ac:dyDescent="0.25">
      <c r="A25" s="47" t="s">
        <v>43</v>
      </c>
      <c r="B25" s="56" t="s">
        <v>46</v>
      </c>
      <c r="C25" s="69"/>
      <c r="D25" s="90">
        <v>0</v>
      </c>
      <c r="E25" s="90">
        <v>9.300925925925925E-2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7.1296296296296307E-3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</row>
    <row r="26" spans="1:38" s="12" customFormat="1" ht="16.5" customHeight="1" x14ac:dyDescent="0.2">
      <c r="A26" s="55"/>
      <c r="B26" s="68"/>
      <c r="C26" s="57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66"/>
    </row>
    <row r="27" spans="1:38" s="12" customFormat="1" ht="16.5" customHeight="1" x14ac:dyDescent="0.2">
      <c r="A27" s="111" t="s">
        <v>17</v>
      </c>
      <c r="B27" s="112"/>
      <c r="C27" s="72">
        <v>44744</v>
      </c>
      <c r="D27" s="104" t="s">
        <v>52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67"/>
    </row>
    <row r="28" spans="1:38" s="12" customFormat="1" ht="16.5" customHeight="1" x14ac:dyDescent="0.2">
      <c r="A28" s="113"/>
      <c r="B28" s="114"/>
      <c r="C28" s="77">
        <v>44761</v>
      </c>
      <c r="D28" s="104" t="s">
        <v>52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66"/>
    </row>
    <row r="29" spans="1:38" s="12" customFormat="1" ht="16.5" customHeight="1" x14ac:dyDescent="0.2">
      <c r="A29" s="113"/>
      <c r="B29" s="114"/>
      <c r="C29" s="77">
        <v>44764</v>
      </c>
      <c r="D29" s="104" t="s">
        <v>51</v>
      </c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67"/>
    </row>
    <row r="30" spans="1:38" s="12" customFormat="1" ht="16.5" customHeight="1" x14ac:dyDescent="0.2">
      <c r="A30" s="113"/>
      <c r="B30" s="114"/>
      <c r="C30" s="77">
        <v>44766</v>
      </c>
      <c r="D30" s="104" t="s">
        <v>51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66"/>
    </row>
    <row r="31" spans="1:38" s="12" customFormat="1" ht="15" customHeight="1" x14ac:dyDescent="0.2">
      <c r="A31" s="94"/>
      <c r="B31" s="95"/>
      <c r="C31" s="88"/>
      <c r="D31" s="98"/>
      <c r="E31" s="98"/>
      <c r="F31" s="98"/>
      <c r="G31" s="98"/>
      <c r="H31" s="98"/>
      <c r="I31" s="98"/>
      <c r="J31" s="98"/>
      <c r="K31" s="98"/>
      <c r="L31" s="98"/>
      <c r="M31" s="83"/>
      <c r="N31" s="83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H31" s="87"/>
    </row>
    <row r="32" spans="1:38" s="12" customFormat="1" ht="15" customHeight="1" x14ac:dyDescent="0.2">
      <c r="A32" s="94"/>
      <c r="B32" s="95"/>
      <c r="C32" s="8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80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66"/>
    </row>
    <row r="33" spans="1:34" s="12" customFormat="1" ht="15" customHeight="1" x14ac:dyDescent="0.2">
      <c r="A33" s="94"/>
      <c r="B33" s="95"/>
      <c r="C33" s="8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66"/>
      <c r="AA33" s="85"/>
      <c r="AB33" s="86"/>
      <c r="AC33" s="85"/>
      <c r="AD33" s="85"/>
      <c r="AE33" s="85"/>
      <c r="AF33" s="85"/>
      <c r="AG33" s="85"/>
      <c r="AH33" s="66"/>
    </row>
    <row r="34" spans="1:34" s="12" customFormat="1" ht="15" x14ac:dyDescent="0.2">
      <c r="A34" s="96"/>
      <c r="B34" s="97"/>
      <c r="C34" s="8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6"/>
      <c r="AC34" s="85"/>
      <c r="AD34" s="85"/>
      <c r="AE34" s="85"/>
      <c r="AF34" s="85"/>
      <c r="AG34" s="85"/>
      <c r="AH34" s="66"/>
    </row>
    <row r="35" spans="1:34" s="12" customFormat="1" ht="15" x14ac:dyDescent="0.2">
      <c r="A35" s="81"/>
      <c r="B35" s="81"/>
      <c r="C35" s="82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15"/>
      <c r="AB35" s="31"/>
    </row>
    <row r="36" spans="1:34" s="12" customFormat="1" ht="15" x14ac:dyDescent="0.2">
      <c r="A36" s="13"/>
      <c r="B36" s="42"/>
      <c r="C36" s="4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15"/>
      <c r="AB36" s="31"/>
    </row>
    <row r="37" spans="1:34" s="12" customFormat="1" x14ac:dyDescent="0.2">
      <c r="A37" s="13"/>
      <c r="D37" s="78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AB37" s="31"/>
    </row>
    <row r="38" spans="1:34" s="12" customFormat="1" x14ac:dyDescent="0.2">
      <c r="A38" s="23" t="s">
        <v>12</v>
      </c>
      <c r="D38" s="14"/>
      <c r="E38" s="15"/>
      <c r="F38" s="15"/>
      <c r="G38" s="15"/>
      <c r="H38" s="15"/>
      <c r="I38" s="15"/>
      <c r="J38" s="15"/>
      <c r="K38" s="58"/>
      <c r="L38" s="58"/>
      <c r="M38" s="15"/>
      <c r="O38" s="15"/>
      <c r="AB38" s="31"/>
    </row>
    <row r="39" spans="1:34" s="12" customFormat="1" x14ac:dyDescent="0.2">
      <c r="A39" s="109" t="s">
        <v>2</v>
      </c>
      <c r="B39" s="109" t="s">
        <v>9</v>
      </c>
      <c r="C39" s="109" t="s">
        <v>1</v>
      </c>
      <c r="D39" s="102" t="s">
        <v>7</v>
      </c>
      <c r="E39" s="103"/>
      <c r="F39" s="15"/>
      <c r="G39" s="15"/>
      <c r="H39" s="15"/>
      <c r="I39" s="15"/>
      <c r="J39" s="15"/>
      <c r="K39" s="59"/>
      <c r="L39" s="59"/>
      <c r="M39" s="15"/>
      <c r="O39" s="15"/>
      <c r="T39" s="12" t="s">
        <v>53</v>
      </c>
      <c r="AB39" s="31"/>
    </row>
    <row r="40" spans="1:34" s="12" customFormat="1" x14ac:dyDescent="0.2">
      <c r="A40" s="110"/>
      <c r="B40" s="110"/>
      <c r="C40" s="110"/>
      <c r="D40" s="27" t="s">
        <v>10</v>
      </c>
      <c r="E40" s="22" t="s">
        <v>11</v>
      </c>
      <c r="F40" s="15"/>
      <c r="G40" s="15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0" t="s">
        <v>38</v>
      </c>
      <c r="B41" s="32" t="s">
        <v>48</v>
      </c>
      <c r="C41" s="37">
        <f t="shared" ref="C41:C49" si="0">1-(((D41*3600)+(LEFT(E41,2)*60)+RIGHT(E41,2))/((60*60*24)*$C$8))</f>
        <v>1</v>
      </c>
      <c r="D41" s="20" t="str">
        <f t="shared" ref="D41:D53" si="1">TEXT(SUM(D13:AG13),"[h]")</f>
        <v>0</v>
      </c>
      <c r="E41" s="20" t="str">
        <f t="shared" ref="E41:E53" si="2">TEXT(SUM(D13:AG13),"mm ss")</f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0" t="s">
        <v>29</v>
      </c>
      <c r="B42" s="32" t="s">
        <v>26</v>
      </c>
      <c r="C42" s="37">
        <f t="shared" si="0"/>
        <v>1</v>
      </c>
      <c r="D42" s="20" t="str">
        <f t="shared" si="1"/>
        <v>0</v>
      </c>
      <c r="E42" s="20" t="str">
        <f t="shared" si="2"/>
        <v>00 00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5"/>
    </row>
    <row r="43" spans="1:34" s="12" customFormat="1" ht="15.75" x14ac:dyDescent="0.25">
      <c r="A43" s="40" t="s">
        <v>30</v>
      </c>
      <c r="B43" s="51" t="s">
        <v>19</v>
      </c>
      <c r="C43" s="37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70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0" t="s">
        <v>31</v>
      </c>
      <c r="B44" s="32" t="s">
        <v>20</v>
      </c>
      <c r="C44" s="37">
        <f t="shared" si="0"/>
        <v>0.99952658303464759</v>
      </c>
      <c r="D44" s="20" t="str">
        <f t="shared" si="1"/>
        <v>0</v>
      </c>
      <c r="E44" s="20" t="str">
        <f t="shared" si="2"/>
        <v>21 08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0" t="s">
        <v>32</v>
      </c>
      <c r="B45" s="32" t="s">
        <v>21</v>
      </c>
      <c r="C45" s="37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S45" s="12" t="s">
        <v>54</v>
      </c>
    </row>
    <row r="46" spans="1:34" s="12" customFormat="1" ht="15.75" x14ac:dyDescent="0.25">
      <c r="A46" s="40" t="s">
        <v>33</v>
      </c>
      <c r="B46" s="32" t="s">
        <v>22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71"/>
      <c r="K46" s="15"/>
      <c r="L46" s="15"/>
      <c r="M46" s="15"/>
      <c r="O46" s="15"/>
    </row>
    <row r="47" spans="1:34" s="12" customFormat="1" ht="15.75" x14ac:dyDescent="0.25">
      <c r="A47" s="40" t="s">
        <v>34</v>
      </c>
      <c r="B47" s="32" t="s">
        <v>28</v>
      </c>
      <c r="C47" s="37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0" t="s">
        <v>35</v>
      </c>
      <c r="B48" s="32" t="s">
        <v>27</v>
      </c>
      <c r="C48" s="37">
        <f t="shared" si="0"/>
        <v>0.99699970131421745</v>
      </c>
      <c r="D48" s="20" t="str">
        <f t="shared" si="1"/>
        <v>2</v>
      </c>
      <c r="E48" s="20" t="str">
        <f t="shared" si="2"/>
        <v>13 56</v>
      </c>
      <c r="F48" s="15"/>
      <c r="G48" s="21"/>
      <c r="H48" s="15"/>
      <c r="I48" s="15"/>
      <c r="J48" s="15"/>
      <c r="K48" s="15"/>
      <c r="L48" s="15"/>
      <c r="M48" s="15"/>
      <c r="N48" s="15"/>
      <c r="O48" s="61"/>
    </row>
    <row r="49" spans="1:32" s="12" customFormat="1" ht="15.75" x14ac:dyDescent="0.25">
      <c r="A49" s="40" t="s">
        <v>36</v>
      </c>
      <c r="B49" s="32" t="s">
        <v>25</v>
      </c>
      <c r="C49" s="37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1"/>
    </row>
    <row r="50" spans="1:32" s="12" customFormat="1" ht="15.75" x14ac:dyDescent="0.25">
      <c r="A50" s="40" t="s">
        <v>37</v>
      </c>
      <c r="B50" s="32" t="s">
        <v>24</v>
      </c>
      <c r="C50" s="33">
        <f>1-(((D50*3600)+(LEFT(E50,2)*60)+RIGHT(E50,2))/((60*60*24)*$C$8))</f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1"/>
    </row>
    <row r="51" spans="1:32" s="12" customFormat="1" ht="15.75" x14ac:dyDescent="0.25">
      <c r="A51" s="40" t="s">
        <v>39</v>
      </c>
      <c r="B51" s="32" t="s">
        <v>44</v>
      </c>
      <c r="C51" s="33">
        <f t="shared" ref="C51:C53" si="3"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1"/>
    </row>
    <row r="52" spans="1:32" s="16" customFormat="1" ht="15.75" x14ac:dyDescent="0.25">
      <c r="A52" s="40" t="s">
        <v>42</v>
      </c>
      <c r="B52" s="32" t="s">
        <v>45</v>
      </c>
      <c r="C52" s="33">
        <f t="shared" si="3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2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60" t="s">
        <v>43</v>
      </c>
      <c r="B53" s="32" t="s">
        <v>47</v>
      </c>
      <c r="C53" s="33">
        <f t="shared" si="3"/>
        <v>0.99676971326164876</v>
      </c>
      <c r="D53" s="20" t="str">
        <f t="shared" si="1"/>
        <v>2</v>
      </c>
      <c r="E53" s="20" t="str">
        <f t="shared" si="2"/>
        <v>24 12</v>
      </c>
      <c r="F53" s="15"/>
      <c r="G53" s="21"/>
      <c r="H53" s="15"/>
      <c r="I53" s="15"/>
      <c r="J53" s="15"/>
      <c r="K53" s="15"/>
      <c r="L53" s="61"/>
      <c r="M53" s="61"/>
      <c r="N53" s="61"/>
      <c r="O53" s="63"/>
    </row>
    <row r="54" spans="1:32" ht="15.75" x14ac:dyDescent="0.25">
      <c r="A54" s="50"/>
      <c r="B54" s="51"/>
      <c r="C54" s="52"/>
      <c r="D54" s="53"/>
      <c r="E54" s="53"/>
      <c r="F54" s="15"/>
      <c r="G54" s="21"/>
      <c r="H54" s="15"/>
      <c r="I54" s="15"/>
      <c r="J54" s="15"/>
      <c r="K54" s="15"/>
      <c r="L54" s="61"/>
      <c r="M54" s="61"/>
      <c r="N54" s="61"/>
      <c r="O54" s="63"/>
    </row>
    <row r="55" spans="1:32" x14ac:dyDescent="0.2">
      <c r="A55" s="13"/>
      <c r="B55" s="12"/>
      <c r="C55" s="26"/>
      <c r="D55" s="25"/>
      <c r="E55" s="15"/>
      <c r="F55" s="15"/>
      <c r="G55" s="15"/>
      <c r="H55" s="15"/>
      <c r="I55" s="15"/>
      <c r="J55" s="15"/>
      <c r="K55" s="15"/>
      <c r="L55" s="61"/>
      <c r="M55" s="61"/>
      <c r="N55" s="61"/>
      <c r="O55" s="63"/>
    </row>
    <row r="56" spans="1:32" x14ac:dyDescent="0.2">
      <c r="A56" s="13"/>
      <c r="B56" s="12"/>
      <c r="C56" s="12"/>
      <c r="D56" s="14"/>
      <c r="E56" s="15"/>
      <c r="F56" s="15"/>
      <c r="G56" s="15"/>
      <c r="H56" s="15"/>
      <c r="I56" s="15"/>
      <c r="J56" s="15"/>
      <c r="K56" s="15"/>
      <c r="L56" s="61"/>
      <c r="M56" s="61"/>
      <c r="N56" s="61"/>
      <c r="O56" s="63"/>
    </row>
    <row r="57" spans="1:32" x14ac:dyDescent="0.2">
      <c r="A57" s="14"/>
      <c r="B57" s="24" t="s">
        <v>13</v>
      </c>
      <c r="C57" s="19"/>
      <c r="D57" s="18"/>
      <c r="E57" s="18"/>
      <c r="F57" s="18"/>
      <c r="G57" s="18"/>
      <c r="H57" s="18"/>
      <c r="I57" s="18"/>
      <c r="J57" s="18"/>
      <c r="K57" s="18"/>
      <c r="L57" s="62"/>
      <c r="M57" s="62"/>
      <c r="N57" s="62"/>
      <c r="O57" s="63"/>
    </row>
    <row r="58" spans="1:32" x14ac:dyDescent="0.2">
      <c r="A58"/>
      <c r="B58" s="12" t="s">
        <v>16</v>
      </c>
      <c r="C58" s="27">
        <f>(SUM(C41:C53))/(100%*13)</f>
        <v>0.99948430750850104</v>
      </c>
      <c r="G58" s="38"/>
      <c r="L58" s="63"/>
      <c r="M58" s="63"/>
      <c r="N58" s="63"/>
      <c r="O58" s="63"/>
    </row>
    <row r="59" spans="1:32" x14ac:dyDescent="0.2">
      <c r="C59" s="74"/>
      <c r="L59" s="63"/>
      <c r="M59" s="63"/>
      <c r="N59" s="63"/>
    </row>
    <row r="60" spans="1:32" x14ac:dyDescent="0.2">
      <c r="B60" s="12"/>
      <c r="C60" s="74"/>
      <c r="L60" s="63"/>
      <c r="M60" s="63"/>
      <c r="N60" s="63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93"/>
      <c r="C61" s="74"/>
      <c r="L61" s="63"/>
      <c r="M61" s="63"/>
      <c r="N61" s="63"/>
    </row>
    <row r="62" spans="1:32" x14ac:dyDescent="0.2">
      <c r="B62" s="12"/>
      <c r="C62" s="74"/>
      <c r="L62" s="63"/>
      <c r="M62" s="63"/>
      <c r="N62" s="63"/>
    </row>
    <row r="63" spans="1:32" x14ac:dyDescent="0.2">
      <c r="B63" s="12"/>
      <c r="C63" s="74"/>
      <c r="L63" s="63"/>
      <c r="M63" s="63"/>
      <c r="N63" s="63"/>
    </row>
    <row r="64" spans="1:32" x14ac:dyDescent="0.2">
      <c r="B64" s="92"/>
      <c r="C64" s="74"/>
      <c r="D64" s="76"/>
      <c r="E64" s="75" t="s">
        <v>50</v>
      </c>
    </row>
    <row r="65" spans="1:32" x14ac:dyDescent="0.2">
      <c r="A65"/>
      <c r="B65" s="92"/>
      <c r="C65" s="74"/>
      <c r="D65" s="76"/>
    </row>
    <row r="66" spans="1:32" x14ac:dyDescent="0.2">
      <c r="B66" s="92"/>
      <c r="C66" s="74"/>
      <c r="D66" s="76"/>
    </row>
    <row r="67" spans="1:32" x14ac:dyDescent="0.2">
      <c r="B67" s="92"/>
      <c r="C67" s="74"/>
      <c r="D67" s="76"/>
    </row>
    <row r="68" spans="1:32" x14ac:dyDescent="0.2">
      <c r="B68" s="92"/>
      <c r="C68" s="74"/>
      <c r="D68" s="76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74"/>
      <c r="C69" s="74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2"/>
      <c r="C70" s="74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2"/>
      <c r="C71" s="74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B72" s="92"/>
      <c r="C72" s="74"/>
    </row>
    <row r="73" spans="1:32" x14ac:dyDescent="0.2">
      <c r="A73"/>
      <c r="B73" s="92"/>
      <c r="C73" s="74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2"/>
      <c r="C74" s="74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2"/>
      <c r="C75" s="74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A76"/>
      <c r="B76" s="92"/>
      <c r="C76" s="74"/>
      <c r="D76"/>
      <c r="E76" s="28"/>
      <c r="F76" s="29"/>
      <c r="G76" s="29"/>
      <c r="H76" s="29"/>
      <c r="I76" s="29"/>
      <c r="J76" s="29"/>
      <c r="K76" s="29"/>
      <c r="L76" s="29"/>
      <c r="M76" s="29"/>
      <c r="N76" s="29"/>
    </row>
    <row r="77" spans="1:32" x14ac:dyDescent="0.2">
      <c r="B77" s="79"/>
    </row>
  </sheetData>
  <mergeCells count="18">
    <mergeCell ref="A10:A11"/>
    <mergeCell ref="B10:B11"/>
    <mergeCell ref="C10:C11"/>
    <mergeCell ref="A39:A40"/>
    <mergeCell ref="B39:B40"/>
    <mergeCell ref="C39:C40"/>
    <mergeCell ref="A27:B30"/>
    <mergeCell ref="D31:L31"/>
    <mergeCell ref="D32:M32"/>
    <mergeCell ref="D34:N34"/>
    <mergeCell ref="F42:N42"/>
    <mergeCell ref="D26:AG26"/>
    <mergeCell ref="D39:E39"/>
    <mergeCell ref="D27:AG27"/>
    <mergeCell ref="D28:AG28"/>
    <mergeCell ref="D29:AG29"/>
    <mergeCell ref="D30:AG30"/>
    <mergeCell ref="D33:N33"/>
  </mergeCells>
  <phoneticPr fontId="9" type="noConversion"/>
  <conditionalFormatting sqref="D15:F15 G21 AE18:AF18 AE21:AF21 P21:Z21 AB21:AC21 AC17:AF17 D13:D21 O17:Z17 D18:K18 I21:M21 D17:F17 H17:K17 M17:M18">
    <cfRule type="cellIs" dxfId="111" priority="262" stopIfTrue="1" operator="greaterThan">
      <formula>0</formula>
    </cfRule>
  </conditionalFormatting>
  <conditionalFormatting sqref="I15:M15">
    <cfRule type="cellIs" dxfId="110" priority="261" stopIfTrue="1" operator="greaterThan">
      <formula>0</formula>
    </cfRule>
  </conditionalFormatting>
  <conditionalFormatting sqref="W18:Z18 O15:Z15 O18:U18 AB15:AD15 AB18:AC18">
    <cfRule type="cellIs" dxfId="109" priority="260" stopIfTrue="1" operator="greaterThan">
      <formula>0</formula>
    </cfRule>
  </conditionalFormatting>
  <conditionalFormatting sqref="G15">
    <cfRule type="cellIs" dxfId="108" priority="254" stopIfTrue="1" operator="greaterThan">
      <formula>0</formula>
    </cfRule>
  </conditionalFormatting>
  <conditionalFormatting sqref="H15">
    <cfRule type="cellIs" dxfId="107" priority="247" stopIfTrue="1" operator="greaterThan">
      <formula>0</formula>
    </cfRule>
  </conditionalFormatting>
  <conditionalFormatting sqref="AD18">
    <cfRule type="cellIs" dxfId="106" priority="246" stopIfTrue="1" operator="greaterThan">
      <formula>0</formula>
    </cfRule>
  </conditionalFormatting>
  <conditionalFormatting sqref="V18">
    <cfRule type="cellIs" dxfId="105" priority="241" stopIfTrue="1" operator="greaterThan">
      <formula>0</formula>
    </cfRule>
  </conditionalFormatting>
  <conditionalFormatting sqref="AE15:AF15">
    <cfRule type="cellIs" dxfId="104" priority="238" stopIfTrue="1" operator="greaterThan">
      <formula>0</formula>
    </cfRule>
  </conditionalFormatting>
  <conditionalFormatting sqref="D14:F14">
    <cfRule type="cellIs" dxfId="103" priority="232" stopIfTrue="1" operator="greaterThan">
      <formula>0</formula>
    </cfRule>
  </conditionalFormatting>
  <conditionalFormatting sqref="I14:M14">
    <cfRule type="cellIs" dxfId="102" priority="231" stopIfTrue="1" operator="greaterThan">
      <formula>0</formula>
    </cfRule>
  </conditionalFormatting>
  <conditionalFormatting sqref="O14:Z14 AB14:AD14">
    <cfRule type="cellIs" dxfId="101" priority="230" stopIfTrue="1" operator="greaterThan">
      <formula>0</formula>
    </cfRule>
  </conditionalFormatting>
  <conditionalFormatting sqref="G14">
    <cfRule type="cellIs" dxfId="100" priority="229" stopIfTrue="1" operator="greaterThan">
      <formula>0</formula>
    </cfRule>
  </conditionalFormatting>
  <conditionalFormatting sqref="H14">
    <cfRule type="cellIs" dxfId="99" priority="227" stopIfTrue="1" operator="greaterThan">
      <formula>0</formula>
    </cfRule>
  </conditionalFormatting>
  <conditionalFormatting sqref="AE14:AF14">
    <cfRule type="cellIs" dxfId="98" priority="226" stopIfTrue="1" operator="greaterThan">
      <formula>0</formula>
    </cfRule>
  </conditionalFormatting>
  <conditionalFormatting sqref="D13:F13">
    <cfRule type="cellIs" dxfId="97" priority="216" stopIfTrue="1" operator="greaterThan">
      <formula>0</formula>
    </cfRule>
  </conditionalFormatting>
  <conditionalFormatting sqref="D16:F16">
    <cfRule type="cellIs" dxfId="96" priority="208" stopIfTrue="1" operator="greaterThan">
      <formula>0</formula>
    </cfRule>
  </conditionalFormatting>
  <conditionalFormatting sqref="I13:M13">
    <cfRule type="cellIs" dxfId="95" priority="215" stopIfTrue="1" operator="greaterThan">
      <formula>0</formula>
    </cfRule>
  </conditionalFormatting>
  <conditionalFormatting sqref="O13:Z13 AB13:AD13">
    <cfRule type="cellIs" dxfId="94" priority="214" stopIfTrue="1" operator="greaterThan">
      <formula>0</formula>
    </cfRule>
  </conditionalFormatting>
  <conditionalFormatting sqref="G13">
    <cfRule type="cellIs" dxfId="93" priority="213" stopIfTrue="1" operator="greaterThan">
      <formula>0</formula>
    </cfRule>
  </conditionalFormatting>
  <conditionalFormatting sqref="H13">
    <cfRule type="cellIs" dxfId="92" priority="211" stopIfTrue="1" operator="greaterThan">
      <formula>0</formula>
    </cfRule>
  </conditionalFormatting>
  <conditionalFormatting sqref="AE13:AF13">
    <cfRule type="cellIs" dxfId="91" priority="210" stopIfTrue="1" operator="greaterThan">
      <formula>0</formula>
    </cfRule>
  </conditionalFormatting>
  <conditionalFormatting sqref="I16:K16 M16">
    <cfRule type="cellIs" dxfId="90" priority="207" stopIfTrue="1" operator="greaterThan">
      <formula>0</formula>
    </cfRule>
  </conditionalFormatting>
  <conditionalFormatting sqref="O16:Q16">
    <cfRule type="cellIs" dxfId="89" priority="206" stopIfTrue="1" operator="greaterThan">
      <formula>0</formula>
    </cfRule>
  </conditionalFormatting>
  <conditionalFormatting sqref="G16">
    <cfRule type="cellIs" dxfId="88" priority="205" stopIfTrue="1" operator="greaterThan">
      <formula>0</formula>
    </cfRule>
  </conditionalFormatting>
  <conditionalFormatting sqref="H16">
    <cfRule type="cellIs" dxfId="87" priority="203" stopIfTrue="1" operator="greaterThan">
      <formula>0</formula>
    </cfRule>
  </conditionalFormatting>
  <conditionalFormatting sqref="D19:F19">
    <cfRule type="cellIs" dxfId="86" priority="188" stopIfTrue="1" operator="greaterThan">
      <formula>0</formula>
    </cfRule>
  </conditionalFormatting>
  <conditionalFormatting sqref="I19:K19 M19">
    <cfRule type="cellIs" dxfId="85" priority="187" stopIfTrue="1" operator="greaterThan">
      <formula>0</formula>
    </cfRule>
  </conditionalFormatting>
  <conditionalFormatting sqref="O19:U19 W19:Z19 AB19:AC19">
    <cfRule type="cellIs" dxfId="84" priority="186" stopIfTrue="1" operator="greaterThan">
      <formula>0</formula>
    </cfRule>
  </conditionalFormatting>
  <conditionalFormatting sqref="G19">
    <cfRule type="cellIs" dxfId="83" priority="185" stopIfTrue="1" operator="greaterThan">
      <formula>0</formula>
    </cfRule>
  </conditionalFormatting>
  <conditionalFormatting sqref="H19">
    <cfRule type="cellIs" dxfId="82" priority="183" stopIfTrue="1" operator="greaterThan">
      <formula>0</formula>
    </cfRule>
  </conditionalFormatting>
  <conditionalFormatting sqref="AD19">
    <cfRule type="cellIs" dxfId="81" priority="182" stopIfTrue="1" operator="greaterThan">
      <formula>0</formula>
    </cfRule>
  </conditionalFormatting>
  <conditionalFormatting sqref="D20">
    <cfRule type="cellIs" dxfId="80" priority="174" stopIfTrue="1" operator="greaterThan">
      <formula>0</formula>
    </cfRule>
  </conditionalFormatting>
  <conditionalFormatting sqref="V19">
    <cfRule type="cellIs" dxfId="79" priority="180" stopIfTrue="1" operator="greaterThan">
      <formula>0</formula>
    </cfRule>
  </conditionalFormatting>
  <conditionalFormatting sqref="AE19:AF19">
    <cfRule type="cellIs" dxfId="78" priority="179" stopIfTrue="1" operator="greaterThan">
      <formula>0</formula>
    </cfRule>
  </conditionalFormatting>
  <conditionalFormatting sqref="G20 AE20:AF20 K20 O20:S20 M20 U20:V20">
    <cfRule type="cellIs" dxfId="77" priority="177" stopIfTrue="1" operator="greaterThan">
      <formula>0</formula>
    </cfRule>
  </conditionalFormatting>
  <conditionalFormatting sqref="W20 Y20:Z20">
    <cfRule type="cellIs" dxfId="76" priority="176" stopIfTrue="1" operator="greaterThan">
      <formula>0</formula>
    </cfRule>
  </conditionalFormatting>
  <conditionalFormatting sqref="AC20">
    <cfRule type="cellIs" dxfId="75" priority="175" stopIfTrue="1" operator="greaterThan">
      <formula>0</formula>
    </cfRule>
  </conditionalFormatting>
  <conditionalFormatting sqref="AD20:AD21">
    <cfRule type="cellIs" dxfId="74" priority="172" stopIfTrue="1" operator="greaterThan">
      <formula>0</formula>
    </cfRule>
  </conditionalFormatting>
  <conditionalFormatting sqref="W16">
    <cfRule type="cellIs" dxfId="73" priority="161" stopIfTrue="1" operator="greaterThan">
      <formula>0</formula>
    </cfRule>
  </conditionalFormatting>
  <conditionalFormatting sqref="V16">
    <cfRule type="cellIs" dxfId="72" priority="162" stopIfTrue="1" operator="greaterThan">
      <formula>0</formula>
    </cfRule>
  </conditionalFormatting>
  <conditionalFormatting sqref="R16">
    <cfRule type="cellIs" dxfId="71" priority="166" stopIfTrue="1" operator="greaterThan">
      <formula>0</formula>
    </cfRule>
  </conditionalFormatting>
  <conditionalFormatting sqref="S16">
    <cfRule type="cellIs" dxfId="70" priority="165" stopIfTrue="1" operator="greaterThan">
      <formula>0</formula>
    </cfRule>
  </conditionalFormatting>
  <conditionalFormatting sqref="T16">
    <cfRule type="cellIs" dxfId="69" priority="164" stopIfTrue="1" operator="greaterThan">
      <formula>0</formula>
    </cfRule>
  </conditionalFormatting>
  <conditionalFormatting sqref="U16">
    <cfRule type="cellIs" dxfId="68" priority="163" stopIfTrue="1" operator="greaterThan">
      <formula>0</formula>
    </cfRule>
  </conditionalFormatting>
  <conditionalFormatting sqref="X16">
    <cfRule type="cellIs" dxfId="67" priority="160" stopIfTrue="1" operator="greaterThan">
      <formula>0</formula>
    </cfRule>
  </conditionalFormatting>
  <conditionalFormatting sqref="Y16">
    <cfRule type="cellIs" dxfId="66" priority="159" stopIfTrue="1" operator="greaterThan">
      <formula>0</formula>
    </cfRule>
  </conditionalFormatting>
  <conditionalFormatting sqref="Z16">
    <cfRule type="cellIs" dxfId="65" priority="158" stopIfTrue="1" operator="greaterThan">
      <formula>0</formula>
    </cfRule>
  </conditionalFormatting>
  <conditionalFormatting sqref="AB16">
    <cfRule type="cellIs" dxfId="64" priority="156" stopIfTrue="1" operator="greaterThan">
      <formula>0</formula>
    </cfRule>
  </conditionalFormatting>
  <conditionalFormatting sqref="AC16">
    <cfRule type="cellIs" dxfId="63" priority="155" stopIfTrue="1" operator="greaterThan">
      <formula>0</formula>
    </cfRule>
  </conditionalFormatting>
  <conditionalFormatting sqref="AD16">
    <cfRule type="cellIs" dxfId="62" priority="154" stopIfTrue="1" operator="greaterThan">
      <formula>0</formula>
    </cfRule>
  </conditionalFormatting>
  <conditionalFormatting sqref="AE16:AF16">
    <cfRule type="cellIs" dxfId="61" priority="153" stopIfTrue="1" operator="greaterThan">
      <formula>0</formula>
    </cfRule>
  </conditionalFormatting>
  <conditionalFormatting sqref="M22 AB22:AF24 O22:Z22 D24:Z24 D22:G23 I23:Q23 I22:J22 S23:Z23">
    <cfRule type="cellIs" dxfId="60" priority="111" stopIfTrue="1" operator="greaterThan">
      <formula>0</formula>
    </cfRule>
  </conditionalFormatting>
  <conditionalFormatting sqref="AG13">
    <cfRule type="cellIs" dxfId="59" priority="101" stopIfTrue="1" operator="greaterThan">
      <formula>0</formula>
    </cfRule>
  </conditionalFormatting>
  <conditionalFormatting sqref="AG13">
    <cfRule type="cellIs" dxfId="58" priority="92" stopIfTrue="1" operator="greaterThan">
      <formula>0</formula>
    </cfRule>
  </conditionalFormatting>
  <conditionalFormatting sqref="AG21 AG17:AG18">
    <cfRule type="cellIs" dxfId="57" priority="105" stopIfTrue="1" operator="greaterThan">
      <formula>0</formula>
    </cfRule>
  </conditionalFormatting>
  <conditionalFormatting sqref="AG15">
    <cfRule type="cellIs" dxfId="56" priority="104" stopIfTrue="1" operator="greaterThan">
      <formula>0</formula>
    </cfRule>
  </conditionalFormatting>
  <conditionalFormatting sqref="AG14">
    <cfRule type="cellIs" dxfId="55" priority="103" stopIfTrue="1" operator="greaterThan">
      <formula>0</formula>
    </cfRule>
  </conditionalFormatting>
  <conditionalFormatting sqref="AG19">
    <cfRule type="cellIs" dxfId="54" priority="100" stopIfTrue="1" operator="greaterThan">
      <formula>0</formula>
    </cfRule>
  </conditionalFormatting>
  <conditionalFormatting sqref="AG16">
    <cfRule type="cellIs" dxfId="53" priority="98" stopIfTrue="1" operator="greaterThan">
      <formula>0</formula>
    </cfRule>
  </conditionalFormatting>
  <conditionalFormatting sqref="AG21 AG17:AG18">
    <cfRule type="cellIs" dxfId="52" priority="96" stopIfTrue="1" operator="greaterThan">
      <formula>0</formula>
    </cfRule>
  </conditionalFormatting>
  <conditionalFormatting sqref="AG15">
    <cfRule type="cellIs" dxfId="51" priority="95" stopIfTrue="1" operator="greaterThan">
      <formula>0</formula>
    </cfRule>
  </conditionalFormatting>
  <conditionalFormatting sqref="AG14">
    <cfRule type="cellIs" dxfId="50" priority="94" stopIfTrue="1" operator="greaterThan">
      <formula>0</formula>
    </cfRule>
  </conditionalFormatting>
  <conditionalFormatting sqref="AG19">
    <cfRule type="cellIs" dxfId="49" priority="91" stopIfTrue="1" operator="greaterThan">
      <formula>0</formula>
    </cfRule>
  </conditionalFormatting>
  <conditionalFormatting sqref="AG16">
    <cfRule type="cellIs" dxfId="48" priority="89" stopIfTrue="1" operator="greaterThan">
      <formula>0</formula>
    </cfRule>
  </conditionalFormatting>
  <conditionalFormatting sqref="AF13">
    <cfRule type="cellIs" dxfId="47" priority="83" stopIfTrue="1" operator="greaterThan">
      <formula>0</formula>
    </cfRule>
  </conditionalFormatting>
  <conditionalFormatting sqref="AF19">
    <cfRule type="cellIs" dxfId="46" priority="82" stopIfTrue="1" operator="greaterThan">
      <formula>0</formula>
    </cfRule>
  </conditionalFormatting>
  <conditionalFormatting sqref="AF23:AF24">
    <cfRule type="cellIs" dxfId="45" priority="79" stopIfTrue="1" operator="greaterThan">
      <formula>0</formula>
    </cfRule>
  </conditionalFormatting>
  <conditionalFormatting sqref="AF21 AF17:AF18">
    <cfRule type="cellIs" dxfId="44" priority="87" stopIfTrue="1" operator="greaterThan">
      <formula>0</formula>
    </cfRule>
  </conditionalFormatting>
  <conditionalFormatting sqref="AF15">
    <cfRule type="cellIs" dxfId="43" priority="86" stopIfTrue="1" operator="greaterThan">
      <formula>0</formula>
    </cfRule>
  </conditionalFormatting>
  <conditionalFormatting sqref="AF14">
    <cfRule type="cellIs" dxfId="42" priority="85" stopIfTrue="1" operator="greaterThan">
      <formula>0</formula>
    </cfRule>
  </conditionalFormatting>
  <conditionalFormatting sqref="AF20">
    <cfRule type="cellIs" dxfId="41" priority="81" stopIfTrue="1" operator="greaterThan">
      <formula>0</formula>
    </cfRule>
  </conditionalFormatting>
  <conditionalFormatting sqref="AF16">
    <cfRule type="cellIs" dxfId="40" priority="80" stopIfTrue="1" operator="greaterThan">
      <formula>0</formula>
    </cfRule>
  </conditionalFormatting>
  <conditionalFormatting sqref="D25:I25 M25:Z25 AB25:AF25">
    <cfRule type="cellIs" dxfId="39" priority="78" stopIfTrue="1" operator="greaterThan">
      <formula>0</formula>
    </cfRule>
  </conditionalFormatting>
  <conditionalFormatting sqref="AG25">
    <cfRule type="cellIs" dxfId="38" priority="76" stopIfTrue="1" operator="greaterThan">
      <formula>0</formula>
    </cfRule>
  </conditionalFormatting>
  <conditionalFormatting sqref="AG25">
    <cfRule type="cellIs" dxfId="37" priority="75" stopIfTrue="1" operator="greaterThan">
      <formula>0</formula>
    </cfRule>
  </conditionalFormatting>
  <conditionalFormatting sqref="AF25">
    <cfRule type="cellIs" dxfId="36" priority="74" stopIfTrue="1" operator="greaterThan">
      <formula>0</formula>
    </cfRule>
  </conditionalFormatting>
  <conditionalFormatting sqref="O21">
    <cfRule type="cellIs" dxfId="35" priority="71" stopIfTrue="1" operator="greaterThan">
      <formula>0</formula>
    </cfRule>
  </conditionalFormatting>
  <conditionalFormatting sqref="AG22:AG24">
    <cfRule type="cellIs" dxfId="34" priority="70" stopIfTrue="1" operator="greaterThan">
      <formula>0</formula>
    </cfRule>
  </conditionalFormatting>
  <conditionalFormatting sqref="E21:F21">
    <cfRule type="cellIs" dxfId="33" priority="69" stopIfTrue="1" operator="greaterThan">
      <formula>0</formula>
    </cfRule>
  </conditionalFormatting>
  <conditionalFormatting sqref="F20">
    <cfRule type="cellIs" dxfId="32" priority="68" stopIfTrue="1" operator="greaterThan">
      <formula>0</formula>
    </cfRule>
  </conditionalFormatting>
  <conditionalFormatting sqref="I20">
    <cfRule type="cellIs" dxfId="31" priority="67" stopIfTrue="1" operator="greaterThan">
      <formula>0</formula>
    </cfRule>
  </conditionalFormatting>
  <conditionalFormatting sqref="X20">
    <cfRule type="cellIs" dxfId="30" priority="65" stopIfTrue="1" operator="greaterThan">
      <formula>0</formula>
    </cfRule>
  </conditionalFormatting>
  <conditionalFormatting sqref="K38">
    <cfRule type="cellIs" dxfId="29" priority="64" stopIfTrue="1" operator="greaterThan">
      <formula>0</formula>
    </cfRule>
  </conditionalFormatting>
  <conditionalFormatting sqref="L38">
    <cfRule type="cellIs" dxfId="28" priority="63" stopIfTrue="1" operator="greaterThan">
      <formula>0</formula>
    </cfRule>
  </conditionalFormatting>
  <conditionalFormatting sqref="K22">
    <cfRule type="cellIs" dxfId="27" priority="56" stopIfTrue="1" operator="greaterThan">
      <formula>0</formula>
    </cfRule>
  </conditionalFormatting>
  <conditionalFormatting sqref="K25">
    <cfRule type="cellIs" dxfId="26" priority="55" stopIfTrue="1" operator="greaterThan">
      <formula>0</formula>
    </cfRule>
  </conditionalFormatting>
  <conditionalFormatting sqref="L22">
    <cfRule type="cellIs" dxfId="25" priority="54" stopIfTrue="1" operator="greaterThan">
      <formula>0</formula>
    </cfRule>
  </conditionalFormatting>
  <conditionalFormatting sqref="AH13:AH25">
    <cfRule type="cellIs" dxfId="24" priority="52" stopIfTrue="1" operator="greaterThan">
      <formula>0</formula>
    </cfRule>
  </conditionalFormatting>
  <conditionalFormatting sqref="AH13:AH25">
    <cfRule type="cellIs" dxfId="23" priority="51" stopIfTrue="1" operator="greaterThan">
      <formula>0</formula>
    </cfRule>
  </conditionalFormatting>
  <conditionalFormatting sqref="AL18">
    <cfRule type="cellIs" dxfId="22" priority="50" stopIfTrue="1" operator="greaterThan">
      <formula>0</formula>
    </cfRule>
  </conditionalFormatting>
  <conditionalFormatting sqref="AL18">
    <cfRule type="cellIs" dxfId="21" priority="49" stopIfTrue="1" operator="greaterThan">
      <formula>0</formula>
    </cfRule>
  </conditionalFormatting>
  <conditionalFormatting sqref="AA13:AA22 AA24:AA25">
    <cfRule type="cellIs" dxfId="20" priority="48" stopIfTrue="1" operator="greaterThan">
      <formula>0</formula>
    </cfRule>
  </conditionalFormatting>
  <conditionalFormatting sqref="AA23">
    <cfRule type="cellIs" dxfId="19" priority="46" stopIfTrue="1" operator="greaterThan">
      <formula>0</formula>
    </cfRule>
  </conditionalFormatting>
  <conditionalFormatting sqref="N13:N22">
    <cfRule type="cellIs" dxfId="18" priority="30" stopIfTrue="1" operator="greaterThan">
      <formula>0</formula>
    </cfRule>
  </conditionalFormatting>
  <conditionalFormatting sqref="D17">
    <cfRule type="cellIs" dxfId="17" priority="29" stopIfTrue="1" operator="greaterThan">
      <formula>0</formula>
    </cfRule>
  </conditionalFormatting>
  <conditionalFormatting sqref="G17">
    <cfRule type="cellIs" dxfId="16" priority="21" stopIfTrue="1" operator="greaterThan">
      <formula>0</formula>
    </cfRule>
  </conditionalFormatting>
  <conditionalFormatting sqref="H20:H23">
    <cfRule type="cellIs" dxfId="15" priority="20" stopIfTrue="1" operator="greaterThan">
      <formula>0</formula>
    </cfRule>
  </conditionalFormatting>
  <conditionalFormatting sqref="J20">
    <cfRule type="cellIs" dxfId="14" priority="19" stopIfTrue="1" operator="greaterThan">
      <formula>0</formula>
    </cfRule>
  </conditionalFormatting>
  <conditionalFormatting sqref="J25">
    <cfRule type="cellIs" dxfId="13" priority="18" stopIfTrue="1" operator="greaterThan">
      <formula>0</formula>
    </cfRule>
  </conditionalFormatting>
  <conditionalFormatting sqref="L25">
    <cfRule type="cellIs" dxfId="12" priority="17" stopIfTrue="1" operator="greaterThan">
      <formula>0</formula>
    </cfRule>
  </conditionalFormatting>
  <conditionalFormatting sqref="L16:L20">
    <cfRule type="cellIs" dxfId="11" priority="15" stopIfTrue="1" operator="greaterThan">
      <formula>0</formula>
    </cfRule>
  </conditionalFormatting>
  <conditionalFormatting sqref="AG20">
    <cfRule type="cellIs" dxfId="10" priority="14" stopIfTrue="1" operator="greaterThan">
      <formula>0</formula>
    </cfRule>
  </conditionalFormatting>
  <conditionalFormatting sqref="AG20">
    <cfRule type="cellIs" dxfId="9" priority="13" stopIfTrue="1" operator="greaterThan">
      <formula>0</formula>
    </cfRule>
  </conditionalFormatting>
  <conditionalFormatting sqref="AB17">
    <cfRule type="cellIs" dxfId="8" priority="12" stopIfTrue="1" operator="greaterThan">
      <formula>0</formula>
    </cfRule>
  </conditionalFormatting>
  <conditionalFormatting sqref="AB17">
    <cfRule type="cellIs" dxfId="7" priority="11" stopIfTrue="1" operator="greaterThan">
      <formula>0</formula>
    </cfRule>
  </conditionalFormatting>
  <conditionalFormatting sqref="AB20">
    <cfRule type="cellIs" dxfId="6" priority="10" stopIfTrue="1" operator="greaterThan">
      <formula>0</formula>
    </cfRule>
  </conditionalFormatting>
  <conditionalFormatting sqref="AB20">
    <cfRule type="cellIs" dxfId="5" priority="9" stopIfTrue="1" operator="greaterThan">
      <formula>0</formula>
    </cfRule>
  </conditionalFormatting>
  <conditionalFormatting sqref="T20">
    <cfRule type="cellIs" dxfId="4" priority="8" stopIfTrue="1" operator="greaterThan">
      <formula>0</formula>
    </cfRule>
  </conditionalFormatting>
  <conditionalFormatting sqref="T20">
    <cfRule type="cellIs" dxfId="3" priority="7" stopIfTrue="1" operator="greaterThan">
      <formula>0</formula>
    </cfRule>
  </conditionalFormatting>
  <conditionalFormatting sqref="R23">
    <cfRule type="cellIs" dxfId="2" priority="4" stopIfTrue="1" operator="greaterThan">
      <formula>0</formula>
    </cfRule>
  </conditionalFormatting>
  <conditionalFormatting sqref="R23">
    <cfRule type="cellIs" dxfId="1" priority="3" stopIfTrue="1" operator="greaterThan">
      <formula>0</formula>
    </cfRule>
  </conditionalFormatting>
  <conditionalFormatting sqref="E20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2022-08-02T07:25:25Z</dcterms:modified>
</cp:coreProperties>
</file>