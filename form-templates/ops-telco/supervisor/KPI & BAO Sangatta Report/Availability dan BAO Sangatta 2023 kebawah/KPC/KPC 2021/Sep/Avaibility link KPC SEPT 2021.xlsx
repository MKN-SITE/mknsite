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00" windowWidth="15480" windowHeight="11340"/>
  </bookViews>
  <sheets>
    <sheet name="Avaibility ALU" sheetId="11" r:id="rId1"/>
  </sheets>
  <calcPr calcId="144525"/>
</workbook>
</file>

<file path=xl/calcChain.xml><?xml version="1.0" encoding="utf-8"?>
<calcChain xmlns="http://schemas.openxmlformats.org/spreadsheetml/2006/main">
  <c r="E48" i="11" l="1"/>
  <c r="D48" i="11"/>
  <c r="C48" i="11" l="1"/>
  <c r="D47" i="11"/>
  <c r="D46" i="11"/>
  <c r="D37" i="11"/>
  <c r="D36" i="11"/>
  <c r="E46" i="11" l="1"/>
  <c r="E47" i="11"/>
  <c r="E45" i="11"/>
  <c r="C46" i="11" l="1"/>
  <c r="C47" i="11"/>
  <c r="D45" i="11"/>
  <c r="C45" i="11" s="1"/>
  <c r="E36" i="11"/>
  <c r="C36" i="11" s="1"/>
  <c r="E37" i="11"/>
  <c r="C37" i="11" s="1"/>
  <c r="D38" i="11"/>
  <c r="E38" i="11"/>
  <c r="D39" i="11"/>
  <c r="E39" i="11"/>
  <c r="D40" i="11"/>
  <c r="E40" i="11"/>
  <c r="D41" i="11"/>
  <c r="E41" i="11"/>
  <c r="D42" i="11"/>
  <c r="E42" i="11"/>
  <c r="D43" i="11"/>
  <c r="E43" i="11"/>
  <c r="D44" i="11"/>
  <c r="E44" i="11"/>
  <c r="C40" i="11" l="1"/>
  <c r="C44" i="11"/>
  <c r="C42" i="11"/>
  <c r="C38" i="11"/>
  <c r="C43" i="11"/>
  <c r="C53" i="11" s="1"/>
  <c r="C41" i="11"/>
  <c r="C39" i="11"/>
</calcChain>
</file>

<file path=xl/sharedStrings.xml><?xml version="1.0" encoding="utf-8"?>
<sst xmlns="http://schemas.openxmlformats.org/spreadsheetml/2006/main" count="109" uniqueCount="57">
  <si>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</si>
  <si>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</si>
  <si>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</si>
  <si>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</si>
  <si>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</si>
  <si>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</si>
  <si>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</si>
  <si>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</si>
  <si>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</si>
  <si>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</si>
  <si>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</si>
  <si>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</si>
  <si>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</si>
  <si>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</si>
  <si>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</si>
  <si>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</si>
  <si>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KPC BACKBONE ALCATEL-LUCENT</t>
  </si>
  <si>
    <t>Remark</t>
  </si>
  <si>
    <t>M5 to SURYA ODU 1</t>
  </si>
  <si>
    <t>M5 to HATARI</t>
  </si>
  <si>
    <t>SURYA to BINTANG</t>
  </si>
  <si>
    <t>BINTANG to AB</t>
  </si>
  <si>
    <t>AB to FARNORTH</t>
  </si>
  <si>
    <t>HATARI to AB</t>
  </si>
  <si>
    <t>FARNORTH to 15000</t>
  </si>
  <si>
    <t>P11 to PTH</t>
  </si>
  <si>
    <t>M5 to PTH</t>
  </si>
  <si>
    <t>PTH to LBTT</t>
  </si>
  <si>
    <t xml:space="preserve"> HATARI to AB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</si>
  <si>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</si>
  <si>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</si>
  <si>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</si>
  <si>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</si>
  <si>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</si>
  <si>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</si>
  <si>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</si>
  <si>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</si>
  <si>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</si>
  <si>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</si>
  <si>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</si>
  <si>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FARNORTH to HT Middle</t>
  </si>
  <si>
    <t>FARNORTH to Lignit</t>
  </si>
  <si>
    <t>12</t>
  </si>
  <si>
    <t>13</t>
  </si>
  <si>
    <t>FARNORTH to HT MIDDLE</t>
  </si>
  <si>
    <t>FARNORTH to LIGNIT</t>
  </si>
  <si>
    <t>LBTT to 15K</t>
  </si>
  <si>
    <t>LBTT to 15000</t>
  </si>
  <si>
    <t>30</t>
  </si>
  <si>
    <t xml:space="preserve">M5 to SURYA ODU </t>
  </si>
  <si>
    <t>8 -9 September 2021</t>
  </si>
  <si>
    <t xml:space="preserve">Flash card pada IDU Alcatel yang di tower 15K rusak. </t>
  </si>
  <si>
    <t>11 - 12 September 2021</t>
  </si>
  <si>
    <t>Mati Power di PTH</t>
  </si>
  <si>
    <t>Nokia problem</t>
  </si>
  <si>
    <t>29 -30 September 2021</t>
  </si>
  <si>
    <t xml:space="preserve">Output power UPS di Farnorth tidak ada.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</si>
</sst>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[$-409]d\-mmm\-yyyy;@"/>
  </numFmts>
  <fonts count="38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88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11" fillId="0" borderId="0" xfId="0" applyFont="1" applyBorder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 applyAlignment="1"/>
    <xf numFmtId="164" fontId="6" fillId="0" borderId="0" xfId="0" applyFont="1"/>
    <xf numFmtId="164" fontId="6" fillId="0" borderId="0" xfId="0" applyFont="1" applyBorder="1" applyAlignment="1">
      <alignment horizontal="center"/>
    </xf>
    <xf numFmtId="164" fontId="6" fillId="0" borderId="0" xfId="0" applyFont="1" applyAlignment="1">
      <alignment horizontal="center"/>
    </xf>
    <xf numFmtId="164" fontId="6" fillId="0" borderId="0" xfId="0" applyFont="1" applyAlignment="1"/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Border="1" applyAlignment="1">
      <alignment horizontal="left"/>
    </xf>
    <xf numFmtId="164" fontId="8" fillId="0" borderId="0" xfId="0" applyFont="1" applyBorder="1"/>
    <xf numFmtId="164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164" fontId="9" fillId="0" borderId="0" xfId="0" applyFont="1" applyAlignme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Border="1" applyAlignment="1">
      <alignment horizontal="left" vertical="center"/>
    </xf>
    <xf numFmtId="164" fontId="36" fillId="0" borderId="0" xfId="0" applyFont="1" applyBorder="1" applyAlignment="1">
      <alignment horizontal="left" vertical="center"/>
    </xf>
    <xf numFmtId="164" fontId="6" fillId="0" borderId="0" xfId="0" applyFont="1" applyBorder="1"/>
    <xf numFmtId="0" fontId="6" fillId="0" borderId="0" xfId="0" applyNumberFormat="1" applyFont="1" applyBorder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164" fontId="0" fillId="0" borderId="0" xfId="0" applyBorder="1"/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Border="1" applyAlignment="1">
      <alignment horizontal="center"/>
    </xf>
    <xf numFmtId="164" fontId="35" fillId="0" borderId="0" xfId="0" applyFont="1" applyBorder="1"/>
    <xf numFmtId="10" fontId="6" fillId="0" borderId="0" xfId="0" applyNumberFormat="1" applyFont="1" applyBorder="1" applyAlignment="1">
      <alignment horizontal="center"/>
    </xf>
    <xf numFmtId="46" fontId="0" fillId="0" borderId="0" xfId="0" applyNumberFormat="1" applyBorder="1" applyAlignment="1">
      <alignment horizontal="center"/>
    </xf>
    <xf numFmtId="164" fontId="18" fillId="0" borderId="5" xfId="0" applyFont="1" applyBorder="1"/>
    <xf numFmtId="1" fontId="6" fillId="0" borderId="1" xfId="0" applyNumberFormat="1" applyFont="1" applyBorder="1" applyAlignment="1">
      <alignment horizontal="center" vertical="center"/>
    </xf>
    <xf numFmtId="164" fontId="35" fillId="0" borderId="1" xfId="0" applyFont="1" applyFill="1" applyBorder="1"/>
    <xf numFmtId="164" fontId="37" fillId="0" borderId="1" xfId="0" applyFont="1" applyBorder="1" applyAlignment="1">
      <alignment vertical="center"/>
    </xf>
    <xf numFmtId="164" fontId="36" fillId="0" borderId="1" xfId="0" applyFont="1" applyBorder="1" applyAlignment="1">
      <alignment vertical="center"/>
    </xf>
    <xf numFmtId="46" fontId="0" fillId="33" borderId="0" xfId="0" applyNumberFormat="1" applyFill="1" applyBorder="1"/>
    <xf numFmtId="164" fontId="6" fillId="0" borderId="0" xfId="0" applyFont="1" applyBorder="1" applyAlignment="1"/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 applyAlignment="1"/>
    <xf numFmtId="1" fontId="11" fillId="0" borderId="0" xfId="0" applyNumberFormat="1" applyFont="1" applyBorder="1" applyAlignment="1">
      <alignment horizontal="center"/>
    </xf>
    <xf numFmtId="1" fontId="13" fillId="0" borderId="0" xfId="0" applyNumberFormat="1" applyFont="1" applyAlignment="1"/>
    <xf numFmtId="164" fontId="36" fillId="0" borderId="15" xfId="0" applyFont="1" applyBorder="1" applyAlignment="1">
      <alignment horizontal="center" vertical="center" wrapText="1"/>
    </xf>
    <xf numFmtId="164" fontId="36" fillId="0" borderId="22" xfId="0" applyFont="1" applyBorder="1" applyAlignment="1">
      <alignment horizontal="center" vertical="center" wrapText="1"/>
    </xf>
    <xf numFmtId="164" fontId="36" fillId="0" borderId="23" xfId="0" applyFont="1" applyBorder="1" applyAlignment="1">
      <alignment horizontal="center" vertical="center" wrapText="1"/>
    </xf>
    <xf numFmtId="164" fontId="36" fillId="0" borderId="24" xfId="0" applyFont="1" applyBorder="1" applyAlignment="1">
      <alignment horizontal="center" vertical="center" wrapText="1"/>
    </xf>
    <xf numFmtId="164" fontId="36" fillId="0" borderId="25" xfId="0" applyFont="1" applyBorder="1" applyAlignment="1">
      <alignment horizontal="center" vertical="center" wrapText="1"/>
    </xf>
    <xf numFmtId="164" fontId="36" fillId="0" borderId="26" xfId="0" applyFont="1" applyBorder="1" applyAlignment="1">
      <alignment horizontal="center" vertical="center" wrapText="1"/>
    </xf>
    <xf numFmtId="164" fontId="37" fillId="0" borderId="4" xfId="0" applyFont="1" applyBorder="1" applyAlignment="1">
      <alignment horizontal="center" vertical="center"/>
    </xf>
    <xf numFmtId="164" fontId="37" fillId="0" borderId="27" xfId="0" applyFont="1" applyBorder="1" applyAlignment="1">
      <alignment horizontal="center" vertical="center"/>
    </xf>
    <xf numFmtId="164" fontId="37" fillId="0" borderId="2" xfId="0" applyFont="1" applyBorder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164" fontId="37" fillId="0" borderId="27" xfId="0" applyFont="1" applyBorder="1" applyAlignment="1">
      <alignment horizontal="left" vertical="center"/>
    </xf>
    <xf numFmtId="164" fontId="37" fillId="0" borderId="2" xfId="0" applyFont="1" applyBorder="1" applyAlignment="1">
      <alignment horizontal="left" vertical="center"/>
    </xf>
    <xf numFmtId="165" fontId="37" fillId="0" borderId="4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9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69"/>
  <sheetViews>
    <sheetView tabSelected="1" topLeftCell="A2" zoomScale="70" zoomScaleNormal="70" workbookViewId="0">
      <selection activeCell="I41" sqref="I41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1" customWidth="1"/>
    <col min="16" max="31" width="10.5703125" customWidth="1"/>
    <col min="32" max="33" width="11.28515625" customWidth="1"/>
  </cols>
  <sheetData>
    <row r="1" spans="1:33" s="3" customFormat="1" ht="14.25" x14ac:dyDescent="0.2">
      <c r="A1" s="4" t="s">
        <v>14</v>
      </c>
      <c r="B1" s="5"/>
      <c r="C1" s="6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33" s="3" customFormat="1" ht="14.25" x14ac:dyDescent="0.2">
      <c r="A2" s="4" t="s">
        <v>15</v>
      </c>
      <c r="B2" s="5"/>
      <c r="C2" s="6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33" s="3" customFormat="1" x14ac:dyDescent="0.2">
      <c r="A3" s="6"/>
      <c r="B3" s="6"/>
      <c r="C3" s="7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33" s="3" customFormat="1" x14ac:dyDescent="0.2">
      <c r="A4" s="5" t="s">
        <v>4</v>
      </c>
      <c r="B4" s="5"/>
      <c r="C4" s="7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33" s="3" customFormat="1" x14ac:dyDescent="0.2">
      <c r="A5" s="5" t="s">
        <v>3</v>
      </c>
      <c r="B5" s="5"/>
      <c r="C5" s="7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33" s="3" customFormat="1" x14ac:dyDescent="0.2">
      <c r="A6" s="6"/>
      <c r="B6" s="6"/>
      <c r="C6" s="7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33" s="3" customFormat="1" x14ac:dyDescent="0.2">
      <c r="A7" s="5" t="s">
        <v>5</v>
      </c>
      <c r="B7" s="6"/>
      <c r="C7" s="40">
        <v>44440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33" s="3" customFormat="1" x14ac:dyDescent="0.2">
      <c r="A8" s="5" t="s">
        <v>6</v>
      </c>
      <c r="B8" s="8"/>
      <c r="C8" s="42" t="s">
        <v>48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33" s="3" customFormat="1" ht="13.5" thickBot="1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33" s="3" customFormat="1" x14ac:dyDescent="0.2">
      <c r="A10" s="64" t="s">
        <v>2</v>
      </c>
      <c r="B10" s="66" t="s">
        <v>0</v>
      </c>
      <c r="C10" s="66" t="s">
        <v>8</v>
      </c>
      <c r="D10" s="46">
        <v>44440</v>
      </c>
      <c r="E10" s="46">
        <v>44441</v>
      </c>
      <c r="F10" s="46">
        <v>44442</v>
      </c>
      <c r="G10" s="46">
        <v>44443</v>
      </c>
      <c r="H10" s="46">
        <v>44444</v>
      </c>
      <c r="I10" s="46">
        <v>44445</v>
      </c>
      <c r="J10" s="46">
        <v>44446</v>
      </c>
      <c r="K10" s="46">
        <v>44447</v>
      </c>
      <c r="L10" s="46">
        <v>44448</v>
      </c>
      <c r="M10" s="46">
        <v>44449</v>
      </c>
      <c r="N10" s="46">
        <v>44450</v>
      </c>
      <c r="O10" s="46">
        <v>44451</v>
      </c>
      <c r="P10" s="46">
        <v>44452</v>
      </c>
      <c r="Q10" s="46">
        <v>44453</v>
      </c>
      <c r="R10" s="46">
        <v>44454</v>
      </c>
      <c r="S10" s="46">
        <v>44455</v>
      </c>
      <c r="T10" s="46">
        <v>44456</v>
      </c>
      <c r="U10" s="46">
        <v>44457</v>
      </c>
      <c r="V10" s="46">
        <v>44458</v>
      </c>
      <c r="W10" s="46">
        <v>44459</v>
      </c>
      <c r="X10" s="46">
        <v>44460</v>
      </c>
      <c r="Y10" s="46">
        <v>44461</v>
      </c>
      <c r="Z10" s="46">
        <v>44462</v>
      </c>
      <c r="AA10" s="46">
        <v>44463</v>
      </c>
      <c r="AB10" s="46">
        <v>44464</v>
      </c>
      <c r="AC10" s="46">
        <v>44465</v>
      </c>
      <c r="AD10" s="46">
        <v>44466</v>
      </c>
      <c r="AE10" s="46">
        <v>44467</v>
      </c>
      <c r="AF10" s="46">
        <v>44468</v>
      </c>
      <c r="AG10" s="46">
        <v>44469</v>
      </c>
    </row>
    <row r="11" spans="1:33" s="1" customFormat="1" x14ac:dyDescent="0.2">
      <c r="A11" s="65"/>
      <c r="B11" s="67"/>
      <c r="C11" s="67"/>
      <c r="D11" s="10" t="s">
        <v>7</v>
      </c>
      <c r="E11" s="10" t="s">
        <v>7</v>
      </c>
      <c r="F11" s="10" t="s">
        <v>7</v>
      </c>
      <c r="G11" s="10" t="s">
        <v>7</v>
      </c>
      <c r="H11" s="10" t="s">
        <v>7</v>
      </c>
      <c r="I11" s="10" t="s">
        <v>7</v>
      </c>
      <c r="J11" s="10" t="s">
        <v>7</v>
      </c>
      <c r="K11" s="10" t="s">
        <v>7</v>
      </c>
      <c r="L11" s="10" t="s">
        <v>7</v>
      </c>
      <c r="M11" s="10" t="s">
        <v>7</v>
      </c>
      <c r="N11" s="10" t="s">
        <v>7</v>
      </c>
      <c r="O11" s="10" t="s">
        <v>7</v>
      </c>
      <c r="P11" s="10" t="s">
        <v>7</v>
      </c>
      <c r="Q11" s="10" t="s">
        <v>7</v>
      </c>
      <c r="R11" s="10" t="s">
        <v>7</v>
      </c>
      <c r="S11" s="10" t="s">
        <v>7</v>
      </c>
      <c r="T11" s="10" t="s">
        <v>7</v>
      </c>
      <c r="U11" s="10" t="s">
        <v>7</v>
      </c>
      <c r="V11" s="10" t="s">
        <v>7</v>
      </c>
      <c r="W11" s="10" t="s">
        <v>7</v>
      </c>
      <c r="X11" s="10" t="s">
        <v>7</v>
      </c>
      <c r="Y11" s="10" t="s">
        <v>7</v>
      </c>
      <c r="Z11" s="10" t="s">
        <v>7</v>
      </c>
      <c r="AA11" s="10" t="s">
        <v>7</v>
      </c>
      <c r="AB11" s="10" t="s">
        <v>7</v>
      </c>
      <c r="AC11" s="10" t="s">
        <v>7</v>
      </c>
      <c r="AD11" s="10" t="s">
        <v>7</v>
      </c>
      <c r="AE11" s="10" t="s">
        <v>7</v>
      </c>
      <c r="AF11" s="10" t="s">
        <v>7</v>
      </c>
      <c r="AG11" s="10" t="s">
        <v>7</v>
      </c>
    </row>
    <row r="12" spans="1:33" x14ac:dyDescent="0.2">
      <c r="A12" s="47"/>
      <c r="B12" s="34"/>
      <c r="C12" s="35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48"/>
      <c r="AG12" s="48"/>
    </row>
    <row r="13" spans="1:33" s="12" customFormat="1" ht="15.75" x14ac:dyDescent="0.25">
      <c r="A13" s="49" t="s">
        <v>38</v>
      </c>
      <c r="B13" s="32" t="s">
        <v>18</v>
      </c>
      <c r="C13" s="36"/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D13" s="37">
        <v>0</v>
      </c>
      <c r="AE13" s="37">
        <v>0</v>
      </c>
      <c r="AF13" s="37">
        <v>0</v>
      </c>
      <c r="AG13" s="37">
        <v>0</v>
      </c>
    </row>
    <row r="14" spans="1:33" s="12" customFormat="1" ht="15.75" x14ac:dyDescent="0.25">
      <c r="A14" s="49" t="s">
        <v>29</v>
      </c>
      <c r="B14" s="32" t="s">
        <v>26</v>
      </c>
      <c r="C14" s="36"/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D14" s="37">
        <v>0</v>
      </c>
      <c r="AE14" s="37">
        <v>0</v>
      </c>
      <c r="AF14" s="37">
        <v>0</v>
      </c>
      <c r="AG14" s="37">
        <v>0</v>
      </c>
    </row>
    <row r="15" spans="1:33" s="12" customFormat="1" ht="15.75" x14ac:dyDescent="0.25">
      <c r="A15" s="49" t="s">
        <v>30</v>
      </c>
      <c r="B15" s="32" t="s">
        <v>19</v>
      </c>
      <c r="C15" s="36"/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  <c r="AC15" s="37">
        <v>0</v>
      </c>
      <c r="AD15" s="37">
        <v>0</v>
      </c>
      <c r="AE15" s="37">
        <v>0</v>
      </c>
      <c r="AF15" s="37">
        <v>0</v>
      </c>
      <c r="AG15" s="37">
        <v>0</v>
      </c>
    </row>
    <row r="16" spans="1:33" s="12" customFormat="1" ht="15.75" x14ac:dyDescent="0.25">
      <c r="A16" s="49" t="s">
        <v>31</v>
      </c>
      <c r="B16" s="32" t="s">
        <v>20</v>
      </c>
      <c r="C16" s="36"/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7">
        <v>0</v>
      </c>
    </row>
    <row r="17" spans="1:33" s="12" customFormat="1" ht="15.75" x14ac:dyDescent="0.25">
      <c r="A17" s="49" t="s">
        <v>32</v>
      </c>
      <c r="B17" s="32" t="s">
        <v>21</v>
      </c>
      <c r="C17" s="36"/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D17" s="37">
        <v>0</v>
      </c>
      <c r="AE17" s="37">
        <v>0</v>
      </c>
      <c r="AF17" s="37">
        <v>0</v>
      </c>
      <c r="AG17" s="37">
        <v>0</v>
      </c>
    </row>
    <row r="18" spans="1:33" s="12" customFormat="1" ht="15.75" x14ac:dyDescent="0.25">
      <c r="A18" s="49" t="s">
        <v>33</v>
      </c>
      <c r="B18" s="32" t="s">
        <v>22</v>
      </c>
      <c r="C18" s="36"/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D18" s="37">
        <v>0</v>
      </c>
      <c r="AE18" s="37">
        <v>0</v>
      </c>
      <c r="AF18" s="37">
        <v>0</v>
      </c>
      <c r="AG18" s="37">
        <v>0</v>
      </c>
    </row>
    <row r="19" spans="1:33" s="12" customFormat="1" ht="15.75" x14ac:dyDescent="0.25">
      <c r="A19" s="49" t="s">
        <v>34</v>
      </c>
      <c r="B19" s="32" t="s">
        <v>23</v>
      </c>
      <c r="C19" s="36"/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0</v>
      </c>
      <c r="AE19" s="37">
        <v>0</v>
      </c>
      <c r="AF19" s="37">
        <v>0</v>
      </c>
      <c r="AG19" s="37">
        <v>0</v>
      </c>
    </row>
    <row r="20" spans="1:33" s="12" customFormat="1" ht="15.75" x14ac:dyDescent="0.25">
      <c r="A20" s="49" t="s">
        <v>35</v>
      </c>
      <c r="B20" s="32" t="s">
        <v>27</v>
      </c>
      <c r="C20" s="36"/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1.0416666666666666E-2</v>
      </c>
      <c r="O20" s="37">
        <v>2.1527777777777781E-2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D20" s="37">
        <v>0</v>
      </c>
      <c r="AE20" s="37">
        <v>0</v>
      </c>
      <c r="AF20" s="37">
        <v>0</v>
      </c>
      <c r="AG20" s="37">
        <v>0</v>
      </c>
    </row>
    <row r="21" spans="1:33" s="12" customFormat="1" ht="15.75" x14ac:dyDescent="0.25">
      <c r="A21" s="49" t="s">
        <v>36</v>
      </c>
      <c r="B21" s="32" t="s">
        <v>25</v>
      </c>
      <c r="C21" s="36"/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1.0416666666666666E-2</v>
      </c>
      <c r="O21" s="37">
        <v>2.1527777777777781E-2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D21" s="37">
        <v>0</v>
      </c>
      <c r="AE21" s="37">
        <v>0</v>
      </c>
      <c r="AF21" s="37">
        <v>0</v>
      </c>
      <c r="AG21" s="37">
        <v>0</v>
      </c>
    </row>
    <row r="22" spans="1:33" s="12" customFormat="1" ht="15.75" x14ac:dyDescent="0.25">
      <c r="A22" s="49" t="s">
        <v>37</v>
      </c>
      <c r="B22" s="50" t="s">
        <v>24</v>
      </c>
      <c r="C22" s="51"/>
      <c r="D22" s="52">
        <v>0</v>
      </c>
      <c r="E22" s="52">
        <v>0</v>
      </c>
      <c r="F22" s="52">
        <v>0</v>
      </c>
      <c r="G22" s="52">
        <v>0</v>
      </c>
      <c r="H22" s="52">
        <v>0</v>
      </c>
      <c r="I22" s="52">
        <v>0</v>
      </c>
      <c r="J22" s="52">
        <v>0</v>
      </c>
      <c r="K22" s="37">
        <v>0.29236111111111113</v>
      </c>
      <c r="L22" s="37">
        <v>0.36041666666666666</v>
      </c>
      <c r="M22" s="52">
        <v>0</v>
      </c>
      <c r="N22" s="52">
        <v>0</v>
      </c>
      <c r="O22" s="52">
        <v>0</v>
      </c>
      <c r="P22" s="52">
        <v>0</v>
      </c>
      <c r="Q22" s="52">
        <v>0</v>
      </c>
      <c r="R22" s="52">
        <v>0</v>
      </c>
      <c r="S22" s="52">
        <v>0</v>
      </c>
      <c r="T22" s="52">
        <v>0</v>
      </c>
      <c r="U22" s="52">
        <v>0</v>
      </c>
      <c r="V22" s="52">
        <v>0</v>
      </c>
      <c r="W22" s="52">
        <v>0</v>
      </c>
      <c r="X22" s="52">
        <v>0</v>
      </c>
      <c r="Y22" s="52">
        <v>0</v>
      </c>
      <c r="Z22" s="52">
        <v>0</v>
      </c>
      <c r="AA22" s="52">
        <v>0</v>
      </c>
      <c r="AB22" s="52">
        <v>0</v>
      </c>
      <c r="AC22" s="52">
        <v>0</v>
      </c>
      <c r="AD22" s="52">
        <v>0</v>
      </c>
      <c r="AE22" s="52">
        <v>0</v>
      </c>
      <c r="AF22" s="52">
        <v>3.472222222222222E-3</v>
      </c>
      <c r="AG22" s="52">
        <v>3.472222222222222E-3</v>
      </c>
    </row>
    <row r="23" spans="1:33" s="12" customFormat="1" ht="15.75" x14ac:dyDescent="0.25">
      <c r="A23" s="49" t="s">
        <v>39</v>
      </c>
      <c r="B23" s="50" t="s">
        <v>40</v>
      </c>
      <c r="C23" s="57"/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Z23" s="52">
        <v>0</v>
      </c>
      <c r="AA23" s="52">
        <v>0</v>
      </c>
      <c r="AB23" s="52">
        <v>6.9444444444444441E-3</v>
      </c>
      <c r="AC23" s="52">
        <v>0</v>
      </c>
      <c r="AD23" s="52">
        <v>0</v>
      </c>
      <c r="AE23" s="52">
        <v>0</v>
      </c>
      <c r="AF23" s="52">
        <v>3.472222222222222E-3</v>
      </c>
      <c r="AG23" s="52">
        <v>3.472222222222222E-3</v>
      </c>
    </row>
    <row r="24" spans="1:33" s="12" customFormat="1" ht="15.75" x14ac:dyDescent="0.25">
      <c r="A24" s="49" t="s">
        <v>42</v>
      </c>
      <c r="B24" s="50" t="s">
        <v>41</v>
      </c>
      <c r="C24" s="51"/>
      <c r="D24" s="52">
        <v>0</v>
      </c>
      <c r="E24" s="52">
        <v>0</v>
      </c>
      <c r="F24" s="52">
        <v>0</v>
      </c>
      <c r="G24" s="52">
        <v>0</v>
      </c>
      <c r="H24" s="52">
        <v>0</v>
      </c>
      <c r="I24" s="52">
        <v>0</v>
      </c>
      <c r="J24" s="52">
        <v>0</v>
      </c>
      <c r="K24" s="52">
        <v>0</v>
      </c>
      <c r="L24" s="52">
        <v>0</v>
      </c>
      <c r="M24" s="52">
        <v>0</v>
      </c>
      <c r="N24" s="52">
        <v>0</v>
      </c>
      <c r="O24" s="52">
        <v>0</v>
      </c>
      <c r="P24" s="52">
        <v>0</v>
      </c>
      <c r="Q24" s="52">
        <v>0</v>
      </c>
      <c r="R24" s="52">
        <v>0</v>
      </c>
      <c r="S24" s="52">
        <v>0</v>
      </c>
      <c r="T24" s="52">
        <v>0</v>
      </c>
      <c r="U24" s="52">
        <v>0</v>
      </c>
      <c r="V24" s="52">
        <v>0</v>
      </c>
      <c r="W24" s="52">
        <v>0</v>
      </c>
      <c r="X24" s="52">
        <v>0</v>
      </c>
      <c r="Y24" s="52">
        <v>0</v>
      </c>
      <c r="Z24" s="52">
        <v>0</v>
      </c>
      <c r="AA24" s="52">
        <v>0</v>
      </c>
      <c r="AB24" s="52">
        <v>0</v>
      </c>
      <c r="AC24" s="52">
        <v>0</v>
      </c>
      <c r="AD24" s="52">
        <v>0</v>
      </c>
      <c r="AE24" s="52">
        <v>0</v>
      </c>
      <c r="AF24" s="52">
        <v>3.472222222222222E-3</v>
      </c>
      <c r="AG24" s="52">
        <v>3.472222222222222E-3</v>
      </c>
    </row>
    <row r="25" spans="1:33" s="12" customFormat="1" ht="12.75" customHeight="1" x14ac:dyDescent="0.25">
      <c r="A25" s="49" t="s">
        <v>43</v>
      </c>
      <c r="B25" s="59" t="s">
        <v>46</v>
      </c>
      <c r="C25" s="60"/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0.29236111111111113</v>
      </c>
      <c r="L25" s="37">
        <v>0.36041666666666666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  <c r="AC25" s="37">
        <v>0</v>
      </c>
      <c r="AD25" s="37">
        <v>0</v>
      </c>
      <c r="AE25" s="37">
        <v>0</v>
      </c>
      <c r="AF25" s="37">
        <v>0</v>
      </c>
      <c r="AG25" s="37">
        <v>0</v>
      </c>
    </row>
    <row r="26" spans="1:33" s="12" customFormat="1" ht="16.5" customHeight="1" x14ac:dyDescent="0.2">
      <c r="A26" s="58"/>
      <c r="B26" s="61"/>
      <c r="C26" s="60"/>
      <c r="D26" s="78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80"/>
    </row>
    <row r="27" spans="1:33" s="12" customFormat="1" ht="16.5" customHeight="1" x14ac:dyDescent="0.2">
      <c r="A27" s="72" t="s">
        <v>17</v>
      </c>
      <c r="B27" s="73"/>
      <c r="C27" s="87" t="s">
        <v>50</v>
      </c>
      <c r="D27" s="85" t="s">
        <v>51</v>
      </c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6"/>
    </row>
    <row r="28" spans="1:33" s="12" customFormat="1" ht="16.5" customHeight="1" x14ac:dyDescent="0.2">
      <c r="A28" s="74"/>
      <c r="B28" s="75"/>
      <c r="C28" s="87" t="s">
        <v>52</v>
      </c>
      <c r="D28" s="85" t="s">
        <v>53</v>
      </c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6"/>
    </row>
    <row r="29" spans="1:33" s="12" customFormat="1" ht="16.5" customHeight="1" x14ac:dyDescent="0.2">
      <c r="A29" s="74"/>
      <c r="B29" s="75"/>
      <c r="C29" s="87">
        <v>44464</v>
      </c>
      <c r="D29" s="85" t="s">
        <v>54</v>
      </c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6"/>
    </row>
    <row r="30" spans="1:33" s="12" customFormat="1" ht="16.5" customHeight="1" x14ac:dyDescent="0.2">
      <c r="A30" s="76"/>
      <c r="B30" s="77"/>
      <c r="C30" s="87" t="s">
        <v>55</v>
      </c>
      <c r="D30" s="85" t="s">
        <v>56</v>
      </c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6"/>
    </row>
    <row r="31" spans="1:33" s="12" customFormat="1" ht="15" x14ac:dyDescent="0.2">
      <c r="A31" s="13"/>
      <c r="B31" s="43"/>
      <c r="C31" s="44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</row>
    <row r="32" spans="1:33" s="12" customFormat="1" x14ac:dyDescent="0.2">
      <c r="A32" s="13"/>
      <c r="D32" s="14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spans="1:28" s="12" customFormat="1" x14ac:dyDescent="0.2">
      <c r="A33" s="23" t="s">
        <v>12</v>
      </c>
      <c r="D33" s="14"/>
      <c r="E33" s="15"/>
      <c r="F33" s="15"/>
      <c r="G33" s="15"/>
      <c r="H33" s="15"/>
      <c r="I33" s="15"/>
      <c r="J33" s="15"/>
      <c r="K33" s="62"/>
      <c r="L33" s="62"/>
      <c r="M33" s="15"/>
      <c r="O33" s="15"/>
      <c r="AB33" s="31"/>
    </row>
    <row r="34" spans="1:28" s="12" customFormat="1" x14ac:dyDescent="0.2">
      <c r="A34" s="83" t="s">
        <v>2</v>
      </c>
      <c r="B34" s="83" t="s">
        <v>9</v>
      </c>
      <c r="C34" s="83" t="s">
        <v>1</v>
      </c>
      <c r="D34" s="81" t="s">
        <v>7</v>
      </c>
      <c r="E34" s="82"/>
      <c r="F34" s="15"/>
      <c r="G34" s="15"/>
      <c r="H34" s="15"/>
      <c r="I34" s="15"/>
      <c r="J34" s="15"/>
      <c r="K34" s="63"/>
      <c r="L34" s="63"/>
      <c r="M34" s="15"/>
      <c r="O34" s="15"/>
      <c r="AB34" s="31"/>
    </row>
    <row r="35" spans="1:28" s="12" customFormat="1" x14ac:dyDescent="0.2">
      <c r="A35" s="84"/>
      <c r="B35" s="84"/>
      <c r="C35" s="84"/>
      <c r="D35" s="27" t="s">
        <v>10</v>
      </c>
      <c r="E35" s="22" t="s">
        <v>11</v>
      </c>
      <c r="F35" s="15"/>
      <c r="G35" s="15"/>
      <c r="H35" s="15"/>
      <c r="I35" s="15"/>
      <c r="J35" s="15"/>
      <c r="K35" s="15"/>
      <c r="L35" s="15"/>
      <c r="M35" s="15"/>
      <c r="O35" s="15"/>
      <c r="AB35" s="31"/>
    </row>
    <row r="36" spans="1:28" s="12" customFormat="1" ht="15.75" x14ac:dyDescent="0.25">
      <c r="A36" s="41" t="s">
        <v>38</v>
      </c>
      <c r="B36" s="32" t="s">
        <v>49</v>
      </c>
      <c r="C36" s="38">
        <f t="shared" ref="C36:C44" si="0">1-(((D36*3600)+(LEFT(E36,2)*60)+RIGHT(E36,2))/((60*60*24)*$C$8))</f>
        <v>1</v>
      </c>
      <c r="D36" s="20" t="str">
        <f t="shared" ref="D36:D48" si="1">TEXT(SUM(D13:AG13),"[h]")</f>
        <v>0</v>
      </c>
      <c r="E36" s="20" t="str">
        <f t="shared" ref="E36:E48" si="2">TEXT(SUM(D13:AG13),"mm ss")</f>
        <v>00 00</v>
      </c>
      <c r="F36" s="15"/>
      <c r="G36" s="21"/>
      <c r="H36" s="15"/>
      <c r="I36" s="15"/>
      <c r="J36" s="15"/>
      <c r="K36" s="15"/>
      <c r="L36" s="15"/>
      <c r="M36" s="15"/>
      <c r="O36" s="15"/>
      <c r="AB36" s="31"/>
    </row>
    <row r="37" spans="1:28" s="12" customFormat="1" ht="15.75" x14ac:dyDescent="0.25">
      <c r="A37" s="41" t="s">
        <v>29</v>
      </c>
      <c r="B37" s="32" t="s">
        <v>26</v>
      </c>
      <c r="C37" s="38">
        <f t="shared" si="0"/>
        <v>1</v>
      </c>
      <c r="D37" s="20" t="str">
        <f t="shared" si="1"/>
        <v>0</v>
      </c>
      <c r="E37" s="20" t="str">
        <f t="shared" si="2"/>
        <v>00 00</v>
      </c>
      <c r="F37" s="15"/>
      <c r="G37" s="21"/>
      <c r="H37" s="15"/>
      <c r="I37" s="15"/>
      <c r="J37" s="15"/>
      <c r="K37" s="15"/>
      <c r="L37" s="15"/>
      <c r="M37" s="15"/>
      <c r="O37" s="15"/>
      <c r="AB37" s="31"/>
    </row>
    <row r="38" spans="1:28" s="12" customFormat="1" ht="15.75" x14ac:dyDescent="0.25">
      <c r="A38" s="41" t="s">
        <v>30</v>
      </c>
      <c r="B38" s="54" t="s">
        <v>19</v>
      </c>
      <c r="C38" s="38">
        <f t="shared" si="0"/>
        <v>1</v>
      </c>
      <c r="D38" s="20" t="str">
        <f t="shared" si="1"/>
        <v>0</v>
      </c>
      <c r="E38" s="20" t="str">
        <f t="shared" si="2"/>
        <v>00 00</v>
      </c>
      <c r="F38" s="15"/>
      <c r="G38" s="21"/>
      <c r="H38" s="15"/>
      <c r="I38" s="15"/>
      <c r="J38" s="15"/>
      <c r="K38" s="15"/>
      <c r="L38" s="15"/>
      <c r="M38" s="15"/>
      <c r="O38" s="15"/>
      <c r="AB38" s="31"/>
    </row>
    <row r="39" spans="1:28" s="12" customFormat="1" ht="15.75" x14ac:dyDescent="0.25">
      <c r="A39" s="41" t="s">
        <v>31</v>
      </c>
      <c r="B39" s="32" t="s">
        <v>20</v>
      </c>
      <c r="C39" s="38">
        <f t="shared" si="0"/>
        <v>1</v>
      </c>
      <c r="D39" s="20" t="str">
        <f t="shared" si="1"/>
        <v>0</v>
      </c>
      <c r="E39" s="20" t="str">
        <f t="shared" si="2"/>
        <v>00 00</v>
      </c>
      <c r="F39" s="15"/>
      <c r="G39" s="21"/>
      <c r="H39" s="15"/>
      <c r="I39" s="15"/>
      <c r="J39" s="15"/>
      <c r="K39" s="15"/>
      <c r="L39" s="15"/>
      <c r="M39" s="15"/>
      <c r="O39" s="15"/>
      <c r="AB39" s="31"/>
    </row>
    <row r="40" spans="1:28" s="12" customFormat="1" ht="15.75" x14ac:dyDescent="0.25">
      <c r="A40" s="41" t="s">
        <v>32</v>
      </c>
      <c r="B40" s="32" t="s">
        <v>21</v>
      </c>
      <c r="C40" s="38">
        <f t="shared" si="0"/>
        <v>1</v>
      </c>
      <c r="D40" s="20" t="str">
        <f t="shared" si="1"/>
        <v>0</v>
      </c>
      <c r="E40" s="20" t="str">
        <f t="shared" si="2"/>
        <v>00 00</v>
      </c>
      <c r="F40" s="15"/>
      <c r="G40" s="21"/>
      <c r="H40" s="15"/>
      <c r="I40" s="15"/>
      <c r="J40" s="15"/>
      <c r="K40" s="15"/>
      <c r="L40" s="15"/>
      <c r="M40" s="15"/>
      <c r="O40" s="15"/>
      <c r="AB40" s="31"/>
    </row>
    <row r="41" spans="1:28" s="12" customFormat="1" ht="15.75" x14ac:dyDescent="0.25">
      <c r="A41" s="41" t="s">
        <v>33</v>
      </c>
      <c r="B41" s="32" t="s">
        <v>22</v>
      </c>
      <c r="C41" s="38">
        <f t="shared" si="0"/>
        <v>1</v>
      </c>
      <c r="D41" s="20" t="str">
        <f t="shared" si="1"/>
        <v>0</v>
      </c>
      <c r="E41" s="20" t="str">
        <f t="shared" si="2"/>
        <v>00 00</v>
      </c>
      <c r="F41" s="15"/>
      <c r="G41" s="21"/>
      <c r="H41" s="15"/>
      <c r="I41" s="15"/>
      <c r="J41" s="15"/>
      <c r="K41" s="15"/>
      <c r="L41" s="15"/>
      <c r="M41" s="15"/>
      <c r="O41" s="15"/>
      <c r="AB41" s="31"/>
    </row>
    <row r="42" spans="1:28" s="12" customFormat="1" ht="15.75" x14ac:dyDescent="0.25">
      <c r="A42" s="41" t="s">
        <v>34</v>
      </c>
      <c r="B42" s="32" t="s">
        <v>28</v>
      </c>
      <c r="C42" s="38">
        <f t="shared" si="0"/>
        <v>1</v>
      </c>
      <c r="D42" s="20" t="str">
        <f t="shared" si="1"/>
        <v>0</v>
      </c>
      <c r="E42" s="20" t="str">
        <f t="shared" si="2"/>
        <v>00 00</v>
      </c>
      <c r="F42" s="15"/>
      <c r="G42" s="21"/>
      <c r="H42" s="15"/>
      <c r="I42" s="15"/>
      <c r="J42" s="15"/>
      <c r="K42" s="15"/>
      <c r="L42" s="15"/>
      <c r="M42" s="15"/>
      <c r="N42" s="15"/>
      <c r="O42" s="15"/>
    </row>
    <row r="43" spans="1:28" s="12" customFormat="1" ht="15.75" x14ac:dyDescent="0.25">
      <c r="A43" s="41" t="s">
        <v>35</v>
      </c>
      <c r="B43" s="32" t="s">
        <v>27</v>
      </c>
      <c r="C43" s="38">
        <f t="shared" si="0"/>
        <v>0.9989351851851852</v>
      </c>
      <c r="D43" s="20" t="str">
        <f t="shared" si="1"/>
        <v>0</v>
      </c>
      <c r="E43" s="20" t="str">
        <f t="shared" si="2"/>
        <v>46 00</v>
      </c>
      <c r="F43" s="15"/>
      <c r="G43" s="21"/>
      <c r="H43" s="15"/>
      <c r="I43" s="15"/>
      <c r="J43" s="15"/>
      <c r="K43" s="15"/>
      <c r="L43" s="15"/>
      <c r="M43" s="15"/>
      <c r="N43" s="15"/>
      <c r="O43" s="15"/>
    </row>
    <row r="44" spans="1:28" s="12" customFormat="1" ht="15.75" x14ac:dyDescent="0.25">
      <c r="A44" s="41" t="s">
        <v>36</v>
      </c>
      <c r="B44" s="32" t="s">
        <v>25</v>
      </c>
      <c r="C44" s="38">
        <f t="shared" si="0"/>
        <v>0.9989351851851852</v>
      </c>
      <c r="D44" s="20" t="str">
        <f t="shared" si="1"/>
        <v>0</v>
      </c>
      <c r="E44" s="20" t="str">
        <f t="shared" si="2"/>
        <v>46 00</v>
      </c>
      <c r="F44" s="15"/>
      <c r="G44" s="21"/>
      <c r="H44" s="15"/>
      <c r="I44" s="15"/>
      <c r="J44" s="15"/>
      <c r="K44" s="15"/>
      <c r="L44" s="15"/>
      <c r="M44" s="15"/>
      <c r="N44" s="15"/>
      <c r="O44" s="15"/>
    </row>
    <row r="45" spans="1:28" s="12" customFormat="1" ht="15.75" x14ac:dyDescent="0.25">
      <c r="A45" s="41" t="s">
        <v>37</v>
      </c>
      <c r="B45" s="32" t="s">
        <v>24</v>
      </c>
      <c r="C45" s="33">
        <f>1-(((D45*3600)+(LEFT(E45,2)*60)+RIGHT(E45,2))/((60*60*24)*$C$8))</f>
        <v>0.9780092592592593</v>
      </c>
      <c r="D45" s="20" t="str">
        <f t="shared" si="1"/>
        <v>15</v>
      </c>
      <c r="E45" s="20" t="str">
        <f t="shared" si="2"/>
        <v>50 00</v>
      </c>
      <c r="F45" s="15"/>
      <c r="G45" s="21"/>
      <c r="H45" s="15"/>
      <c r="I45" s="15"/>
      <c r="J45" s="15"/>
      <c r="K45" s="15"/>
      <c r="L45" s="15"/>
      <c r="M45" s="15"/>
      <c r="N45" s="15"/>
      <c r="O45" s="15"/>
    </row>
    <row r="46" spans="1:28" s="12" customFormat="1" ht="15.75" x14ac:dyDescent="0.25">
      <c r="A46" s="41" t="s">
        <v>39</v>
      </c>
      <c r="B46" s="32" t="s">
        <v>44</v>
      </c>
      <c r="C46" s="33">
        <f t="shared" ref="C46:C48" si="3">1-(((D46*3600)+(LEFT(E46,2)*60)+RIGHT(E46,2))/((60*60*24)*$C$8))</f>
        <v>0.999537037037037</v>
      </c>
      <c r="D46" s="20" t="str">
        <f t="shared" si="1"/>
        <v>0</v>
      </c>
      <c r="E46" s="20" t="str">
        <f t="shared" si="2"/>
        <v>20 00</v>
      </c>
      <c r="F46" s="15"/>
      <c r="G46" s="21"/>
      <c r="H46" s="15"/>
      <c r="I46" s="15"/>
      <c r="J46" s="15"/>
      <c r="K46" s="15"/>
      <c r="L46" s="15"/>
      <c r="M46" s="15"/>
      <c r="N46" s="15"/>
      <c r="O46" s="15"/>
    </row>
    <row r="47" spans="1:28" s="12" customFormat="1" ht="15.75" x14ac:dyDescent="0.25">
      <c r="A47" s="41" t="s">
        <v>42</v>
      </c>
      <c r="B47" s="32" t="s">
        <v>45</v>
      </c>
      <c r="C47" s="33">
        <f t="shared" si="3"/>
        <v>0.99976851851851856</v>
      </c>
      <c r="D47" s="20" t="str">
        <f t="shared" si="1"/>
        <v>0</v>
      </c>
      <c r="E47" s="20" t="str">
        <f t="shared" si="2"/>
        <v>10 00</v>
      </c>
      <c r="F47" s="15"/>
      <c r="G47" s="21"/>
      <c r="H47" s="15"/>
      <c r="I47" s="15"/>
      <c r="J47" s="15"/>
      <c r="K47" s="15"/>
      <c r="L47" s="15"/>
      <c r="M47" s="15"/>
      <c r="N47" s="15"/>
      <c r="O47" s="15"/>
    </row>
    <row r="48" spans="1:28" s="12" customFormat="1" ht="15.75" x14ac:dyDescent="0.25">
      <c r="A48" s="68" t="s">
        <v>43</v>
      </c>
      <c r="B48" s="32" t="s">
        <v>47</v>
      </c>
      <c r="C48" s="33">
        <f t="shared" si="3"/>
        <v>0.97824074074074074</v>
      </c>
      <c r="D48" s="20" t="str">
        <f t="shared" si="1"/>
        <v>15</v>
      </c>
      <c r="E48" s="20" t="str">
        <f t="shared" si="2"/>
        <v>40 00</v>
      </c>
      <c r="F48" s="15"/>
      <c r="G48" s="21"/>
      <c r="H48" s="15"/>
      <c r="I48" s="15"/>
      <c r="J48" s="15"/>
      <c r="K48" s="15"/>
      <c r="L48" s="69"/>
      <c r="M48" s="69"/>
      <c r="N48" s="69"/>
      <c r="O48" s="69"/>
    </row>
    <row r="49" spans="1:32" s="12" customFormat="1" ht="15.75" x14ac:dyDescent="0.25">
      <c r="A49" s="53"/>
      <c r="B49" s="54"/>
      <c r="C49" s="55"/>
      <c r="D49" s="56"/>
      <c r="E49" s="56"/>
      <c r="F49" s="15"/>
      <c r="G49" s="21"/>
      <c r="H49" s="15"/>
      <c r="I49" s="15"/>
      <c r="J49" s="15"/>
      <c r="K49" s="15"/>
      <c r="L49" s="69"/>
      <c r="M49" s="69"/>
      <c r="N49" s="69"/>
      <c r="O49" s="69"/>
    </row>
    <row r="50" spans="1:32" s="12" customFormat="1" x14ac:dyDescent="0.2">
      <c r="A50" s="13"/>
      <c r="C50" s="26"/>
      <c r="D50" s="25"/>
      <c r="E50" s="15"/>
      <c r="F50" s="15"/>
      <c r="G50" s="15"/>
      <c r="H50" s="15"/>
      <c r="I50" s="15"/>
      <c r="J50" s="15"/>
      <c r="K50" s="15"/>
      <c r="L50" s="69"/>
      <c r="M50" s="69"/>
      <c r="N50" s="69"/>
      <c r="O50" s="69"/>
    </row>
    <row r="51" spans="1:32" s="12" customFormat="1" x14ac:dyDescent="0.2">
      <c r="A51" s="13"/>
      <c r="D51" s="14"/>
      <c r="E51" s="15"/>
      <c r="F51" s="15"/>
      <c r="G51" s="15"/>
      <c r="H51" s="15"/>
      <c r="I51" s="15"/>
      <c r="J51" s="15"/>
      <c r="K51" s="15"/>
      <c r="L51" s="69"/>
      <c r="M51" s="69"/>
      <c r="N51" s="69"/>
      <c r="O51" s="69"/>
    </row>
    <row r="52" spans="1:32" s="16" customFormat="1" x14ac:dyDescent="0.2">
      <c r="A52" s="14"/>
      <c r="B52" s="24" t="s">
        <v>13</v>
      </c>
      <c r="C52" s="19"/>
      <c r="D52" s="18"/>
      <c r="E52" s="18"/>
      <c r="F52" s="18"/>
      <c r="G52" s="18"/>
      <c r="H52" s="18"/>
      <c r="I52" s="18"/>
      <c r="J52" s="18"/>
      <c r="K52" s="18"/>
      <c r="L52" s="70"/>
      <c r="M52" s="70"/>
      <c r="N52" s="70"/>
      <c r="O52" s="70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</row>
    <row r="53" spans="1:32" x14ac:dyDescent="0.2">
      <c r="A53"/>
      <c r="B53" s="12" t="s">
        <v>16</v>
      </c>
      <c r="C53" s="27">
        <f>(SUM(C36:C48))/(100%*13)</f>
        <v>0.99641737891737892</v>
      </c>
      <c r="G53" s="39"/>
      <c r="L53" s="71"/>
      <c r="M53" s="71"/>
      <c r="N53" s="71"/>
      <c r="O53" s="71"/>
    </row>
    <row r="54" spans="1:32" x14ac:dyDescent="0.2">
      <c r="L54" s="71"/>
      <c r="M54" s="71"/>
      <c r="N54" s="71"/>
      <c r="O54" s="71"/>
    </row>
    <row r="55" spans="1:32" x14ac:dyDescent="0.2">
      <c r="L55" s="71"/>
      <c r="M55" s="71"/>
      <c r="N55" s="71"/>
      <c r="O55" s="71"/>
    </row>
    <row r="56" spans="1:32" x14ac:dyDescent="0.2">
      <c r="L56" s="71"/>
      <c r="M56" s="71"/>
      <c r="N56" s="71"/>
      <c r="O56" s="71"/>
    </row>
    <row r="58" spans="1:32" x14ac:dyDescent="0.2">
      <c r="A58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</row>
    <row r="66" spans="1:32" x14ac:dyDescent="0.2">
      <c r="A66"/>
      <c r="E66" s="28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</row>
    <row r="67" spans="1:32" x14ac:dyDescent="0.2">
      <c r="A67"/>
      <c r="E67" s="28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</row>
    <row r="68" spans="1:32" x14ac:dyDescent="0.2">
      <c r="A68"/>
      <c r="E68" s="28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</row>
    <row r="69" spans="1:32" x14ac:dyDescent="0.2">
      <c r="A69"/>
      <c r="D69"/>
      <c r="E69" s="28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</row>
  </sheetData>
  <mergeCells count="13">
    <mergeCell ref="D34:E34"/>
    <mergeCell ref="D27:AG27"/>
    <mergeCell ref="D28:AG28"/>
    <mergeCell ref="D29:AG29"/>
    <mergeCell ref="D30:AG30"/>
    <mergeCell ref="D26:AG26"/>
    <mergeCell ref="A10:A11"/>
    <mergeCell ref="B10:B11"/>
    <mergeCell ref="C10:C11"/>
    <mergeCell ref="A34:A35"/>
    <mergeCell ref="B34:B35"/>
    <mergeCell ref="C34:C35"/>
    <mergeCell ref="A27:B30"/>
  </mergeCells>
  <phoneticPr fontId="9" type="noConversion"/>
  <conditionalFormatting sqref="D15:F15 G21:M21 D17:N18 AE18:AF18 AE21:AF21 O17:AF17 P21:AC21 D13:D21">
    <cfRule type="cellIs" dxfId="96" priority="206" stopIfTrue="1" operator="greaterThan">
      <formula>0</formula>
    </cfRule>
  </conditionalFormatting>
  <conditionalFormatting sqref="I15:M15">
    <cfRule type="cellIs" dxfId="95" priority="205" stopIfTrue="1" operator="greaterThan">
      <formula>0</formula>
    </cfRule>
  </conditionalFormatting>
  <conditionalFormatting sqref="W18:AC18 O15:AD15 O18:U18">
    <cfRule type="cellIs" dxfId="94" priority="204" stopIfTrue="1" operator="greaterThan">
      <formula>0</formula>
    </cfRule>
  </conditionalFormatting>
  <conditionalFormatting sqref="G15">
    <cfRule type="cellIs" dxfId="93" priority="198" stopIfTrue="1" operator="greaterThan">
      <formula>0</formula>
    </cfRule>
  </conditionalFormatting>
  <conditionalFormatting sqref="N15">
    <cfRule type="cellIs" dxfId="92" priority="197" stopIfTrue="1" operator="greaterThan">
      <formula>0</formula>
    </cfRule>
  </conditionalFormatting>
  <conditionalFormatting sqref="H15">
    <cfRule type="cellIs" dxfId="91" priority="191" stopIfTrue="1" operator="greaterThan">
      <formula>0</formula>
    </cfRule>
  </conditionalFormatting>
  <conditionalFormatting sqref="AD18">
    <cfRule type="cellIs" dxfId="90" priority="190" stopIfTrue="1" operator="greaterThan">
      <formula>0</formula>
    </cfRule>
  </conditionalFormatting>
  <conditionalFormatting sqref="V18">
    <cfRule type="cellIs" dxfId="89" priority="185" stopIfTrue="1" operator="greaterThan">
      <formula>0</formula>
    </cfRule>
  </conditionalFormatting>
  <conditionalFormatting sqref="AE15:AF15">
    <cfRule type="cellIs" dxfId="88" priority="182" stopIfTrue="1" operator="greaterThan">
      <formula>0</formula>
    </cfRule>
  </conditionalFormatting>
  <conditionalFormatting sqref="D14:F14">
    <cfRule type="cellIs" dxfId="87" priority="176" stopIfTrue="1" operator="greaterThan">
      <formula>0</formula>
    </cfRule>
  </conditionalFormatting>
  <conditionalFormatting sqref="I14:M14">
    <cfRule type="cellIs" dxfId="86" priority="175" stopIfTrue="1" operator="greaterThan">
      <formula>0</formula>
    </cfRule>
  </conditionalFormatting>
  <conditionalFormatting sqref="O14:AD14">
    <cfRule type="cellIs" dxfId="85" priority="174" stopIfTrue="1" operator="greaterThan">
      <formula>0</formula>
    </cfRule>
  </conditionalFormatting>
  <conditionalFormatting sqref="G14">
    <cfRule type="cellIs" dxfId="84" priority="173" stopIfTrue="1" operator="greaterThan">
      <formula>0</formula>
    </cfRule>
  </conditionalFormatting>
  <conditionalFormatting sqref="N14">
    <cfRule type="cellIs" dxfId="83" priority="172" stopIfTrue="1" operator="greaterThan">
      <formula>0</formula>
    </cfRule>
  </conditionalFormatting>
  <conditionalFormatting sqref="H14">
    <cfRule type="cellIs" dxfId="82" priority="171" stopIfTrue="1" operator="greaterThan">
      <formula>0</formula>
    </cfRule>
  </conditionalFormatting>
  <conditionalFormatting sqref="AE14:AF14">
    <cfRule type="cellIs" dxfId="81" priority="170" stopIfTrue="1" operator="greaterThan">
      <formula>0</formula>
    </cfRule>
  </conditionalFormatting>
  <conditionalFormatting sqref="D13:F13">
    <cfRule type="cellIs" dxfId="80" priority="160" stopIfTrue="1" operator="greaterThan">
      <formula>0</formula>
    </cfRule>
  </conditionalFormatting>
  <conditionalFormatting sqref="D16:F16">
    <cfRule type="cellIs" dxfId="79" priority="152" stopIfTrue="1" operator="greaterThan">
      <formula>0</formula>
    </cfRule>
  </conditionalFormatting>
  <conditionalFormatting sqref="I13:M13">
    <cfRule type="cellIs" dxfId="78" priority="159" stopIfTrue="1" operator="greaterThan">
      <formula>0</formula>
    </cfRule>
  </conditionalFormatting>
  <conditionalFormatting sqref="O13:AD13">
    <cfRule type="cellIs" dxfId="77" priority="158" stopIfTrue="1" operator="greaterThan">
      <formula>0</formula>
    </cfRule>
  </conditionalFormatting>
  <conditionalFormatting sqref="G13">
    <cfRule type="cellIs" dxfId="76" priority="157" stopIfTrue="1" operator="greaterThan">
      <formula>0</formula>
    </cfRule>
  </conditionalFormatting>
  <conditionalFormatting sqref="N13">
    <cfRule type="cellIs" dxfId="75" priority="156" stopIfTrue="1" operator="greaterThan">
      <formula>0</formula>
    </cfRule>
  </conditionalFormatting>
  <conditionalFormatting sqref="H13">
    <cfRule type="cellIs" dxfId="74" priority="155" stopIfTrue="1" operator="greaterThan">
      <formula>0</formula>
    </cfRule>
  </conditionalFormatting>
  <conditionalFormatting sqref="AE13:AF13">
    <cfRule type="cellIs" dxfId="73" priority="154" stopIfTrue="1" operator="greaterThan">
      <formula>0</formula>
    </cfRule>
  </conditionalFormatting>
  <conditionalFormatting sqref="I16:M16">
    <cfRule type="cellIs" dxfId="72" priority="151" stopIfTrue="1" operator="greaterThan">
      <formula>0</formula>
    </cfRule>
  </conditionalFormatting>
  <conditionalFormatting sqref="O16:Q16">
    <cfRule type="cellIs" dxfId="71" priority="150" stopIfTrue="1" operator="greaterThan">
      <formula>0</formula>
    </cfRule>
  </conditionalFormatting>
  <conditionalFormatting sqref="G16">
    <cfRule type="cellIs" dxfId="70" priority="149" stopIfTrue="1" operator="greaterThan">
      <formula>0</formula>
    </cfRule>
  </conditionalFormatting>
  <conditionalFormatting sqref="N16">
    <cfRule type="cellIs" dxfId="69" priority="148" stopIfTrue="1" operator="greaterThan">
      <formula>0</formula>
    </cfRule>
  </conditionalFormatting>
  <conditionalFormatting sqref="H16">
    <cfRule type="cellIs" dxfId="68" priority="147" stopIfTrue="1" operator="greaterThan">
      <formula>0</formula>
    </cfRule>
  </conditionalFormatting>
  <conditionalFormatting sqref="D19:F19">
    <cfRule type="cellIs" dxfId="67" priority="132" stopIfTrue="1" operator="greaterThan">
      <formula>0</formula>
    </cfRule>
  </conditionalFormatting>
  <conditionalFormatting sqref="I19:M19">
    <cfRule type="cellIs" dxfId="66" priority="131" stopIfTrue="1" operator="greaterThan">
      <formula>0</formula>
    </cfRule>
  </conditionalFormatting>
  <conditionalFormatting sqref="O19:U19 W19:AC19">
    <cfRule type="cellIs" dxfId="65" priority="130" stopIfTrue="1" operator="greaterThan">
      <formula>0</formula>
    </cfRule>
  </conditionalFormatting>
  <conditionalFormatting sqref="G19">
    <cfRule type="cellIs" dxfId="64" priority="129" stopIfTrue="1" operator="greaterThan">
      <formula>0</formula>
    </cfRule>
  </conditionalFormatting>
  <conditionalFormatting sqref="N19">
    <cfRule type="cellIs" dxfId="63" priority="128" stopIfTrue="1" operator="greaterThan">
      <formula>0</formula>
    </cfRule>
  </conditionalFormatting>
  <conditionalFormatting sqref="H19">
    <cfRule type="cellIs" dxfId="62" priority="127" stopIfTrue="1" operator="greaterThan">
      <formula>0</formula>
    </cfRule>
  </conditionalFormatting>
  <conditionalFormatting sqref="AD19">
    <cfRule type="cellIs" dxfId="61" priority="126" stopIfTrue="1" operator="greaterThan">
      <formula>0</formula>
    </cfRule>
  </conditionalFormatting>
  <conditionalFormatting sqref="D20">
    <cfRule type="cellIs" dxfId="60" priority="118" stopIfTrue="1" operator="greaterThan">
      <formula>0</formula>
    </cfRule>
  </conditionalFormatting>
  <conditionalFormatting sqref="V19">
    <cfRule type="cellIs" dxfId="59" priority="124" stopIfTrue="1" operator="greaterThan">
      <formula>0</formula>
    </cfRule>
  </conditionalFormatting>
  <conditionalFormatting sqref="AE19:AF19">
    <cfRule type="cellIs" dxfId="58" priority="123" stopIfTrue="1" operator="greaterThan">
      <formula>0</formula>
    </cfRule>
  </conditionalFormatting>
  <conditionalFormatting sqref="G20:H20 AE20:AF20 J20:V20">
    <cfRule type="cellIs" dxfId="57" priority="121" stopIfTrue="1" operator="greaterThan">
      <formula>0</formula>
    </cfRule>
  </conditionalFormatting>
  <conditionalFormatting sqref="W20 Y20:AB20">
    <cfRule type="cellIs" dxfId="56" priority="120" stopIfTrue="1" operator="greaterThan">
      <formula>0</formula>
    </cfRule>
  </conditionalFormatting>
  <conditionalFormatting sqref="AC20">
    <cfRule type="cellIs" dxfId="55" priority="119" stopIfTrue="1" operator="greaterThan">
      <formula>0</formula>
    </cfRule>
  </conditionalFormatting>
  <conditionalFormatting sqref="AD20:AD21">
    <cfRule type="cellIs" dxfId="54" priority="116" stopIfTrue="1" operator="greaterThan">
      <formula>0</formula>
    </cfRule>
  </conditionalFormatting>
  <conditionalFormatting sqref="W16">
    <cfRule type="cellIs" dxfId="53" priority="105" stopIfTrue="1" operator="greaterThan">
      <formula>0</formula>
    </cfRule>
  </conditionalFormatting>
  <conditionalFormatting sqref="V16">
    <cfRule type="cellIs" dxfId="52" priority="106" stopIfTrue="1" operator="greaterThan">
      <formula>0</formula>
    </cfRule>
  </conditionalFormatting>
  <conditionalFormatting sqref="R16">
    <cfRule type="cellIs" dxfId="51" priority="110" stopIfTrue="1" operator="greaterThan">
      <formula>0</formula>
    </cfRule>
  </conditionalFormatting>
  <conditionalFormatting sqref="S16">
    <cfRule type="cellIs" dxfId="50" priority="109" stopIfTrue="1" operator="greaterThan">
      <formula>0</formula>
    </cfRule>
  </conditionalFormatting>
  <conditionalFormatting sqref="T16">
    <cfRule type="cellIs" dxfId="49" priority="108" stopIfTrue="1" operator="greaterThan">
      <formula>0</formula>
    </cfRule>
  </conditionalFormatting>
  <conditionalFormatting sqref="U16">
    <cfRule type="cellIs" dxfId="48" priority="107" stopIfTrue="1" operator="greaterThan">
      <formula>0</formula>
    </cfRule>
  </conditionalFormatting>
  <conditionalFormatting sqref="X16">
    <cfRule type="cellIs" dxfId="47" priority="104" stopIfTrue="1" operator="greaterThan">
      <formula>0</formula>
    </cfRule>
  </conditionalFormatting>
  <conditionalFormatting sqref="Y16">
    <cfRule type="cellIs" dxfId="46" priority="103" stopIfTrue="1" operator="greaterThan">
      <formula>0</formula>
    </cfRule>
  </conditionalFormatting>
  <conditionalFormatting sqref="Z16">
    <cfRule type="cellIs" dxfId="45" priority="102" stopIfTrue="1" operator="greaterThan">
      <formula>0</formula>
    </cfRule>
  </conditionalFormatting>
  <conditionalFormatting sqref="AA16">
    <cfRule type="cellIs" dxfId="44" priority="101" stopIfTrue="1" operator="greaterThan">
      <formula>0</formula>
    </cfRule>
  </conditionalFormatting>
  <conditionalFormatting sqref="AB16">
    <cfRule type="cellIs" dxfId="43" priority="100" stopIfTrue="1" operator="greaterThan">
      <formula>0</formula>
    </cfRule>
  </conditionalFormatting>
  <conditionalFormatting sqref="AC16">
    <cfRule type="cellIs" dxfId="42" priority="99" stopIfTrue="1" operator="greaterThan">
      <formula>0</formula>
    </cfRule>
  </conditionalFormatting>
  <conditionalFormatting sqref="AD16">
    <cfRule type="cellIs" dxfId="41" priority="98" stopIfTrue="1" operator="greaterThan">
      <formula>0</formula>
    </cfRule>
  </conditionalFormatting>
  <conditionalFormatting sqref="AE16:AF16">
    <cfRule type="cellIs" dxfId="40" priority="97" stopIfTrue="1" operator="greaterThan">
      <formula>0</formula>
    </cfRule>
  </conditionalFormatting>
  <conditionalFormatting sqref="D23:AF24 D22:J22 M22:AF22">
    <cfRule type="cellIs" dxfId="39" priority="55" stopIfTrue="1" operator="greaterThan">
      <formula>0</formula>
    </cfRule>
  </conditionalFormatting>
  <conditionalFormatting sqref="AG13">
    <cfRule type="cellIs" dxfId="38" priority="45" stopIfTrue="1" operator="greaterThan">
      <formula>0</formula>
    </cfRule>
  </conditionalFormatting>
  <conditionalFormatting sqref="AG13">
    <cfRule type="cellIs" dxfId="37" priority="36" stopIfTrue="1" operator="greaterThan">
      <formula>0</formula>
    </cfRule>
  </conditionalFormatting>
  <conditionalFormatting sqref="AG21 AG17:AG18">
    <cfRule type="cellIs" dxfId="36" priority="49" stopIfTrue="1" operator="greaterThan">
      <formula>0</formula>
    </cfRule>
  </conditionalFormatting>
  <conditionalFormatting sqref="AG15">
    <cfRule type="cellIs" dxfId="35" priority="48" stopIfTrue="1" operator="greaterThan">
      <formula>0</formula>
    </cfRule>
  </conditionalFormatting>
  <conditionalFormatting sqref="AG14">
    <cfRule type="cellIs" dxfId="34" priority="47" stopIfTrue="1" operator="greaterThan">
      <formula>0</formula>
    </cfRule>
  </conditionalFormatting>
  <conditionalFormatting sqref="AG19">
    <cfRule type="cellIs" dxfId="33" priority="44" stopIfTrue="1" operator="greaterThan">
      <formula>0</formula>
    </cfRule>
  </conditionalFormatting>
  <conditionalFormatting sqref="AG20">
    <cfRule type="cellIs" dxfId="32" priority="43" stopIfTrue="1" operator="greaterThan">
      <formula>0</formula>
    </cfRule>
  </conditionalFormatting>
  <conditionalFormatting sqref="AG16">
    <cfRule type="cellIs" dxfId="31" priority="42" stopIfTrue="1" operator="greaterThan">
      <formula>0</formula>
    </cfRule>
  </conditionalFormatting>
  <conditionalFormatting sqref="AG21 AG17:AG18">
    <cfRule type="cellIs" dxfId="30" priority="40" stopIfTrue="1" operator="greaterThan">
      <formula>0</formula>
    </cfRule>
  </conditionalFormatting>
  <conditionalFormatting sqref="AG15">
    <cfRule type="cellIs" dxfId="29" priority="39" stopIfTrue="1" operator="greaterThan">
      <formula>0</formula>
    </cfRule>
  </conditionalFormatting>
  <conditionalFormatting sqref="AG14">
    <cfRule type="cellIs" dxfId="28" priority="38" stopIfTrue="1" operator="greaterThan">
      <formula>0</formula>
    </cfRule>
  </conditionalFormatting>
  <conditionalFormatting sqref="AG19">
    <cfRule type="cellIs" dxfId="27" priority="35" stopIfTrue="1" operator="greaterThan">
      <formula>0</formula>
    </cfRule>
  </conditionalFormatting>
  <conditionalFormatting sqref="AG20">
    <cfRule type="cellIs" dxfId="26" priority="34" stopIfTrue="1" operator="greaterThan">
      <formula>0</formula>
    </cfRule>
  </conditionalFormatting>
  <conditionalFormatting sqref="AG16">
    <cfRule type="cellIs" dxfId="25" priority="33" stopIfTrue="1" operator="greaterThan">
      <formula>0</formula>
    </cfRule>
  </conditionalFormatting>
  <conditionalFormatting sqref="AF13">
    <cfRule type="cellIs" dxfId="24" priority="27" stopIfTrue="1" operator="greaterThan">
      <formula>0</formula>
    </cfRule>
  </conditionalFormatting>
  <conditionalFormatting sqref="AF19">
    <cfRule type="cellIs" dxfId="23" priority="26" stopIfTrue="1" operator="greaterThan">
      <formula>0</formula>
    </cfRule>
  </conditionalFormatting>
  <conditionalFormatting sqref="AF23:AF24">
    <cfRule type="cellIs" dxfId="22" priority="23" stopIfTrue="1" operator="greaterThan">
      <formula>0</formula>
    </cfRule>
  </conditionalFormatting>
  <conditionalFormatting sqref="AF21 AF17:AF18">
    <cfRule type="cellIs" dxfId="21" priority="31" stopIfTrue="1" operator="greaterThan">
      <formula>0</formula>
    </cfRule>
  </conditionalFormatting>
  <conditionalFormatting sqref="AF15">
    <cfRule type="cellIs" dxfId="20" priority="30" stopIfTrue="1" operator="greaterThan">
      <formula>0</formula>
    </cfRule>
  </conditionalFormatting>
  <conditionalFormatting sqref="AF14">
    <cfRule type="cellIs" dxfId="19" priority="29" stopIfTrue="1" operator="greaterThan">
      <formula>0</formula>
    </cfRule>
  </conditionalFormatting>
  <conditionalFormatting sqref="AF20">
    <cfRule type="cellIs" dxfId="18" priority="25" stopIfTrue="1" operator="greaterThan">
      <formula>0</formula>
    </cfRule>
  </conditionalFormatting>
  <conditionalFormatting sqref="AF16">
    <cfRule type="cellIs" dxfId="17" priority="24" stopIfTrue="1" operator="greaterThan">
      <formula>0</formula>
    </cfRule>
  </conditionalFormatting>
  <conditionalFormatting sqref="D25:J25 M25:AF25">
    <cfRule type="cellIs" dxfId="16" priority="22" stopIfTrue="1" operator="greaterThan">
      <formula>0</formula>
    </cfRule>
  </conditionalFormatting>
  <conditionalFormatting sqref="AG25">
    <cfRule type="cellIs" dxfId="15" priority="20" stopIfTrue="1" operator="greaterThan">
      <formula>0</formula>
    </cfRule>
  </conditionalFormatting>
  <conditionalFormatting sqref="AG25">
    <cfRule type="cellIs" dxfId="14" priority="19" stopIfTrue="1" operator="greaterThan">
      <formula>0</formula>
    </cfRule>
  </conditionalFormatting>
  <conditionalFormatting sqref="AF25">
    <cfRule type="cellIs" dxfId="13" priority="18" stopIfTrue="1" operator="greaterThan">
      <formula>0</formula>
    </cfRule>
  </conditionalFormatting>
  <conditionalFormatting sqref="N21">
    <cfRule type="cellIs" dxfId="12" priority="16" stopIfTrue="1" operator="greaterThan">
      <formula>0</formula>
    </cfRule>
  </conditionalFormatting>
  <conditionalFormatting sqref="O21">
    <cfRule type="cellIs" dxfId="11" priority="15" stopIfTrue="1" operator="greaterThan">
      <formula>0</formula>
    </cfRule>
  </conditionalFormatting>
  <conditionalFormatting sqref="AG22:AG24">
    <cfRule type="cellIs" dxfId="10" priority="14" stopIfTrue="1" operator="greaterThan">
      <formula>0</formula>
    </cfRule>
  </conditionalFormatting>
  <conditionalFormatting sqref="E21:F21">
    <cfRule type="cellIs" dxfId="9" priority="13" stopIfTrue="1" operator="greaterThan">
      <formula>0</formula>
    </cfRule>
  </conditionalFormatting>
  <conditionalFormatting sqref="E20:F20">
    <cfRule type="cellIs" dxfId="8" priority="12" stopIfTrue="1" operator="greaterThan">
      <formula>0</formula>
    </cfRule>
  </conditionalFormatting>
  <conditionalFormatting sqref="I20">
    <cfRule type="cellIs" dxfId="7" priority="11" stopIfTrue="1" operator="greaterThan">
      <formula>0</formula>
    </cfRule>
  </conditionalFormatting>
  <conditionalFormatting sqref="X20">
    <cfRule type="cellIs" dxfId="6" priority="9" stopIfTrue="1" operator="greaterThan">
      <formula>0</formula>
    </cfRule>
  </conditionalFormatting>
  <conditionalFormatting sqref="K33">
    <cfRule type="cellIs" dxfId="5" priority="8" stopIfTrue="1" operator="greaterThan">
      <formula>0</formula>
    </cfRule>
  </conditionalFormatting>
  <conditionalFormatting sqref="L33">
    <cfRule type="cellIs" dxfId="4" priority="7" stopIfTrue="1" operator="greaterThan">
      <formula>0</formula>
    </cfRule>
  </conditionalFormatting>
  <conditionalFormatting sqref="K25">
    <cfRule type="cellIs" dxfId="3" priority="4" stopIfTrue="1" operator="greaterThan">
      <formula>0</formula>
    </cfRule>
  </conditionalFormatting>
  <conditionalFormatting sqref="L25">
    <cfRule type="cellIs" dxfId="2" priority="3" stopIfTrue="1" operator="greaterThan">
      <formula>0</formula>
    </cfRule>
  </conditionalFormatting>
  <conditionalFormatting sqref="K22">
    <cfRule type="cellIs" dxfId="1" priority="2" stopIfTrue="1" operator="greaterThan">
      <formula>0</formula>
    </cfRule>
  </conditionalFormatting>
  <conditionalFormatting sqref="L22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ALU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Wanto</cp:lastModifiedBy>
  <cp:lastPrinted>2007-08-03T02:53:39Z</cp:lastPrinted>
  <dcterms:created xsi:type="dcterms:W3CDTF">2006-10-16T02:50:45Z</dcterms:created>
  <dcterms:modified xsi:type="dcterms:W3CDTF">2021-10-01T06:41:15Z</dcterms:modified>
</cp:coreProperties>
</file>