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Megashop'!$A$1:$AE$37</definedName>
  </definedNames>
  <calcPr calcId="144525"/>
</workbook>
</file>

<file path=xl/calcChain.xml><?xml version="1.0" encoding="utf-8"?>
<calcChain xmlns="http://schemas.openxmlformats.org/spreadsheetml/2006/main">
  <c r="E25" i="11" l="1"/>
  <c r="D25" i="11"/>
  <c r="C25" i="11" l="1"/>
  <c r="B25" i="11" l="1"/>
  <c r="C29" i="11" l="1"/>
</calcChain>
</file>

<file path=xl/sharedStrings.xml><?xml version="1.0" encoding="utf-8"?>
<sst xmlns="http://schemas.openxmlformats.org/spreadsheetml/2006/main" count="65" uniqueCount="28">
  <si>
    <t>Device Name</t>
  </si>
  <si>
    <t>Availability</t>
  </si>
  <si>
    <t>No</t>
  </si>
  <si>
    <t>Dailly Report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</si>
  <si>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</si>
  <si>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</si>
  <si>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</si>
  <si>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</si>
  <si>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</si>
  <si>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</si>
  <si>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</si>
  <si>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</si>
  <si>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</si>
  <si>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PT. INDOTRUCK UTAMA</t>
  </si>
  <si>
    <t>Link Leased Line INDOTRUCK UTAMA</t>
  </si>
  <si>
    <t>PT. INDOTRUCK UTAMA</t>
  </si>
  <si>
    <t>LINK LEASED LINE INDOTRUCK UTAMA</t>
  </si>
  <si>
    <t>Date                                                                       :</t>
  </si>
  <si>
    <t>Month                                                                    :</t>
  </si>
  <si>
    <t>Remaks</t>
  </si>
  <si>
    <t>6.10.22</t>
  </si>
  <si>
    <t>7.10.22</t>
  </si>
  <si>
    <t>9.10.22</t>
  </si>
  <si>
    <t>18.10.22</t>
  </si>
  <si>
    <t>27.10.22</t>
  </si>
  <si>
    <t>29.10.22</t>
  </si>
  <si>
    <t>0:1-:08</t>
  </si>
  <si>
    <t xml:space="preserve">         Loss Signal SU - 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</si>
</sst>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sz val="12"/>
      <name val="Tahoma"/>
      <family val="2"/>
    </font>
    <font>
      <sz val="16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1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0" xfId="0" applyFont="1" applyAlignment="1">
      <alignment vertical="top"/>
    </xf>
    <xf numFmtId="0" fontId="36" fillId="0" borderId="0" xfId="0" applyFont="1" applyAlignment="1"/>
    <xf numFmtId="0" fontId="36" fillId="0" borderId="0" xfId="0" applyFont="1"/>
    <xf numFmtId="0" fontId="7" fillId="0" borderId="0" xfId="0" applyFont="1"/>
    <xf numFmtId="0" fontId="0" fillId="33" borderId="1" xfId="0" applyFill="1" applyBorder="1" applyAlignment="1">
      <alignment horizontal="center"/>
    </xf>
    <xf numFmtId="0" fontId="0" fillId="33" borderId="3" xfId="0" applyFill="1" applyBorder="1"/>
    <xf numFmtId="0" fontId="0" fillId="33" borderId="1" xfId="0" applyFill="1" applyBorder="1"/>
    <xf numFmtId="9" fontId="8" fillId="33" borderId="1" xfId="0" applyNumberFormat="1" applyFont="1" applyFill="1" applyBorder="1" applyAlignment="1">
      <alignment horizontal="center"/>
    </xf>
    <xf numFmtId="0" fontId="6" fillId="33" borderId="0" xfId="0" applyFont="1" applyFill="1"/>
    <xf numFmtId="0" fontId="6" fillId="33" borderId="0" xfId="0" applyFont="1" applyFill="1" applyBorder="1"/>
    <xf numFmtId="0" fontId="6" fillId="33" borderId="15" xfId="0" applyFont="1" applyFill="1" applyBorder="1"/>
    <xf numFmtId="10" fontId="6" fillId="33" borderId="0" xfId="0" applyNumberFormat="1" applyFont="1" applyFill="1" applyBorder="1" applyAlignment="1">
      <alignment horizontal="left" vertical="center"/>
    </xf>
    <xf numFmtId="0" fontId="6" fillId="33" borderId="0" xfId="0" applyFont="1" applyFill="1" applyBorder="1" applyAlignment="1"/>
    <xf numFmtId="15" fontId="7" fillId="33" borderId="0" xfId="0" applyNumberFormat="1" applyFont="1" applyFill="1" applyBorder="1" applyAlignment="1">
      <alignment horizontal="center" vertical="center"/>
    </xf>
    <xf numFmtId="0" fontId="34" fillId="33" borderId="0" xfId="0" applyFont="1" applyFill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46" fontId="0" fillId="0" borderId="4" xfId="0" applyNumberFormat="1" applyBorder="1" applyAlignment="1">
      <alignment horizontal="center" vertical="center"/>
    </xf>
    <xf numFmtId="46" fontId="35" fillId="0" borderId="4" xfId="0" applyNumberFormat="1" applyFont="1" applyBorder="1" applyAlignment="1">
      <alignment horizontal="center" vertical="center"/>
    </xf>
    <xf numFmtId="21" fontId="6" fillId="0" borderId="4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left"/>
    </xf>
    <xf numFmtId="15" fontId="7" fillId="0" borderId="16" xfId="0" applyNumberFormat="1" applyFont="1" applyBorder="1" applyAlignment="1">
      <alignment horizontal="center" vertical="center"/>
    </xf>
    <xf numFmtId="15" fontId="7" fillId="0" borderId="14" xfId="0" applyNumberFormat="1" applyFont="1" applyBorder="1" applyAlignment="1">
      <alignment horizontal="center" vertical="center"/>
    </xf>
    <xf numFmtId="16" fontId="7" fillId="34" borderId="3" xfId="0" applyNumberFormat="1" applyFont="1" applyFill="1" applyBorder="1" applyAlignment="1">
      <alignment horizontal="center"/>
    </xf>
    <xf numFmtId="0" fontId="11" fillId="35" borderId="1" xfId="0" applyFont="1" applyFill="1" applyBorder="1" applyAlignment="1">
      <alignment horizontal="center" vertical="center"/>
    </xf>
    <xf numFmtId="0" fontId="11" fillId="35" borderId="3" xfId="0" applyFont="1" applyFill="1" applyBorder="1" applyAlignment="1">
      <alignment horizontal="center" vertical="center"/>
    </xf>
    <xf numFmtId="0" fontId="11" fillId="35" borderId="1" xfId="0" applyFont="1" applyFill="1" applyBorder="1" applyAlignment="1">
      <alignment horizontal="left" vertical="center"/>
    </xf>
    <xf numFmtId="16" fontId="7" fillId="34" borderId="1" xfId="0" applyNumberFormat="1" applyFont="1" applyFill="1" applyBorder="1" applyAlignment="1">
      <alignment horizontal="center"/>
    </xf>
    <xf numFmtId="15" fontId="7" fillId="0" borderId="18" xfId="0" applyNumberFormat="1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7" fillId="34" borderId="2" xfId="0" applyFont="1" applyFill="1" applyBorder="1" applyAlignment="1">
      <alignment horizontal="center" vertical="center" wrapText="1"/>
    </xf>
    <xf numFmtId="0" fontId="7" fillId="34" borderId="4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7" fillId="0" borderId="0" xfId="0" applyFont="1" applyAlignment="1">
      <alignment horizontal="center"/>
    </xf>
    <xf numFmtId="10" fontId="7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46" fontId="6" fillId="0" borderId="4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3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9" xfId="0" applyFont="1" applyBorder="1" applyAlignment="1">
      <alignment vertic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5"/>
  <sheetViews>
    <sheetView tabSelected="1" topLeftCell="A7" zoomScale="90" zoomScaleNormal="90" workbookViewId="0">
      <selection activeCell="D20" sqref="D20:AH20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3" customWidth="1"/>
    <col min="17" max="30" width="9.140625" customWidth="1"/>
    <col min="31" max="31" width="9.7109375" customWidth="1"/>
    <col min="32" max="33" width="9.140625" customWidth="1"/>
    <col min="34" max="34" width="9.28515625" customWidth="1"/>
  </cols>
  <sheetData>
    <row r="1" spans="1:34" s="3" customFormat="1" ht="14.25" x14ac:dyDescent="0.2">
      <c r="A1" s="4" t="s">
        <v>10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11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13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18</v>
      </c>
      <c r="B7" s="6"/>
      <c r="C7" s="36">
        <v>44835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17</v>
      </c>
      <c r="B8" s="8"/>
      <c r="C8" s="60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2" t="s">
        <v>2</v>
      </c>
      <c r="B10" s="72" t="s">
        <v>0</v>
      </c>
      <c r="C10" s="72" t="s">
        <v>5</v>
      </c>
      <c r="D10" s="63">
        <v>44835</v>
      </c>
      <c r="E10" s="63">
        <v>44836</v>
      </c>
      <c r="F10" s="63">
        <v>44837</v>
      </c>
      <c r="G10" s="63">
        <v>44838</v>
      </c>
      <c r="H10" s="63">
        <v>44839</v>
      </c>
      <c r="I10" s="63">
        <v>44840</v>
      </c>
      <c r="J10" s="63">
        <v>44841</v>
      </c>
      <c r="K10" s="63">
        <v>44842</v>
      </c>
      <c r="L10" s="63">
        <v>44843</v>
      </c>
      <c r="M10" s="63">
        <v>44844</v>
      </c>
      <c r="N10" s="63">
        <v>44845</v>
      </c>
      <c r="O10" s="63">
        <v>44846</v>
      </c>
      <c r="P10" s="63">
        <v>44847</v>
      </c>
      <c r="Q10" s="63">
        <v>44848</v>
      </c>
      <c r="R10" s="63">
        <v>44849</v>
      </c>
      <c r="S10" s="63">
        <v>44850</v>
      </c>
      <c r="T10" s="63">
        <v>44851</v>
      </c>
      <c r="U10" s="63">
        <v>44852</v>
      </c>
      <c r="V10" s="63">
        <v>44853</v>
      </c>
      <c r="W10" s="63">
        <v>44854</v>
      </c>
      <c r="X10" s="63">
        <v>44855</v>
      </c>
      <c r="Y10" s="63">
        <v>44856</v>
      </c>
      <c r="Z10" s="63">
        <v>44857</v>
      </c>
      <c r="AA10" s="63">
        <v>44858</v>
      </c>
      <c r="AB10" s="63">
        <v>44859</v>
      </c>
      <c r="AC10" s="63">
        <v>44860</v>
      </c>
      <c r="AD10" s="63">
        <v>44861</v>
      </c>
      <c r="AE10" s="63">
        <v>44862</v>
      </c>
      <c r="AF10" s="63">
        <v>44863</v>
      </c>
      <c r="AG10" s="63">
        <v>44864</v>
      </c>
      <c r="AH10" s="67">
        <v>44865</v>
      </c>
    </row>
    <row r="11" spans="1:34" s="1" customFormat="1" x14ac:dyDescent="0.2">
      <c r="A11" s="73"/>
      <c r="B11" s="73"/>
      <c r="C11" s="73"/>
      <c r="D11" s="64" t="s">
        <v>4</v>
      </c>
      <c r="E11" s="64" t="s">
        <v>4</v>
      </c>
      <c r="F11" s="64" t="s">
        <v>4</v>
      </c>
      <c r="G11" s="64" t="s">
        <v>4</v>
      </c>
      <c r="H11" s="64" t="s">
        <v>4</v>
      </c>
      <c r="I11" s="64" t="s">
        <v>4</v>
      </c>
      <c r="J11" s="64" t="s">
        <v>4</v>
      </c>
      <c r="K11" s="64" t="s">
        <v>4</v>
      </c>
      <c r="L11" s="64" t="s">
        <v>4</v>
      </c>
      <c r="M11" s="64" t="s">
        <v>4</v>
      </c>
      <c r="N11" s="64" t="s">
        <v>4</v>
      </c>
      <c r="O11" s="64" t="s">
        <v>4</v>
      </c>
      <c r="P11" s="64" t="s">
        <v>4</v>
      </c>
      <c r="Q11" s="64" t="s">
        <v>4</v>
      </c>
      <c r="R11" s="64" t="s">
        <v>4</v>
      </c>
      <c r="S11" s="64" t="s">
        <v>4</v>
      </c>
      <c r="T11" s="64" t="s">
        <v>4</v>
      </c>
      <c r="U11" s="64" t="s">
        <v>4</v>
      </c>
      <c r="V11" s="64" t="s">
        <v>4</v>
      </c>
      <c r="W11" s="64" t="s">
        <v>4</v>
      </c>
      <c r="X11" s="64" t="s">
        <v>4</v>
      </c>
      <c r="Y11" s="64" t="s">
        <v>4</v>
      </c>
      <c r="Z11" s="64" t="s">
        <v>4</v>
      </c>
      <c r="AA11" s="64" t="s">
        <v>4</v>
      </c>
      <c r="AB11" s="64" t="s">
        <v>4</v>
      </c>
      <c r="AC11" s="64" t="s">
        <v>4</v>
      </c>
      <c r="AD11" s="64" t="s">
        <v>4</v>
      </c>
      <c r="AE11" s="64" t="s">
        <v>4</v>
      </c>
      <c r="AF11" s="64" t="s">
        <v>4</v>
      </c>
      <c r="AG11" s="65" t="s">
        <v>4</v>
      </c>
      <c r="AH11" s="66" t="s">
        <v>4</v>
      </c>
    </row>
    <row r="12" spans="1:34" x14ac:dyDescent="0.2">
      <c r="A12" s="43"/>
      <c r="B12" s="44"/>
      <c r="C12" s="45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3"/>
      <c r="AB12" s="44"/>
      <c r="AC12" s="43"/>
      <c r="AD12" s="44"/>
      <c r="AE12" s="45"/>
      <c r="AF12" s="46"/>
      <c r="AG12" s="46"/>
      <c r="AH12" s="46"/>
    </row>
    <row r="13" spans="1:34" s="39" customFormat="1" ht="106.5" customHeight="1" x14ac:dyDescent="0.2">
      <c r="A13" s="54">
        <v>1</v>
      </c>
      <c r="B13" s="55" t="s">
        <v>14</v>
      </c>
      <c r="C13" s="56" t="s">
        <v>15</v>
      </c>
      <c r="D13" s="57">
        <v>0</v>
      </c>
      <c r="E13" s="57">
        <v>0</v>
      </c>
      <c r="F13" s="57">
        <v>0</v>
      </c>
      <c r="G13" s="57">
        <v>0</v>
      </c>
      <c r="H13" s="57">
        <v>0</v>
      </c>
      <c r="I13" s="85">
        <v>6.9444444444444441E-3</v>
      </c>
      <c r="J13" s="57">
        <v>7.037037037037037E-3</v>
      </c>
      <c r="K13" s="57">
        <v>0</v>
      </c>
      <c r="L13" s="57">
        <v>6.9444444444444441E-3</v>
      </c>
      <c r="M13" s="57">
        <v>0</v>
      </c>
      <c r="N13" s="57">
        <v>0</v>
      </c>
      <c r="O13" s="57">
        <v>0</v>
      </c>
      <c r="P13" s="57">
        <v>0</v>
      </c>
      <c r="Q13" s="57">
        <v>0</v>
      </c>
      <c r="R13" s="57">
        <v>0</v>
      </c>
      <c r="S13" s="57">
        <v>0</v>
      </c>
      <c r="T13" s="57">
        <v>0</v>
      </c>
      <c r="U13" s="57">
        <v>7.0254629629629634E-3</v>
      </c>
      <c r="V13" s="57">
        <v>0</v>
      </c>
      <c r="W13" s="57">
        <v>0</v>
      </c>
      <c r="X13" s="57">
        <v>0</v>
      </c>
      <c r="Y13" s="57">
        <v>0</v>
      </c>
      <c r="Z13" s="57">
        <v>0</v>
      </c>
      <c r="AA13" s="58">
        <v>0</v>
      </c>
      <c r="AB13" s="57">
        <v>0</v>
      </c>
      <c r="AC13" s="57">
        <v>0</v>
      </c>
      <c r="AD13" s="57">
        <v>1.3981481481481482E-2</v>
      </c>
      <c r="AE13" s="57">
        <v>0</v>
      </c>
      <c r="AF13" s="85" t="s">
        <v>26</v>
      </c>
      <c r="AG13" s="57">
        <v>0</v>
      </c>
      <c r="AH13" s="59">
        <v>0</v>
      </c>
    </row>
    <row r="14" spans="1:34" s="14" customFormat="1" ht="12.75" customHeight="1" x14ac:dyDescent="0.2">
      <c r="A14" s="53"/>
      <c r="B14" s="53"/>
      <c r="C14" s="52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1"/>
      <c r="P14" s="51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9"/>
      <c r="AF14" s="47"/>
      <c r="AG14" s="47"/>
      <c r="AH14" s="47"/>
    </row>
    <row r="15" spans="1:34" s="14" customFormat="1" ht="17.100000000000001" customHeight="1" x14ac:dyDescent="0.2">
      <c r="A15" s="74">
        <v>2</v>
      </c>
      <c r="B15" s="77" t="s">
        <v>19</v>
      </c>
      <c r="C15" s="83" t="s">
        <v>20</v>
      </c>
      <c r="D15" s="86" t="s">
        <v>27</v>
      </c>
      <c r="E15" s="87"/>
      <c r="F15" s="87"/>
      <c r="G15" s="87"/>
      <c r="H15" s="87"/>
      <c r="I15" s="87"/>
      <c r="J15" s="87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2"/>
    </row>
    <row r="16" spans="1:34" s="14" customFormat="1" ht="17.100000000000001" customHeight="1" x14ac:dyDescent="0.2">
      <c r="A16" s="75"/>
      <c r="B16" s="78"/>
      <c r="C16" s="84" t="s">
        <v>21</v>
      </c>
      <c r="D16" s="86" t="s">
        <v>27</v>
      </c>
      <c r="E16" s="87"/>
      <c r="F16" s="87"/>
      <c r="G16" s="87"/>
      <c r="H16" s="87"/>
      <c r="I16" s="87"/>
      <c r="J16" s="87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9"/>
    </row>
    <row r="17" spans="1:34" s="14" customFormat="1" ht="17.100000000000001" customHeight="1" x14ac:dyDescent="0.2">
      <c r="A17" s="75"/>
      <c r="B17" s="78"/>
      <c r="C17" s="83" t="s">
        <v>22</v>
      </c>
      <c r="D17" s="86" t="s">
        <v>27</v>
      </c>
      <c r="E17" s="87"/>
      <c r="F17" s="87"/>
      <c r="G17" s="87"/>
      <c r="H17" s="87"/>
      <c r="I17" s="87"/>
      <c r="J17" s="87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2"/>
    </row>
    <row r="18" spans="1:34" s="14" customFormat="1" ht="17.100000000000001" customHeight="1" x14ac:dyDescent="0.2">
      <c r="A18" s="75"/>
      <c r="B18" s="78"/>
      <c r="C18" s="84" t="s">
        <v>23</v>
      </c>
      <c r="D18" s="86" t="s">
        <v>27</v>
      </c>
      <c r="E18" s="87"/>
      <c r="F18" s="87"/>
      <c r="G18" s="87"/>
      <c r="H18" s="87"/>
      <c r="I18" s="87"/>
      <c r="J18" s="87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9"/>
    </row>
    <row r="19" spans="1:34" s="14" customFormat="1" ht="17.100000000000001" customHeight="1" x14ac:dyDescent="0.2">
      <c r="A19" s="75"/>
      <c r="B19" s="78"/>
      <c r="C19" s="82" t="s">
        <v>24</v>
      </c>
      <c r="D19" s="88" t="s">
        <v>27</v>
      </c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90"/>
    </row>
    <row r="20" spans="1:34" s="14" customFormat="1" ht="17.100000000000001" customHeight="1" x14ac:dyDescent="0.2">
      <c r="A20" s="76"/>
      <c r="B20" s="79"/>
      <c r="C20" s="82" t="s">
        <v>25</v>
      </c>
      <c r="D20" s="88" t="s">
        <v>27</v>
      </c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90"/>
    </row>
    <row r="21" spans="1:34" s="14" customFormat="1" ht="17.100000000000001" customHeight="1" x14ac:dyDescent="0.2">
      <c r="A21" s="15"/>
      <c r="D21" s="16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spans="1:34" s="14" customFormat="1" ht="17.100000000000001" customHeight="1" x14ac:dyDescent="0.2">
      <c r="A22" s="25" t="s">
        <v>9</v>
      </c>
      <c r="D22" s="16"/>
      <c r="E22" s="17"/>
      <c r="F22" s="18"/>
      <c r="G22" s="18"/>
      <c r="H22" s="18"/>
      <c r="I22" s="18"/>
      <c r="J22" s="18"/>
      <c r="K22" s="18"/>
      <c r="L22" s="18"/>
      <c r="M22" s="18"/>
      <c r="N22" s="18"/>
      <c r="P22" s="18"/>
      <c r="AC22" s="34"/>
    </row>
    <row r="23" spans="1:34" s="14" customFormat="1" ht="18" x14ac:dyDescent="0.25">
      <c r="A23" s="70" t="s">
        <v>2</v>
      </c>
      <c r="B23" s="70" t="s">
        <v>6</v>
      </c>
      <c r="C23" s="70" t="s">
        <v>1</v>
      </c>
      <c r="D23" s="81" t="s">
        <v>4</v>
      </c>
      <c r="E23" s="81"/>
      <c r="F23" s="18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40"/>
      <c r="R23" s="40"/>
      <c r="S23" s="40"/>
      <c r="T23" s="40"/>
      <c r="U23" s="71"/>
      <c r="V23" s="71"/>
      <c r="W23" s="71"/>
      <c r="X23" s="71"/>
      <c r="Y23" s="71"/>
      <c r="Z23" s="71"/>
      <c r="AA23" s="71"/>
      <c r="AB23" s="71"/>
      <c r="AC23" s="34"/>
    </row>
    <row r="24" spans="1:34" s="14" customFormat="1" ht="18" x14ac:dyDescent="0.25">
      <c r="A24" s="70"/>
      <c r="B24" s="70"/>
      <c r="C24" s="70"/>
      <c r="D24" s="30" t="s">
        <v>7</v>
      </c>
      <c r="E24" s="24" t="s">
        <v>8</v>
      </c>
      <c r="F24" s="18"/>
      <c r="G24" s="33"/>
      <c r="H24" s="33"/>
      <c r="I24" s="40"/>
      <c r="J24" s="40"/>
      <c r="K24" s="40"/>
      <c r="L24" s="40"/>
      <c r="M24" s="40"/>
      <c r="N24" s="40"/>
      <c r="O24" s="40"/>
      <c r="P24" s="40"/>
      <c r="Q24" s="40"/>
      <c r="R24" s="41"/>
      <c r="S24" s="41"/>
      <c r="T24" s="41"/>
      <c r="U24" s="41"/>
      <c r="V24" s="41"/>
      <c r="W24" s="41"/>
      <c r="X24" s="41"/>
      <c r="Y24" s="41"/>
      <c r="Z24" s="41"/>
      <c r="AA24"/>
      <c r="AB24"/>
      <c r="AC24" s="34"/>
    </row>
    <row r="25" spans="1:34" s="14" customFormat="1" ht="18" x14ac:dyDescent="0.25">
      <c r="A25" s="37">
        <v>1</v>
      </c>
      <c r="B25" s="38" t="str">
        <f>B13</f>
        <v>Link Leased Line INDOTRUCK UTAMA</v>
      </c>
      <c r="C25" s="35">
        <f>1-(((D25*3600)+(LEFT(E25,2)*60)+RIGHT(E25,2))/((60*60*24)*$C$8))</f>
        <v>0.9986473267622461</v>
      </c>
      <c r="D25" s="22" t="str">
        <f>TEXT(SUM(D13:AH13),"[h]")</f>
        <v>1</v>
      </c>
      <c r="E25" s="22" t="str">
        <f>TEXT(SUM(D13:AH13),"mm ss")</f>
        <v>00 23</v>
      </c>
      <c r="F25" s="23"/>
      <c r="G25" s="33"/>
      <c r="H25" s="33"/>
      <c r="I25" s="40"/>
      <c r="J25" s="40"/>
      <c r="K25" s="40"/>
      <c r="L25" s="40"/>
      <c r="M25" s="40"/>
      <c r="N25" s="40"/>
      <c r="O25" s="40"/>
      <c r="P25" s="40"/>
      <c r="Q25" s="40"/>
      <c r="R25" s="41"/>
      <c r="S25" s="41"/>
      <c r="T25" s="41"/>
      <c r="U25" s="41"/>
      <c r="V25" s="41"/>
      <c r="W25" s="41"/>
      <c r="X25" s="41"/>
      <c r="Y25" s="41"/>
      <c r="Z25" s="41"/>
      <c r="AA25"/>
      <c r="AB25"/>
      <c r="AC25" s="34"/>
    </row>
    <row r="26" spans="1:34" s="14" customFormat="1" ht="18" x14ac:dyDescent="0.25">
      <c r="A26" s="15"/>
      <c r="C26" s="29"/>
      <c r="D26" s="27"/>
      <c r="E26" s="28"/>
      <c r="F26" s="18"/>
      <c r="G26" s="33"/>
      <c r="H26" s="33"/>
      <c r="I26" s="40"/>
      <c r="J26" s="40"/>
      <c r="K26" s="40"/>
      <c r="L26" s="40"/>
      <c r="M26" s="40"/>
      <c r="N26" s="40"/>
      <c r="O26" s="40"/>
      <c r="P26" s="40"/>
      <c r="Q26" s="40"/>
      <c r="R26" s="41"/>
      <c r="S26" s="41"/>
      <c r="T26" s="41"/>
      <c r="U26" s="41"/>
      <c r="V26" s="41"/>
      <c r="W26" s="41"/>
      <c r="X26" s="41"/>
      <c r="Y26" s="41"/>
      <c r="Z26" s="41"/>
      <c r="AA26"/>
      <c r="AB26"/>
    </row>
    <row r="27" spans="1:34" s="19" customFormat="1" ht="18" x14ac:dyDescent="0.25">
      <c r="A27" s="15"/>
      <c r="B27" s="14"/>
      <c r="C27" s="14"/>
      <c r="D27" s="16"/>
      <c r="E27" s="17"/>
      <c r="F27" s="18"/>
      <c r="G27" s="33"/>
      <c r="H27" s="33"/>
      <c r="I27" s="40"/>
      <c r="J27" s="40"/>
      <c r="K27" s="40"/>
      <c r="L27" s="40"/>
      <c r="M27" s="40"/>
      <c r="N27" s="40"/>
      <c r="O27" s="40"/>
      <c r="P27" s="40"/>
      <c r="Q27" s="40"/>
      <c r="R27" s="41"/>
      <c r="S27" s="41"/>
      <c r="T27" s="41"/>
      <c r="U27" s="41"/>
      <c r="V27" s="41"/>
      <c r="W27" s="41"/>
      <c r="X27" s="41"/>
      <c r="Y27" s="41"/>
      <c r="Z27" s="41"/>
      <c r="AA27"/>
      <c r="AB27"/>
      <c r="AC27" s="14"/>
      <c r="AD27" s="14"/>
      <c r="AE27" s="14"/>
      <c r="AF27" s="14"/>
      <c r="AG27" s="14"/>
    </row>
    <row r="28" spans="1:34" ht="18" x14ac:dyDescent="0.25">
      <c r="A28" s="17"/>
      <c r="B28" s="26" t="s">
        <v>12</v>
      </c>
      <c r="C28" s="21"/>
      <c r="D28" s="20"/>
      <c r="E28" s="20"/>
      <c r="F28" s="20"/>
      <c r="G28" s="33"/>
      <c r="H28" s="33"/>
      <c r="I28" s="40"/>
      <c r="J28" s="40"/>
      <c r="K28" s="40"/>
      <c r="L28" s="40"/>
      <c r="M28" s="40"/>
      <c r="N28" s="40"/>
      <c r="O28" s="40"/>
      <c r="P28" s="40"/>
      <c r="Q28" s="40"/>
      <c r="R28" s="41"/>
      <c r="S28" s="41"/>
      <c r="T28" s="41"/>
      <c r="U28" s="41"/>
      <c r="V28" s="41"/>
      <c r="W28" s="41"/>
      <c r="X28" s="41"/>
      <c r="Y28" s="41"/>
      <c r="Z28" s="41"/>
      <c r="AC28" s="16"/>
      <c r="AD28" s="20"/>
      <c r="AE28" s="20"/>
      <c r="AF28" s="20"/>
      <c r="AG28" s="19"/>
    </row>
    <row r="29" spans="1:34" ht="18" x14ac:dyDescent="0.25">
      <c r="B29" s="14" t="s">
        <v>16</v>
      </c>
      <c r="C29" s="30">
        <f>C25</f>
        <v>0.9986473267622461</v>
      </c>
      <c r="G29" s="33"/>
      <c r="H29" s="33"/>
      <c r="I29" s="40"/>
      <c r="J29" s="80"/>
      <c r="K29" s="80"/>
      <c r="L29" s="80"/>
      <c r="M29" s="40"/>
      <c r="N29" s="40"/>
      <c r="O29" s="40"/>
      <c r="P29" s="40"/>
      <c r="Q29" s="40"/>
      <c r="R29" s="41"/>
      <c r="S29" s="41"/>
      <c r="T29" s="41"/>
      <c r="U29" s="41"/>
      <c r="V29" s="41"/>
      <c r="W29" s="80"/>
      <c r="X29" s="80"/>
      <c r="Y29" s="80"/>
      <c r="Z29" s="41"/>
    </row>
    <row r="30" spans="1:34" ht="18" x14ac:dyDescent="0.25">
      <c r="G30" s="33"/>
      <c r="H30" s="33"/>
      <c r="I30" s="40"/>
      <c r="J30" s="71"/>
      <c r="K30" s="71"/>
      <c r="L30" s="71"/>
      <c r="M30" s="40"/>
      <c r="N30" s="40"/>
      <c r="O30" s="40"/>
      <c r="P30" s="40"/>
      <c r="Q30" s="40"/>
      <c r="R30" s="41"/>
      <c r="S30" s="41"/>
      <c r="T30" s="41"/>
      <c r="U30" s="41"/>
      <c r="V30" s="41"/>
      <c r="W30" s="71"/>
      <c r="X30" s="71"/>
      <c r="Y30" s="71"/>
      <c r="Z30" s="41"/>
    </row>
    <row r="31" spans="1:34" x14ac:dyDescent="0.2">
      <c r="B31" s="42"/>
      <c r="G31" s="33"/>
      <c r="H31" s="33"/>
      <c r="I31" s="33"/>
      <c r="J31" s="33"/>
      <c r="K31" s="33"/>
      <c r="L31" s="33"/>
      <c r="M31" s="33"/>
      <c r="N31"/>
      <c r="O31"/>
      <c r="P31"/>
    </row>
    <row r="32" spans="1:34" x14ac:dyDescent="0.2">
      <c r="B32" s="14"/>
      <c r="G32" s="18"/>
      <c r="H32" s="18"/>
      <c r="I32" s="18"/>
      <c r="J32" s="18"/>
      <c r="K32" s="18"/>
      <c r="L32" s="18"/>
      <c r="M32" s="18"/>
      <c r="N32" s="18"/>
      <c r="O32" s="14"/>
      <c r="P32" s="18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4" spans="6:32" x14ac:dyDescent="0.2"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</row>
    <row r="42" spans="6:32" x14ac:dyDescent="0.2">
      <c r="F42" s="31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6:32" x14ac:dyDescent="0.2">
      <c r="F43" s="31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6:32" x14ac:dyDescent="0.2">
      <c r="F44" s="31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6:32" x14ac:dyDescent="0.2">
      <c r="F45" s="31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</sheetData>
  <mergeCells count="21">
    <mergeCell ref="G23:P23"/>
    <mergeCell ref="U23:AB23"/>
    <mergeCell ref="J29:L29"/>
    <mergeCell ref="W29:Y29"/>
    <mergeCell ref="D23:E23"/>
    <mergeCell ref="A23:A24"/>
    <mergeCell ref="B23:B24"/>
    <mergeCell ref="C23:C24"/>
    <mergeCell ref="J30:L30"/>
    <mergeCell ref="A10:A11"/>
    <mergeCell ref="B10:B11"/>
    <mergeCell ref="C10:C11"/>
    <mergeCell ref="A15:A20"/>
    <mergeCell ref="B15:B20"/>
    <mergeCell ref="D15:J15"/>
    <mergeCell ref="D16:J16"/>
    <mergeCell ref="D17:J17"/>
    <mergeCell ref="D18:J18"/>
    <mergeCell ref="D19:AH19"/>
    <mergeCell ref="D20:AH20"/>
    <mergeCell ref="W30:Y30"/>
  </mergeCells>
  <phoneticPr fontId="8" type="noConversion"/>
  <conditionalFormatting sqref="Y13">
    <cfRule type="cellIs" dxfId="5" priority="9" stopIfTrue="1" operator="greaterThan">
      <formula>0</formula>
    </cfRule>
  </conditionalFormatting>
  <conditionalFormatting sqref="D13:X13">
    <cfRule type="cellIs" dxfId="4" priority="8" stopIfTrue="1" operator="greaterThan">
      <formula>0</formula>
    </cfRule>
  </conditionalFormatting>
  <conditionalFormatting sqref="Z13:AA13 AC13:AE13">
    <cfRule type="cellIs" dxfId="3" priority="6" stopIfTrue="1" operator="greaterThan">
      <formula>0</formula>
    </cfRule>
  </conditionalFormatting>
  <conditionalFormatting sqref="AF13">
    <cfRule type="cellIs" dxfId="2" priority="3" stopIfTrue="1" operator="greaterThan">
      <formula>0</formula>
    </cfRule>
  </conditionalFormatting>
  <conditionalFormatting sqref="AB13">
    <cfRule type="cellIs" dxfId="1" priority="2" stopIfTrue="1" operator="greaterThan">
      <formula>0</formula>
    </cfRule>
  </conditionalFormatting>
  <conditionalFormatting sqref="AG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2022-10-31T06:19:10Z</dcterms:modified>
</cp:coreProperties>
</file>