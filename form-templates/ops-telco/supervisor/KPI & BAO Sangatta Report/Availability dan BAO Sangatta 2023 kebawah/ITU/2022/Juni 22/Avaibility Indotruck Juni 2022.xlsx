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Megashop'!$A$1:$AE$41</definedName>
  </definedNames>
  <calcPr calcId="145621"/>
</workbook>
</file>

<file path=xl/calcChain.xml><?xml version="1.0" encoding="utf-8"?>
<calcChain xmlns="http://schemas.openxmlformats.org/spreadsheetml/2006/main">
  <c r="E29" i="11" l="1"/>
  <c r="D29" i="11"/>
  <c r="C29" i="11" l="1"/>
  <c r="C33" i="11" s="1"/>
  <c r="B29" i="11" l="1"/>
</calcChain>
</file>

<file path=xl/sharedStrings.xml><?xml version="1.0" encoding="utf-8"?>
<sst xmlns="http://schemas.openxmlformats.org/spreadsheetml/2006/main" count="58" uniqueCount="25">
  <si>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</si>
  <si>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</si>
  <si>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</si>
  <si>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</si>
  <si>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</si>
  <si>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</si>
  <si>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</si>
  <si>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</si>
  <si>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</si>
  <si>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</si>
  <si>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</si>
  <si>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</si>
  <si>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</si>
  <si>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</si>
  <si>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</si>
  <si>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</si>
  <si>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</si>
  <si>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</si>
  <si>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</si>
  <si>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 xml:space="preserve">               Intermitten</t>
  </si>
  <si>
    <t>4 Juni 22</t>
  </si>
  <si>
    <t>3 Juni 22</t>
  </si>
  <si>
    <t xml:space="preserve">                BIG - SU and SU - BIG down </t>
  </si>
  <si>
    <t>Note ; tgl 15/6/22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</si>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</sst>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6" xfId="0" applyFont="1" applyBorder="1" applyAlignment="1"/>
    <xf numFmtId="0" fontId="6" fillId="0" borderId="19" xfId="0" applyFont="1" applyBorder="1" applyAlignment="1"/>
    <xf numFmtId="0" fontId="6" fillId="0" borderId="24" xfId="0" applyFont="1" applyBorder="1" applyAlignment="1"/>
    <xf numFmtId="15" fontId="7" fillId="0" borderId="2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0" fillId="33" borderId="0" xfId="0" applyFill="1"/>
    <xf numFmtId="0" fontId="6" fillId="0" borderId="18" xfId="0" applyFont="1" applyBorder="1" applyAlignment="1"/>
    <xf numFmtId="0" fontId="6" fillId="34" borderId="17" xfId="0" applyFont="1" applyFill="1" applyBorder="1" applyAlignment="1">
      <alignment horizontal="center" vertical="top"/>
    </xf>
    <xf numFmtId="0" fontId="33" fillId="34" borderId="0" xfId="0" applyFont="1" applyFill="1" applyBorder="1" applyAlignment="1">
      <alignment vertical="top"/>
    </xf>
    <xf numFmtId="46" fontId="0" fillId="34" borderId="0" xfId="0" applyNumberFormat="1" applyFill="1" applyBorder="1" applyAlignment="1">
      <alignment vertical="top"/>
    </xf>
    <xf numFmtId="46" fontId="35" fillId="34" borderId="0" xfId="0" applyNumberFormat="1" applyFont="1" applyFill="1" applyBorder="1" applyAlignment="1">
      <alignment vertical="top"/>
    </xf>
    <xf numFmtId="46" fontId="0" fillId="34" borderId="18" xfId="0" applyNumberFormat="1" applyFill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2" xfId="0" applyNumberFormat="1" applyFont="1" applyBorder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15" fontId="7" fillId="0" borderId="14" xfId="0" applyNumberFormat="1" applyFont="1" applyBorder="1" applyAlignment="1">
      <alignment horizontal="center" vertical="center"/>
    </xf>
    <xf numFmtId="15" fontId="7" fillId="0" borderId="15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6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9"/>
  <sheetViews>
    <sheetView tabSelected="1" topLeftCell="A4" zoomScale="80" zoomScaleNormal="8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B35" sqref="B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44713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108" t="s">
        <v>2</v>
      </c>
      <c r="B10" s="108" t="s">
        <v>0</v>
      </c>
      <c r="C10" s="108" t="s">
        <v>7</v>
      </c>
      <c r="D10" s="22">
        <v>44713</v>
      </c>
      <c r="E10" s="22">
        <v>44714</v>
      </c>
      <c r="F10" s="22">
        <v>44715</v>
      </c>
      <c r="G10" s="22">
        <v>44716</v>
      </c>
      <c r="H10" s="22">
        <v>44717</v>
      </c>
      <c r="I10" s="22">
        <v>44718</v>
      </c>
      <c r="J10" s="22">
        <v>44719</v>
      </c>
      <c r="K10" s="22">
        <v>44720</v>
      </c>
      <c r="L10" s="22">
        <v>44721</v>
      </c>
      <c r="M10" s="22">
        <v>44722</v>
      </c>
      <c r="N10" s="22">
        <v>44723</v>
      </c>
      <c r="O10" s="22">
        <v>44724</v>
      </c>
      <c r="P10" s="22">
        <v>44725</v>
      </c>
      <c r="Q10" s="22">
        <v>44726</v>
      </c>
      <c r="R10" s="22">
        <v>44727</v>
      </c>
      <c r="S10" s="22">
        <v>44728</v>
      </c>
      <c r="T10" s="22">
        <v>44729</v>
      </c>
      <c r="U10" s="22">
        <v>44730</v>
      </c>
      <c r="V10" s="22">
        <v>44731</v>
      </c>
      <c r="W10" s="22">
        <v>44732</v>
      </c>
      <c r="X10" s="22">
        <v>44733</v>
      </c>
      <c r="Y10" s="22">
        <v>44734</v>
      </c>
      <c r="Z10" s="22">
        <v>44735</v>
      </c>
      <c r="AA10" s="22">
        <v>44736</v>
      </c>
      <c r="AB10" s="22">
        <v>44737</v>
      </c>
      <c r="AC10" s="22">
        <v>44738</v>
      </c>
      <c r="AD10" s="22">
        <v>44739</v>
      </c>
      <c r="AE10" s="22">
        <v>44740</v>
      </c>
      <c r="AF10" s="22">
        <v>44741</v>
      </c>
      <c r="AG10" s="22">
        <v>44742</v>
      </c>
      <c r="AH10" s="22">
        <v>44682</v>
      </c>
    </row>
    <row r="11" spans="1:34" s="1" customFormat="1" x14ac:dyDescent="0.2">
      <c r="A11" s="109"/>
      <c r="B11" s="109"/>
      <c r="C11" s="10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39"/>
      <c r="B12" s="40"/>
      <c r="C12" s="41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41"/>
    </row>
    <row r="13" spans="1:34" s="48" customFormat="1" ht="106.5" customHeight="1" x14ac:dyDescent="0.2">
      <c r="A13" s="45">
        <v>1</v>
      </c>
      <c r="B13" s="46" t="s">
        <v>16</v>
      </c>
      <c r="C13" s="46" t="s">
        <v>17</v>
      </c>
      <c r="D13" s="47">
        <v>0</v>
      </c>
      <c r="E13" s="47">
        <v>0</v>
      </c>
      <c r="F13" s="47">
        <v>6.9444444444444441E-3</v>
      </c>
      <c r="G13" s="47">
        <v>7.037037037037037E-3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6.9444444444444441E-3</v>
      </c>
      <c r="X13" s="47">
        <v>0</v>
      </c>
      <c r="Y13" s="47">
        <v>0</v>
      </c>
      <c r="Z13" s="47">
        <v>0</v>
      </c>
      <c r="AA13" s="53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0.11224537037037037</v>
      </c>
      <c r="AG13" s="47">
        <v>0</v>
      </c>
      <c r="AH13" s="65">
        <v>0</v>
      </c>
    </row>
    <row r="14" spans="1:34" s="15" customFormat="1" ht="12.75" customHeight="1" x14ac:dyDescent="0.2">
      <c r="A14" s="77"/>
      <c r="B14" s="78"/>
      <c r="C14" s="78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/>
      <c r="AB14" s="79"/>
      <c r="AC14" s="79"/>
      <c r="AD14" s="79"/>
      <c r="AE14" s="79"/>
      <c r="AF14" s="79"/>
      <c r="AG14" s="81"/>
    </row>
    <row r="15" spans="1:34" s="15" customFormat="1" ht="12.75" customHeight="1" x14ac:dyDescent="0.2">
      <c r="A15" s="77"/>
      <c r="B15" s="78"/>
      <c r="C15" s="78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80"/>
      <c r="AB15" s="79"/>
      <c r="AC15" s="79"/>
      <c r="AD15" s="79"/>
      <c r="AE15" s="79"/>
      <c r="AF15" s="79"/>
      <c r="AG15" s="81"/>
    </row>
    <row r="16" spans="1:34" s="15" customFormat="1" ht="25.5" customHeight="1" x14ac:dyDescent="0.2">
      <c r="A16" s="94" t="s">
        <v>24</v>
      </c>
      <c r="B16" s="95"/>
      <c r="C16" s="70" t="s">
        <v>21</v>
      </c>
      <c r="D16" s="71" t="s">
        <v>22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49"/>
      <c r="P16" s="49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49"/>
      <c r="AF16" s="49"/>
      <c r="AG16" s="67"/>
    </row>
    <row r="17" spans="1:34" s="15" customFormat="1" ht="12.75" customHeight="1" x14ac:dyDescent="0.2">
      <c r="A17" s="96"/>
      <c r="B17" s="97"/>
      <c r="C17" s="100" t="s">
        <v>20</v>
      </c>
      <c r="D17" s="102" t="s">
        <v>19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3"/>
    </row>
    <row r="18" spans="1:34" s="15" customFormat="1" ht="12.75" customHeight="1" x14ac:dyDescent="0.2">
      <c r="A18" s="96"/>
      <c r="B18" s="97"/>
      <c r="C18" s="101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104"/>
    </row>
    <row r="19" spans="1:34" s="15" customFormat="1" ht="12.75" customHeight="1" x14ac:dyDescent="0.2">
      <c r="A19" s="96"/>
      <c r="B19" s="97"/>
      <c r="C19" s="88"/>
      <c r="D19" s="90" t="s">
        <v>19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57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7"/>
      <c r="AD19" s="57"/>
      <c r="AE19" s="57"/>
      <c r="AF19" s="57"/>
      <c r="AG19" s="76"/>
    </row>
    <row r="20" spans="1:34" s="15" customFormat="1" ht="12.75" customHeight="1" x14ac:dyDescent="0.2">
      <c r="A20" s="96"/>
      <c r="B20" s="97"/>
      <c r="C20" s="89"/>
      <c r="D20" s="92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51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1"/>
      <c r="AD20" s="51"/>
      <c r="AE20" s="51"/>
      <c r="AF20" s="51"/>
      <c r="AG20" s="68"/>
    </row>
    <row r="21" spans="1:34" s="15" customFormat="1" ht="25.5" customHeight="1" x14ac:dyDescent="0.2">
      <c r="A21" s="96"/>
      <c r="B21" s="97"/>
      <c r="C21" s="70"/>
      <c r="D21" s="105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49"/>
      <c r="AE21" s="49"/>
      <c r="AF21" s="49"/>
      <c r="AG21" s="67"/>
    </row>
    <row r="22" spans="1:34" s="15" customFormat="1" ht="25.5" customHeight="1" x14ac:dyDescent="0.2">
      <c r="A22" s="96"/>
      <c r="B22" s="97"/>
      <c r="C22" s="66"/>
      <c r="D22" s="73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60"/>
      <c r="AF22" s="60"/>
      <c r="AG22" s="69"/>
      <c r="AH22" s="59"/>
    </row>
    <row r="23" spans="1:34" s="15" customFormat="1" ht="25.5" customHeight="1" x14ac:dyDescent="0.2">
      <c r="A23" s="98"/>
      <c r="B23" s="99"/>
      <c r="C23" s="82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60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0"/>
      <c r="AE23" s="60"/>
      <c r="AF23" s="60"/>
      <c r="AG23" s="69"/>
    </row>
    <row r="24" spans="1:34" s="15" customFormat="1" ht="25.5" x14ac:dyDescent="0.2">
      <c r="A24" s="54"/>
      <c r="B24" s="54"/>
      <c r="C24" s="55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7"/>
      <c r="P24" s="57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</row>
    <row r="25" spans="1:34" s="15" customFormat="1" x14ac:dyDescent="0.2">
      <c r="A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34" s="15" customFormat="1" x14ac:dyDescent="0.2">
      <c r="A26" s="28" t="s">
        <v>11</v>
      </c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7"/>
    </row>
    <row r="27" spans="1:34" s="20" customFormat="1" ht="18" x14ac:dyDescent="0.25">
      <c r="A27" s="87" t="s">
        <v>2</v>
      </c>
      <c r="B27" s="87" t="s">
        <v>8</v>
      </c>
      <c r="C27" s="87" t="s">
        <v>1</v>
      </c>
      <c r="D27" s="86" t="s">
        <v>6</v>
      </c>
      <c r="E27" s="86"/>
      <c r="F27" s="19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62"/>
      <c r="R27" s="62"/>
      <c r="S27" s="62"/>
      <c r="T27" s="62"/>
      <c r="U27" s="83"/>
      <c r="V27" s="83"/>
      <c r="W27" s="83"/>
      <c r="X27" s="83"/>
      <c r="Y27" s="83"/>
      <c r="Z27" s="83"/>
      <c r="AA27" s="83"/>
      <c r="AB27" s="83"/>
      <c r="AC27" s="37"/>
      <c r="AD27" s="15"/>
      <c r="AE27" s="15"/>
      <c r="AF27" s="15"/>
      <c r="AG27" s="15"/>
      <c r="AH27" s="15"/>
    </row>
    <row r="28" spans="1:34" ht="18" x14ac:dyDescent="0.25">
      <c r="A28" s="87"/>
      <c r="B28" s="87"/>
      <c r="C28" s="87"/>
      <c r="D28" s="33" t="s">
        <v>9</v>
      </c>
      <c r="E28" s="27" t="s">
        <v>10</v>
      </c>
      <c r="F28" s="19"/>
      <c r="G28" s="36"/>
      <c r="H28" s="36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3"/>
      <c r="AC28" s="37"/>
      <c r="AD28" s="15"/>
      <c r="AE28" s="15"/>
      <c r="AF28" s="15"/>
      <c r="AG28" s="15"/>
      <c r="AH28" s="15"/>
    </row>
    <row r="29" spans="1:34" ht="18" x14ac:dyDescent="0.25">
      <c r="A29" s="43">
        <v>1</v>
      </c>
      <c r="B29" s="44" t="str">
        <f>B13</f>
        <v>Link Leased Line INDOTRUCK UTAMA</v>
      </c>
      <c r="C29" s="38">
        <f>1-(((D29*3600)+(LEFT(E29,2)*60)+RIGHT(E29,2))/((60*60*24)*$C$8))</f>
        <v>0.99556095679012346</v>
      </c>
      <c r="D29" s="25" t="str">
        <f>TEXT(SUM(D13:AH13),"[h]")</f>
        <v>3</v>
      </c>
      <c r="E29" s="25" t="str">
        <f>TEXT(SUM(D13:AH13),"mm ss")</f>
        <v>11 46</v>
      </c>
      <c r="F29" s="26"/>
      <c r="G29" s="36"/>
      <c r="H29" s="36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3"/>
      <c r="Y29" s="63"/>
      <c r="Z29" s="63"/>
      <c r="AC29" s="37"/>
      <c r="AD29" s="15"/>
      <c r="AE29" s="15"/>
      <c r="AF29" s="15"/>
      <c r="AG29" s="15"/>
      <c r="AH29" s="20"/>
    </row>
    <row r="30" spans="1:34" ht="18" x14ac:dyDescent="0.25">
      <c r="A30" s="16"/>
      <c r="B30" s="15"/>
      <c r="C30" s="32"/>
      <c r="D30" s="30"/>
      <c r="E30" s="31"/>
      <c r="F30" s="19"/>
      <c r="G30" s="36"/>
      <c r="H30" s="36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3"/>
      <c r="Y30" s="63"/>
      <c r="Z30" s="63"/>
      <c r="AC30" s="15"/>
      <c r="AD30" s="15"/>
      <c r="AE30" s="15"/>
      <c r="AF30" s="15"/>
      <c r="AG30" s="15"/>
    </row>
    <row r="31" spans="1:34" ht="18" x14ac:dyDescent="0.25">
      <c r="A31" s="16"/>
      <c r="B31" s="15"/>
      <c r="C31" s="15"/>
      <c r="D31" s="17"/>
      <c r="E31" s="18"/>
      <c r="F31" s="19"/>
      <c r="G31" s="36"/>
      <c r="H31" s="36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  <c r="Z31" s="63"/>
      <c r="AC31" s="15"/>
      <c r="AD31" s="15"/>
      <c r="AE31" s="15"/>
      <c r="AF31" s="15"/>
      <c r="AG31" s="15"/>
    </row>
    <row r="32" spans="1:34" ht="18" x14ac:dyDescent="0.25">
      <c r="A32" s="18"/>
      <c r="B32" s="29" t="s">
        <v>14</v>
      </c>
      <c r="C32" s="24"/>
      <c r="D32" s="23"/>
      <c r="E32" s="23"/>
      <c r="F32" s="23"/>
      <c r="G32" s="36"/>
      <c r="H32" s="36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3"/>
      <c r="Y32" s="63"/>
      <c r="Z32" s="63"/>
      <c r="AC32" s="17"/>
      <c r="AD32" s="23"/>
      <c r="AE32" s="23"/>
      <c r="AF32" s="23"/>
      <c r="AG32" s="20"/>
    </row>
    <row r="33" spans="2:32" ht="18" x14ac:dyDescent="0.25">
      <c r="B33" s="15" t="s">
        <v>18</v>
      </c>
      <c r="C33" s="33">
        <f>C29</f>
        <v>0.99556095679012346</v>
      </c>
      <c r="G33" s="36"/>
      <c r="H33" s="36"/>
      <c r="I33" s="62"/>
      <c r="J33" s="85"/>
      <c r="K33" s="85"/>
      <c r="L33" s="85"/>
      <c r="M33" s="62"/>
      <c r="N33" s="62"/>
      <c r="O33" s="62"/>
      <c r="P33" s="62"/>
      <c r="Q33" s="62"/>
      <c r="R33" s="63"/>
      <c r="S33" s="63"/>
      <c r="T33" s="63"/>
      <c r="U33" s="63"/>
      <c r="V33" s="63"/>
      <c r="W33" s="85"/>
      <c r="X33" s="85"/>
      <c r="Y33" s="85"/>
      <c r="Z33" s="63"/>
    </row>
    <row r="34" spans="2:32" ht="18" x14ac:dyDescent="0.25">
      <c r="G34" s="36"/>
      <c r="H34" s="36"/>
      <c r="I34" s="62"/>
      <c r="J34" s="83"/>
      <c r="K34" s="83"/>
      <c r="L34" s="83"/>
      <c r="M34" s="62"/>
      <c r="N34" s="62"/>
      <c r="O34" s="62"/>
      <c r="P34" s="62"/>
      <c r="Q34" s="62"/>
      <c r="R34" s="63"/>
      <c r="S34" s="63"/>
      <c r="T34" s="63"/>
      <c r="U34" s="63"/>
      <c r="V34" s="63"/>
      <c r="W34" s="83"/>
      <c r="X34" s="83"/>
      <c r="Y34" s="83"/>
      <c r="Z34" s="63"/>
    </row>
    <row r="35" spans="2:32" x14ac:dyDescent="0.2">
      <c r="B35" s="75" t="s">
        <v>23</v>
      </c>
      <c r="G35" s="36"/>
      <c r="H35" s="36"/>
      <c r="I35" s="36"/>
      <c r="J35" s="36"/>
      <c r="K35" s="36"/>
      <c r="L35" s="36"/>
      <c r="M35" s="36"/>
      <c r="N35"/>
      <c r="O35"/>
      <c r="P35"/>
    </row>
    <row r="36" spans="2:32" x14ac:dyDescent="0.2">
      <c r="G36" s="19"/>
      <c r="H36" s="19"/>
      <c r="I36" s="19"/>
      <c r="J36" s="19"/>
      <c r="K36" s="19"/>
      <c r="L36" s="19"/>
      <c r="M36" s="19"/>
      <c r="N36" s="19"/>
      <c r="O36" s="15"/>
      <c r="P36" s="19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2:32" x14ac:dyDescent="0.2">
      <c r="B37" s="34"/>
    </row>
    <row r="38" spans="2:32" x14ac:dyDescent="0.2"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2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2:32" x14ac:dyDescent="0.2">
      <c r="F48" s="34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6:32" x14ac:dyDescent="0.2">
      <c r="F49" s="34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</sheetData>
  <mergeCells count="21">
    <mergeCell ref="A10:A11"/>
    <mergeCell ref="B10:B11"/>
    <mergeCell ref="C10:C11"/>
    <mergeCell ref="A27:A28"/>
    <mergeCell ref="B27:B28"/>
    <mergeCell ref="C27:C28"/>
    <mergeCell ref="C19:C20"/>
    <mergeCell ref="D19:N20"/>
    <mergeCell ref="A16:B23"/>
    <mergeCell ref="C17:C18"/>
    <mergeCell ref="D17:AG18"/>
    <mergeCell ref="D21:AC21"/>
    <mergeCell ref="O22:AD22"/>
    <mergeCell ref="J34:L34"/>
    <mergeCell ref="W34:Y34"/>
    <mergeCell ref="D23:N23"/>
    <mergeCell ref="G27:P27"/>
    <mergeCell ref="U27:AB27"/>
    <mergeCell ref="J33:L33"/>
    <mergeCell ref="W33:Y33"/>
    <mergeCell ref="D27:E27"/>
  </mergeCells>
  <phoneticPr fontId="8" type="noConversion"/>
  <conditionalFormatting sqref="Y13 D14:AG15">
    <cfRule type="cellIs" dxfId="7" priority="11" stopIfTrue="1" operator="greaterThan">
      <formula>0</formula>
    </cfRule>
  </conditionalFormatting>
  <conditionalFormatting sqref="D13:I13 K13:X13">
    <cfRule type="cellIs" dxfId="6" priority="10" stopIfTrue="1" operator="greaterThan">
      <formula>0</formula>
    </cfRule>
  </conditionalFormatting>
  <conditionalFormatting sqref="Z13:AB13 AD13">
    <cfRule type="cellIs" dxfId="5" priority="8" stopIfTrue="1" operator="greaterThan">
      <formula>0</formula>
    </cfRule>
  </conditionalFormatting>
  <conditionalFormatting sqref="AG13">
    <cfRule type="cellIs" dxfId="4" priority="7" stopIfTrue="1" operator="greaterThan">
      <formula>0</formula>
    </cfRule>
  </conditionalFormatting>
  <conditionalFormatting sqref="AF13">
    <cfRule type="cellIs" dxfId="3" priority="6" stopIfTrue="1" operator="greaterThan">
      <formula>0</formula>
    </cfRule>
  </conditionalFormatting>
  <conditionalFormatting sqref="J13">
    <cfRule type="cellIs" dxfId="2" priority="4" stopIfTrue="1" operator="greaterThan">
      <formula>0</formula>
    </cfRule>
  </conditionalFormatting>
  <conditionalFormatting sqref="AC13">
    <cfRule type="cellIs" dxfId="1" priority="3" stopIfTrue="1" operator="greaterThan">
      <formula>0</formula>
    </cfRule>
  </conditionalFormatting>
  <conditionalFormatting sqref="AE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2022-03-01T02:11:25Z</cp:lastPrinted>
  <dcterms:created xsi:type="dcterms:W3CDTF">2006-10-16T02:50:45Z</dcterms:created>
  <dcterms:modified xsi:type="dcterms:W3CDTF">2022-07-01T04:34:46Z</dcterms:modified>
</cp:coreProperties>
</file>