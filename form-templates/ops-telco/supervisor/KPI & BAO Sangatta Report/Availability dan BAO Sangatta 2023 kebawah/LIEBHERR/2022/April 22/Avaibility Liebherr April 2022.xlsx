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Megashop'!$A$1:$AG$29</definedName>
  </definedNames>
  <calcPr calcId="144525" concurrentCalc="0"/>
</workbook>
</file>

<file path=xl/calcChain.xml><?xml version="1.0" encoding="utf-8"?>
<calcChain xmlns="http://schemas.openxmlformats.org/spreadsheetml/2006/main">
  <c r="D22" i="11" l="1"/>
  <c r="E22" i="11"/>
  <c r="B22" i="11"/>
  <c r="C22" i="11"/>
  <c r="C26" i="11"/>
</calcChain>
</file>

<file path=xl/sharedStrings.xml><?xml version="1.0" encoding="utf-8"?>
<sst xmlns="http://schemas.openxmlformats.org/spreadsheetml/2006/main" count="53" uniqueCount="22">
  <si>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</si>
  <si>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</si>
  <si>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</si>
  <si>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</si>
  <si>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</si>
  <si>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</si>
  <si>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</si>
  <si>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</si>
  <si>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</si>
  <si>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</si>
  <si>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</si>
  <si>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</si>
  <si>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</si>
  <si>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</si>
  <si>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</si>
  <si>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</si>
  <si>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</si>
  <si>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</si>
  <si>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</si>
  <si>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Remaks</t>
  </si>
  <si>
    <t xml:space="preserve">             Link SU to M5 Intermitten</t>
  </si>
  <si>
    <t xml:space="preserve">             Link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</si>
</sst>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sz val="14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9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16" fontId="7" fillId="0" borderId="1" xfId="0" applyNumberFormat="1" applyFont="1" applyBorder="1" applyAlignment="1">
      <alignment horizontal="center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 wrapText="1"/>
    </xf>
    <xf numFmtId="0" fontId="34" fillId="0" borderId="0" xfId="0" applyFont="1" applyAlignment="1"/>
    <xf numFmtId="0" fontId="34" fillId="0" borderId="0" xfId="0" applyFont="1"/>
    <xf numFmtId="0" fontId="6" fillId="0" borderId="17" xfId="0" applyFont="1" applyBorder="1" applyAlignment="1">
      <alignment horizontal="center" vertical="top"/>
    </xf>
    <xf numFmtId="0" fontId="33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5" fontId="7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6" fillId="0" borderId="2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10" fontId="6" fillId="0" borderId="15" xfId="0" applyNumberFormat="1" applyFont="1" applyBorder="1" applyAlignment="1">
      <alignment vertical="center" wrapText="1"/>
    </xf>
    <xf numFmtId="10" fontId="6" fillId="0" borderId="16" xfId="0" applyNumberFormat="1" applyFont="1" applyBorder="1" applyAlignment="1">
      <alignment vertical="center" wrapText="1"/>
    </xf>
    <xf numFmtId="0" fontId="34" fillId="0" borderId="0" xfId="0" applyFont="1" applyAlignment="1">
      <alignment horizontal="left"/>
    </xf>
    <xf numFmtId="15" fontId="6" fillId="0" borderId="15" xfId="0" applyNumberFormat="1" applyFont="1" applyBorder="1" applyAlignment="1">
      <alignment horizontal="left" vertical="center"/>
    </xf>
    <xf numFmtId="0" fontId="0" fillId="0" borderId="0" xfId="0" applyFill="1"/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2"/>
  <sheetViews>
    <sheetView tabSelected="1" zoomScale="80" zoomScaleNormal="80" workbookViewId="0">
      <pane xSplit="3" ySplit="9" topLeftCell="D22" activePane="bottomRight" state="frozen"/>
      <selection pane="topRight" activeCell="D1" sqref="D1"/>
      <selection pane="bottomLeft" activeCell="A10" sqref="A10"/>
      <selection pane="bottomRight" activeCell="C36" sqref="C3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2" width="9.140625" customWidth="1"/>
    <col min="33" max="33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3">
        <v>44673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8" t="s">
        <v>2</v>
      </c>
      <c r="B10" s="68" t="s">
        <v>0</v>
      </c>
      <c r="C10" s="68" t="s">
        <v>7</v>
      </c>
      <c r="D10" s="23">
        <v>44652</v>
      </c>
      <c r="E10" s="23">
        <v>44653</v>
      </c>
      <c r="F10" s="23">
        <v>44654</v>
      </c>
      <c r="G10" s="23">
        <v>44655</v>
      </c>
      <c r="H10" s="23">
        <v>44656</v>
      </c>
      <c r="I10" s="23">
        <v>44657</v>
      </c>
      <c r="J10" s="23">
        <v>44658</v>
      </c>
      <c r="K10" s="23">
        <v>44659</v>
      </c>
      <c r="L10" s="23">
        <v>44660</v>
      </c>
      <c r="M10" s="23">
        <v>44661</v>
      </c>
      <c r="N10" s="23">
        <v>44662</v>
      </c>
      <c r="O10" s="23">
        <v>44663</v>
      </c>
      <c r="P10" s="23">
        <v>44664</v>
      </c>
      <c r="Q10" s="23">
        <v>44665</v>
      </c>
      <c r="R10" s="23">
        <v>44666</v>
      </c>
      <c r="S10" s="23">
        <v>44667</v>
      </c>
      <c r="T10" s="23">
        <v>44668</v>
      </c>
      <c r="U10" s="23">
        <v>44669</v>
      </c>
      <c r="V10" s="23">
        <v>44670</v>
      </c>
      <c r="W10" s="23">
        <v>44671</v>
      </c>
      <c r="X10" s="23">
        <v>44672</v>
      </c>
      <c r="Y10" s="23">
        <v>44673</v>
      </c>
      <c r="Z10" s="23">
        <v>44674</v>
      </c>
      <c r="AA10" s="23">
        <v>44675</v>
      </c>
      <c r="AB10" s="23">
        <v>44676</v>
      </c>
      <c r="AC10" s="23">
        <v>44677</v>
      </c>
      <c r="AD10" s="23">
        <v>44678</v>
      </c>
      <c r="AE10" s="23">
        <v>44679</v>
      </c>
      <c r="AF10" s="23">
        <v>44680</v>
      </c>
      <c r="AG10" s="49">
        <v>44681</v>
      </c>
    </row>
    <row r="11" spans="1:34" s="1" customFormat="1" x14ac:dyDescent="0.2">
      <c r="A11" s="69"/>
      <c r="B11" s="69"/>
      <c r="C11" s="6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4" x14ac:dyDescent="0.2">
      <c r="A12" s="40"/>
      <c r="B12" s="41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4" s="48" customFormat="1" ht="106.5" customHeight="1" x14ac:dyDescent="0.2">
      <c r="A13" s="57">
        <v>1</v>
      </c>
      <c r="B13" s="58" t="s">
        <v>15</v>
      </c>
      <c r="C13" s="46" t="s">
        <v>16</v>
      </c>
      <c r="D13" s="47">
        <v>3.2083333333333332E-2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7.0254629629629634E-3</v>
      </c>
      <c r="AE13" s="47">
        <v>0</v>
      </c>
      <c r="AF13" s="47">
        <v>0</v>
      </c>
      <c r="AG13" s="47">
        <v>0</v>
      </c>
    </row>
    <row r="14" spans="1:34" s="15" customFormat="1" ht="25.5" customHeight="1" x14ac:dyDescent="0.2">
      <c r="A14" s="60"/>
      <c r="B14" s="64" t="s">
        <v>19</v>
      </c>
      <c r="C14" s="61">
        <v>44652</v>
      </c>
      <c r="D14" s="72" t="s">
        <v>20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3"/>
    </row>
    <row r="15" spans="1:34" s="15" customFormat="1" ht="25.5" customHeight="1" x14ac:dyDescent="0.2">
      <c r="A15" s="52"/>
      <c r="B15" s="65"/>
      <c r="C15" s="61">
        <v>44678</v>
      </c>
      <c r="D15" s="77" t="s">
        <v>21</v>
      </c>
      <c r="E15" s="77"/>
      <c r="F15" s="77"/>
      <c r="G15" s="77"/>
      <c r="H15" s="77"/>
      <c r="I15" s="77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5"/>
    </row>
    <row r="16" spans="1:34" s="15" customFormat="1" ht="25.5" customHeight="1" x14ac:dyDescent="0.2">
      <c r="A16" s="52"/>
      <c r="B16" s="65"/>
      <c r="C16" s="61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1"/>
    </row>
    <row r="17" spans="1:33" s="15" customFormat="1" ht="25.5" customHeight="1" x14ac:dyDescent="0.2">
      <c r="A17" s="59"/>
      <c r="B17" s="66"/>
      <c r="C17" s="61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3"/>
    </row>
    <row r="18" spans="1:33" s="15" customFormat="1" ht="25.5" customHeight="1" x14ac:dyDescent="0.2">
      <c r="A18" s="52"/>
      <c r="B18" s="52"/>
      <c r="C18" s="53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</row>
    <row r="19" spans="1:33" s="15" customFormat="1" x14ac:dyDescent="0.2">
      <c r="A19" s="29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8" x14ac:dyDescent="0.25">
      <c r="A20" s="71" t="s">
        <v>2</v>
      </c>
      <c r="B20" s="71" t="s">
        <v>8</v>
      </c>
      <c r="C20" s="71" t="s">
        <v>1</v>
      </c>
      <c r="D20" s="70" t="s">
        <v>6</v>
      </c>
      <c r="E20" s="70"/>
      <c r="F20" s="19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55"/>
      <c r="R20" s="55"/>
      <c r="S20" s="55"/>
      <c r="T20" s="55"/>
      <c r="U20" s="67"/>
      <c r="V20" s="67"/>
      <c r="W20" s="67"/>
      <c r="X20" s="67"/>
      <c r="Y20" s="67"/>
      <c r="Z20" s="67"/>
      <c r="AA20" s="67"/>
      <c r="AB20" s="67"/>
      <c r="AC20" s="38"/>
    </row>
    <row r="21" spans="1:33" s="15" customFormat="1" ht="18" x14ac:dyDescent="0.25">
      <c r="A21" s="71"/>
      <c r="B21" s="71"/>
      <c r="C21" s="71"/>
      <c r="D21" s="34" t="s">
        <v>9</v>
      </c>
      <c r="E21" s="28" t="s">
        <v>10</v>
      </c>
      <c r="F21" s="19"/>
      <c r="G21" s="37"/>
      <c r="H21" s="37"/>
      <c r="I21" s="55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  <c r="Y21" s="56"/>
      <c r="Z21" s="56"/>
      <c r="AA21"/>
      <c r="AB21"/>
      <c r="AC21" s="38"/>
    </row>
    <row r="22" spans="1:33" s="15" customFormat="1" ht="18" x14ac:dyDescent="0.25">
      <c r="A22" s="44">
        <v>1</v>
      </c>
      <c r="B22" s="45" t="str">
        <f>B13</f>
        <v>Link Wireless  to Megashop</v>
      </c>
      <c r="C22" s="39">
        <f>1-(((D22*3600)+(LEFT(E22,2)*60)+RIGHT(E22,2))/((60*60*24)*$C$8))</f>
        <v>0.99869637345679008</v>
      </c>
      <c r="D22" s="26" t="str">
        <f>TEXT(SUM(D13:AF13),"[h]")</f>
        <v>0</v>
      </c>
      <c r="E22" s="26" t="str">
        <f>TEXT(SUM(D13:AF13),"mm ss")</f>
        <v>56 19</v>
      </c>
      <c r="F22" s="27"/>
      <c r="G22" s="37"/>
      <c r="H22" s="37"/>
      <c r="I22" s="76"/>
      <c r="J22" s="55"/>
      <c r="K22" s="55"/>
      <c r="L22" s="55"/>
      <c r="M22" s="55"/>
      <c r="N22" s="55"/>
      <c r="O22" s="55"/>
      <c r="P22" s="55"/>
      <c r="Q22" s="55"/>
      <c r="R22" s="56"/>
      <c r="S22" s="56"/>
      <c r="T22" s="56"/>
      <c r="U22" s="56"/>
      <c r="V22" s="56"/>
      <c r="W22" s="56"/>
      <c r="X22" s="56"/>
      <c r="Y22" s="56"/>
      <c r="Z22" s="56"/>
      <c r="AA22"/>
      <c r="AB22"/>
      <c r="AC22" s="38"/>
    </row>
    <row r="23" spans="1:33" s="15" customFormat="1" ht="18" x14ac:dyDescent="0.25">
      <c r="A23" s="16"/>
      <c r="C23" s="33"/>
      <c r="D23" s="31"/>
      <c r="E23" s="32"/>
      <c r="F23" s="19"/>
      <c r="G23" s="37"/>
      <c r="H23" s="37"/>
      <c r="I23" s="55"/>
      <c r="J23" s="55"/>
      <c r="K23" s="55"/>
      <c r="L23" s="55"/>
      <c r="M23" s="55"/>
      <c r="N23" s="55"/>
      <c r="O23" s="55"/>
      <c r="P23" s="55"/>
      <c r="Q23" s="55"/>
      <c r="R23" s="56"/>
      <c r="S23" s="56"/>
      <c r="T23" s="56"/>
      <c r="U23" s="56"/>
      <c r="V23" s="56"/>
      <c r="W23" s="56"/>
      <c r="X23" s="56"/>
      <c r="Y23" s="56"/>
      <c r="Z23" s="56"/>
      <c r="AA23"/>
      <c r="AB23"/>
    </row>
    <row r="24" spans="1:33" s="15" customFormat="1" ht="18" x14ac:dyDescent="0.25">
      <c r="A24" s="16"/>
      <c r="D24" s="17"/>
      <c r="E24" s="18"/>
      <c r="F24" s="19"/>
      <c r="G24" s="37"/>
      <c r="H24" s="37"/>
      <c r="I24" s="55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  <c r="Y24" s="56"/>
      <c r="Z24" s="56"/>
      <c r="AA24"/>
      <c r="AB24"/>
    </row>
    <row r="25" spans="1:33" s="20" customFormat="1" ht="18" x14ac:dyDescent="0.25">
      <c r="A25" s="18"/>
      <c r="B25" s="30" t="s">
        <v>17</v>
      </c>
      <c r="C25" s="25"/>
      <c r="D25" s="24"/>
      <c r="E25" s="24"/>
      <c r="F25" s="24"/>
      <c r="G25" s="37"/>
      <c r="H25" s="37"/>
      <c r="I25" s="55"/>
      <c r="J25" s="55"/>
      <c r="K25" s="55"/>
      <c r="L25" s="55"/>
      <c r="M25" s="55"/>
      <c r="N25" s="55"/>
      <c r="O25" s="55"/>
      <c r="P25" s="55"/>
      <c r="Q25" s="55"/>
      <c r="R25" s="56"/>
      <c r="S25" s="56"/>
      <c r="T25" s="56"/>
      <c r="U25" s="56"/>
      <c r="V25" s="56"/>
      <c r="W25" s="56"/>
      <c r="X25" s="56"/>
      <c r="Y25" s="56"/>
      <c r="Z25" s="56"/>
      <c r="AA25"/>
      <c r="AB25"/>
      <c r="AC25" s="17"/>
      <c r="AD25" s="24"/>
      <c r="AE25" s="24"/>
      <c r="AF25" s="24"/>
    </row>
    <row r="26" spans="1:33" ht="18" x14ac:dyDescent="0.25">
      <c r="B26" s="15" t="s">
        <v>18</v>
      </c>
      <c r="C26" s="34">
        <f>C22</f>
        <v>0.99869637345679008</v>
      </c>
      <c r="G26" s="37"/>
      <c r="H26" s="37"/>
      <c r="I26" s="55"/>
      <c r="J26" s="63"/>
      <c r="K26" s="63"/>
      <c r="L26" s="63"/>
      <c r="M26" s="55"/>
      <c r="N26" s="55"/>
      <c r="O26" s="55"/>
      <c r="P26" s="55"/>
      <c r="Q26" s="55"/>
      <c r="R26" s="56"/>
      <c r="S26" s="56"/>
      <c r="T26" s="56"/>
      <c r="U26" s="56"/>
      <c r="V26" s="56"/>
      <c r="W26" s="63"/>
      <c r="X26" s="63"/>
      <c r="Y26" s="63"/>
      <c r="Z26" s="56"/>
    </row>
    <row r="27" spans="1:33" ht="18" x14ac:dyDescent="0.25">
      <c r="G27" s="37"/>
      <c r="H27" s="37"/>
      <c r="I27" s="55"/>
      <c r="J27" s="67"/>
      <c r="K27" s="67"/>
      <c r="L27" s="67"/>
      <c r="M27" s="55"/>
      <c r="N27" s="55"/>
      <c r="O27" s="55"/>
      <c r="P27" s="55"/>
      <c r="Q27" s="55"/>
      <c r="R27" s="56"/>
      <c r="S27" s="56"/>
      <c r="T27" s="56"/>
      <c r="U27" s="56"/>
      <c r="V27" s="56"/>
      <c r="W27" s="67"/>
      <c r="X27" s="67"/>
      <c r="Y27" s="67"/>
      <c r="Z27" s="56"/>
    </row>
    <row r="28" spans="1:33" x14ac:dyDescent="0.2">
      <c r="G28" s="37"/>
      <c r="H28" s="37"/>
      <c r="I28" s="37"/>
      <c r="J28" s="37"/>
      <c r="K28" s="37"/>
      <c r="L28" s="37"/>
      <c r="M28" s="37"/>
      <c r="N28"/>
      <c r="O28"/>
      <c r="P28"/>
    </row>
    <row r="30" spans="1:33" x14ac:dyDescent="0.2">
      <c r="B30" s="78"/>
    </row>
    <row r="31" spans="1:33" x14ac:dyDescent="0.2"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</row>
    <row r="39" spans="6:32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6:32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6:32" x14ac:dyDescent="0.2">
      <c r="F41" s="35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6:32" x14ac:dyDescent="0.2">
      <c r="F42" s="35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</sheetData>
  <mergeCells count="18">
    <mergeCell ref="A10:A11"/>
    <mergeCell ref="B10:B11"/>
    <mergeCell ref="C10:C11"/>
    <mergeCell ref="D20:E20"/>
    <mergeCell ref="A20:A21"/>
    <mergeCell ref="B20:B21"/>
    <mergeCell ref="C20:C21"/>
    <mergeCell ref="D14:AG14"/>
    <mergeCell ref="D17:AG17"/>
    <mergeCell ref="G20:P20"/>
    <mergeCell ref="U20:AB20"/>
    <mergeCell ref="D15:I15"/>
    <mergeCell ref="D16:P16"/>
    <mergeCell ref="J26:L26"/>
    <mergeCell ref="W26:Y26"/>
    <mergeCell ref="B14:B17"/>
    <mergeCell ref="J27:L27"/>
    <mergeCell ref="W27:Y27"/>
  </mergeCells>
  <phoneticPr fontId="8" type="noConversion"/>
  <conditionalFormatting sqref="Y13">
    <cfRule type="cellIs" dxfId="6" priority="34" stopIfTrue="1" operator="greaterThan">
      <formula>0</formula>
    </cfRule>
  </conditionalFormatting>
  <conditionalFormatting sqref="D13:K13 T13:X13 N13:R13">
    <cfRule type="cellIs" dxfId="5" priority="16" stopIfTrue="1" operator="greaterThan">
      <formula>0</formula>
    </cfRule>
  </conditionalFormatting>
  <conditionalFormatting sqref="AF13">
    <cfRule type="cellIs" dxfId="4" priority="12" stopIfTrue="1" operator="greaterThan">
      <formula>0</formula>
    </cfRule>
  </conditionalFormatting>
  <conditionalFormatting sqref="Z13:AE13">
    <cfRule type="cellIs" dxfId="3" priority="11" stopIfTrue="1" operator="greaterThan">
      <formula>0</formula>
    </cfRule>
  </conditionalFormatting>
  <conditionalFormatting sqref="AG13">
    <cfRule type="cellIs" dxfId="2" priority="5" stopIfTrue="1" operator="greaterThan">
      <formula>0</formula>
    </cfRule>
  </conditionalFormatting>
  <conditionalFormatting sqref="S13">
    <cfRule type="cellIs" dxfId="1" priority="3" stopIfTrue="1" operator="greaterThan">
      <formula>0</formula>
    </cfRule>
  </conditionalFormatting>
  <conditionalFormatting sqref="L13:M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2021-12-01T09:01:24Z</cp:lastPrinted>
  <dcterms:created xsi:type="dcterms:W3CDTF">2006-10-16T02:50:45Z</dcterms:created>
  <dcterms:modified xsi:type="dcterms:W3CDTF">2022-04-29T08:36:26Z</dcterms:modified>
</cp:coreProperties>
</file>