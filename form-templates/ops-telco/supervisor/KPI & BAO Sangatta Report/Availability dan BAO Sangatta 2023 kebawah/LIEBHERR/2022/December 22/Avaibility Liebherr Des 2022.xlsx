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600" windowWidth="15480" windowHeight="11040" tabRatio="361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D24" i="11" l="1"/>
  <c r="E24" i="11"/>
  <c r="B24" i="11"/>
  <c r="C24" i="11" l="1"/>
  <c r="C28" i="11" s="1"/>
</calcChain>
</file>

<file path=xl/sharedStrings.xml><?xml version="1.0" encoding="utf-8"?>
<sst xmlns="http://schemas.openxmlformats.org/spreadsheetml/2006/main" count="56" uniqueCount="23">
  <si>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</si>
  <si>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</si>
  <si>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</si>
  <si>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</si>
  <si>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</si>
  <si>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</si>
  <si>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</si>
  <si>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</si>
  <si>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</si>
  <si>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</si>
  <si>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</si>
  <si>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</si>
  <si>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</si>
  <si>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</si>
  <si>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</si>
  <si>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</si>
  <si>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</si>
  <si>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</si>
  <si>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25 Des 22</t>
  </si>
  <si>
    <t>5   Des 22</t>
  </si>
  <si>
    <t xml:space="preserve">          Link Wireless  to Megashop</t>
  </si>
  <si>
    <t xml:space="preserve">           Remaks</t>
  </si>
  <si>
    <t xml:space="preserve">          Intermitten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</si>
</sst>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8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11"/>
      <name val="Tahoma"/>
      <family val="2"/>
    </font>
    <font>
      <sz val="12"/>
      <name val="Tahoma"/>
      <family val="2"/>
    </font>
    <font>
      <b/>
      <sz val="14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9" fontId="13" fillId="0" borderId="14" xfId="0" applyNumberFormat="1" applyFont="1" applyBorder="1" applyAlignment="1">
      <alignment horizontal="center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46" fontId="0" fillId="0" borderId="15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 applyAlignment="1"/>
    <xf numFmtId="0" fontId="6" fillId="0" borderId="18" xfId="0" applyFont="1" applyBorder="1"/>
    <xf numFmtId="0" fontId="6" fillId="0" borderId="19" xfId="0" applyFont="1" applyBorder="1" applyAlignment="1"/>
    <xf numFmtId="0" fontId="6" fillId="0" borderId="19" xfId="0" applyFont="1" applyBorder="1"/>
    <xf numFmtId="0" fontId="12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21" fontId="6" fillId="0" borderId="20" xfId="0" applyNumberFormat="1" applyFont="1" applyBorder="1" applyAlignment="1">
      <alignment horizontal="center" vertical="top"/>
    </xf>
    <xf numFmtId="0" fontId="12" fillId="0" borderId="1" xfId="0" applyFont="1" applyBorder="1" applyAlignment="1">
      <alignment horizontal="left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2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18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19" xfId="0" applyNumberFormat="1" applyFont="1" applyBorder="1" applyAlignment="1">
      <alignment horizontal="left" vertical="center"/>
    </xf>
    <xf numFmtId="0" fontId="35" fillId="0" borderId="2" xfId="0" applyFont="1" applyBorder="1" applyAlignment="1">
      <alignment horizontal="center" vertical="center"/>
    </xf>
    <xf numFmtId="0" fontId="35" fillId="0" borderId="20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horizontal="left" vertical="top"/>
    </xf>
    <xf numFmtId="0" fontId="37" fillId="0" borderId="2" xfId="0" applyFont="1" applyBorder="1" applyAlignment="1">
      <alignment horizontal="left" vertical="center"/>
    </xf>
    <xf numFmtId="0" fontId="37" fillId="0" borderId="20" xfId="0" applyFont="1" applyBorder="1" applyAlignment="1">
      <alignment horizontal="left" vertical="center"/>
    </xf>
    <xf numFmtId="0" fontId="37" fillId="0" borderId="4" xfId="0" applyFont="1" applyBorder="1" applyAlignment="1">
      <alignment horizontal="left" vertical="center"/>
    </xf>
    <xf numFmtId="15" fontId="8" fillId="0" borderId="4" xfId="0" applyNumberFormat="1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4"/>
  <sheetViews>
    <sheetView tabSelected="1" zoomScale="80" zoomScaleNormal="80" workbookViewId="0">
      <selection activeCell="J37" sqref="J37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5">
        <v>44896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65" t="s">
        <v>2</v>
      </c>
      <c r="B10" s="65" t="s">
        <v>0</v>
      </c>
      <c r="C10" s="65" t="s">
        <v>7</v>
      </c>
      <c r="D10" s="23">
        <v>44896</v>
      </c>
      <c r="E10" s="23">
        <v>44897</v>
      </c>
      <c r="F10" s="23">
        <v>44898</v>
      </c>
      <c r="G10" s="23">
        <v>44899</v>
      </c>
      <c r="H10" s="23">
        <v>44900</v>
      </c>
      <c r="I10" s="23">
        <v>44901</v>
      </c>
      <c r="J10" s="23">
        <v>44902</v>
      </c>
      <c r="K10" s="23">
        <v>44903</v>
      </c>
      <c r="L10" s="23">
        <v>44904</v>
      </c>
      <c r="M10" s="23">
        <v>44905</v>
      </c>
      <c r="N10" s="23">
        <v>44906</v>
      </c>
      <c r="O10" s="23">
        <v>44907</v>
      </c>
      <c r="P10" s="23">
        <v>44908</v>
      </c>
      <c r="Q10" s="23">
        <v>44909</v>
      </c>
      <c r="R10" s="23">
        <v>44910</v>
      </c>
      <c r="S10" s="23">
        <v>44911</v>
      </c>
      <c r="T10" s="23">
        <v>44912</v>
      </c>
      <c r="U10" s="23">
        <v>44913</v>
      </c>
      <c r="V10" s="23">
        <v>44914</v>
      </c>
      <c r="W10" s="23">
        <v>44915</v>
      </c>
      <c r="X10" s="23">
        <v>44916</v>
      </c>
      <c r="Y10" s="23">
        <v>44917</v>
      </c>
      <c r="Z10" s="23">
        <v>44918</v>
      </c>
      <c r="AA10" s="23">
        <v>44919</v>
      </c>
      <c r="AB10" s="23">
        <v>44920</v>
      </c>
      <c r="AC10" s="23">
        <v>44921</v>
      </c>
      <c r="AD10" s="23">
        <v>44922</v>
      </c>
      <c r="AE10" s="23">
        <v>44923</v>
      </c>
      <c r="AF10" s="23">
        <v>44924</v>
      </c>
      <c r="AG10" s="23">
        <v>44925</v>
      </c>
      <c r="AH10" s="64">
        <v>44926</v>
      </c>
    </row>
    <row r="11" spans="1:34" s="1" customFormat="1" x14ac:dyDescent="0.2">
      <c r="A11" s="66"/>
      <c r="B11" s="66"/>
      <c r="C11" s="66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59" t="s">
        <v>6</v>
      </c>
      <c r="AH11" s="63" t="s">
        <v>6</v>
      </c>
    </row>
    <row r="12" spans="1:34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48"/>
      <c r="AH12" s="43"/>
    </row>
    <row r="13" spans="1:34" s="52" customFormat="1" ht="106.5" customHeight="1" x14ac:dyDescent="0.2">
      <c r="A13" s="79">
        <v>1</v>
      </c>
      <c r="B13" s="80" t="s">
        <v>20</v>
      </c>
      <c r="C13" s="49" t="s">
        <v>15</v>
      </c>
      <c r="D13" s="50">
        <v>0</v>
      </c>
      <c r="E13" s="50">
        <v>0</v>
      </c>
      <c r="F13" s="50">
        <v>0</v>
      </c>
      <c r="G13" s="50">
        <v>0</v>
      </c>
      <c r="H13" s="50">
        <v>7.037037037037037E-3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1.40625E-2</v>
      </c>
      <c r="AC13" s="50">
        <v>0</v>
      </c>
      <c r="AD13" s="50">
        <v>0</v>
      </c>
      <c r="AE13" s="50">
        <v>0</v>
      </c>
      <c r="AF13" s="50">
        <v>0</v>
      </c>
      <c r="AG13" s="51">
        <v>0</v>
      </c>
      <c r="AH13" s="62">
        <v>0</v>
      </c>
    </row>
    <row r="14" spans="1:34" s="15" customFormat="1" ht="12.75" customHeight="1" x14ac:dyDescent="0.2">
      <c r="A14" s="76">
        <v>2</v>
      </c>
      <c r="B14" s="81" t="s">
        <v>21</v>
      </c>
      <c r="C14" s="69" t="s">
        <v>19</v>
      </c>
      <c r="D14" s="72" t="s">
        <v>22</v>
      </c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55"/>
      <c r="P14" s="55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3"/>
    </row>
    <row r="15" spans="1:34" s="15" customFormat="1" ht="12.75" customHeight="1" x14ac:dyDescent="0.2">
      <c r="A15" s="77"/>
      <c r="B15" s="82"/>
      <c r="C15" s="84"/>
      <c r="D15" s="74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57"/>
      <c r="P15" s="57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4"/>
    </row>
    <row r="16" spans="1:34" s="15" customFormat="1" ht="12.75" customHeight="1" x14ac:dyDescent="0.2">
      <c r="A16" s="77"/>
      <c r="B16" s="82"/>
      <c r="C16" s="71" t="s">
        <v>18</v>
      </c>
      <c r="D16" s="72" t="s">
        <v>22</v>
      </c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55"/>
      <c r="P16" s="55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3"/>
    </row>
    <row r="17" spans="1:34" s="15" customFormat="1" ht="12.75" customHeight="1" x14ac:dyDescent="0.2">
      <c r="A17" s="77"/>
      <c r="B17" s="82"/>
      <c r="C17" s="70"/>
      <c r="D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57"/>
      <c r="P17" s="57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4"/>
    </row>
    <row r="18" spans="1:34" s="15" customFormat="1" ht="12.75" customHeight="1" x14ac:dyDescent="0.2">
      <c r="A18" s="77"/>
      <c r="B18" s="82"/>
      <c r="C18" s="71"/>
      <c r="D18" s="72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55"/>
      <c r="P18" s="55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3"/>
    </row>
    <row r="19" spans="1:34" s="15" customFormat="1" ht="12.75" customHeight="1" x14ac:dyDescent="0.2">
      <c r="A19" s="78"/>
      <c r="B19" s="83"/>
      <c r="C19" s="70"/>
      <c r="D19" s="74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57"/>
      <c r="P19" s="57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4"/>
    </row>
    <row r="20" spans="1:34" s="15" customFormat="1" x14ac:dyDescent="0.2">
      <c r="A20" s="16"/>
      <c r="D20" s="17"/>
      <c r="E20" s="18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34" s="15" customFormat="1" x14ac:dyDescent="0.2">
      <c r="A21" s="30" t="s">
        <v>11</v>
      </c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P21" s="19"/>
      <c r="AC21" s="39"/>
    </row>
    <row r="22" spans="1:34" s="15" customFormat="1" x14ac:dyDescent="0.2">
      <c r="A22" s="68" t="s">
        <v>2</v>
      </c>
      <c r="B22" s="68" t="s">
        <v>8</v>
      </c>
      <c r="C22" s="68" t="s">
        <v>1</v>
      </c>
      <c r="D22" s="67" t="s">
        <v>6</v>
      </c>
      <c r="E22" s="67"/>
      <c r="F22" s="19"/>
      <c r="G22" s="19"/>
      <c r="H22" s="19"/>
      <c r="I22" s="19"/>
      <c r="J22" s="19"/>
      <c r="K22" s="19"/>
      <c r="L22" s="19"/>
      <c r="M22" s="19"/>
      <c r="N22" s="19"/>
      <c r="P22" s="19"/>
      <c r="AC22" s="39"/>
    </row>
    <row r="23" spans="1:34" s="15" customFormat="1" x14ac:dyDescent="0.2">
      <c r="A23" s="68"/>
      <c r="B23" s="68"/>
      <c r="C23" s="68"/>
      <c r="D23" s="35" t="s">
        <v>9</v>
      </c>
      <c r="E23" s="29" t="s">
        <v>10</v>
      </c>
      <c r="F23" s="19"/>
      <c r="G23" s="19"/>
      <c r="H23" s="19"/>
      <c r="I23" s="19"/>
      <c r="J23" s="19"/>
      <c r="K23" s="19"/>
      <c r="L23" s="19"/>
      <c r="M23" s="19"/>
      <c r="N23" s="19"/>
      <c r="P23" s="19"/>
      <c r="AC23" s="39"/>
    </row>
    <row r="24" spans="1:34" s="15" customFormat="1" ht="15.75" x14ac:dyDescent="0.25">
      <c r="A24" s="46">
        <v>1</v>
      </c>
      <c r="B24" s="47" t="str">
        <f>B13</f>
        <v xml:space="preserve">          Link Wireless  to Megashop</v>
      </c>
      <c r="C24" s="40">
        <f>1-(((D24*3600)+(LEFT(E24,2)*60)+RIGHT(E24,2))/((60*60*24)*$C$8))</f>
        <v>0.99931936977299884</v>
      </c>
      <c r="D24" s="26" t="str">
        <f>TEXT(SUM(D13:AF13),"[h]")</f>
        <v>0</v>
      </c>
      <c r="E24" s="26" t="str">
        <f>TEXT(SUM(D13:AF13),"mm ss")</f>
        <v>30 23</v>
      </c>
      <c r="F24" s="27"/>
      <c r="G24" s="19"/>
      <c r="H24" s="28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16"/>
      <c r="C25" s="34"/>
      <c r="D25" s="32"/>
      <c r="E25" s="33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34" s="20" customFormat="1" x14ac:dyDescent="0.2">
      <c r="A26" s="16"/>
      <c r="B26" s="15"/>
      <c r="C26" s="15"/>
      <c r="D26" s="17"/>
      <c r="E26" s="18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</row>
    <row r="27" spans="1:34" x14ac:dyDescent="0.2">
      <c r="A27" s="18"/>
      <c r="B27" s="31" t="s">
        <v>16</v>
      </c>
      <c r="C27" s="25"/>
      <c r="D27" s="24"/>
      <c r="E27" s="24"/>
      <c r="F27" s="24"/>
      <c r="G27" s="24"/>
      <c r="H27" s="24"/>
      <c r="I27" s="24"/>
      <c r="J27" s="24"/>
      <c r="K27" s="61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0"/>
    </row>
    <row r="28" spans="1:34" x14ac:dyDescent="0.2">
      <c r="B28" s="15" t="s">
        <v>17</v>
      </c>
      <c r="C28" s="35">
        <f>C24</f>
        <v>0.99931936977299884</v>
      </c>
      <c r="H28" s="44"/>
    </row>
    <row r="30" spans="1:34" x14ac:dyDescent="0.2">
      <c r="H30" s="60"/>
    </row>
    <row r="33" spans="6:32" x14ac:dyDescent="0.2"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</row>
    <row r="41" spans="6:32" x14ac:dyDescent="0.2">
      <c r="F41" s="36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</row>
    <row r="42" spans="6:32" x14ac:dyDescent="0.2">
      <c r="F42" s="36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</row>
    <row r="43" spans="6:32" x14ac:dyDescent="0.2">
      <c r="F43" s="36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</row>
    <row r="44" spans="6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</sheetData>
  <mergeCells count="15">
    <mergeCell ref="B14:B19"/>
    <mergeCell ref="A14:A19"/>
    <mergeCell ref="A10:A11"/>
    <mergeCell ref="B10:B11"/>
    <mergeCell ref="C10:C11"/>
    <mergeCell ref="D22:E22"/>
    <mergeCell ref="A22:A23"/>
    <mergeCell ref="B22:B23"/>
    <mergeCell ref="C22:C23"/>
    <mergeCell ref="C14:C15"/>
    <mergeCell ref="C16:C17"/>
    <mergeCell ref="D14:N15"/>
    <mergeCell ref="D16:N17"/>
    <mergeCell ref="C18:C19"/>
    <mergeCell ref="D18:N19"/>
  </mergeCells>
  <phoneticPr fontId="9" type="noConversion"/>
  <conditionalFormatting sqref="Y13">
    <cfRule type="cellIs" dxfId="11" priority="41" stopIfTrue="1" operator="greaterThan">
      <formula>0</formula>
    </cfRule>
  </conditionalFormatting>
  <conditionalFormatting sqref="D13:X13">
    <cfRule type="cellIs" dxfId="10" priority="23" stopIfTrue="1" operator="greaterThan">
      <formula>0</formula>
    </cfRule>
  </conditionalFormatting>
  <conditionalFormatting sqref="AB13:AC13">
    <cfRule type="cellIs" dxfId="9" priority="18" stopIfTrue="1" operator="greaterThan">
      <formula>0</formula>
    </cfRule>
  </conditionalFormatting>
  <conditionalFormatting sqref="AG13">
    <cfRule type="cellIs" dxfId="8" priority="12" stopIfTrue="1" operator="greaterThan">
      <formula>0</formula>
    </cfRule>
  </conditionalFormatting>
  <conditionalFormatting sqref="AF13">
    <cfRule type="cellIs" dxfId="7" priority="9" stopIfTrue="1" operator="greaterThan">
      <formula>0</formula>
    </cfRule>
  </conditionalFormatting>
  <conditionalFormatting sqref="AE13">
    <cfRule type="cellIs" dxfId="6" priority="7" stopIfTrue="1" operator="greaterThan">
      <formula>0</formula>
    </cfRule>
  </conditionalFormatting>
  <conditionalFormatting sqref="AD13">
    <cfRule type="cellIs" dxfId="5" priority="5" stopIfTrue="1" operator="greaterThan">
      <formula>0</formula>
    </cfRule>
  </conditionalFormatting>
  <conditionalFormatting sqref="Z13">
    <cfRule type="cellIs" dxfId="4" priority="3" stopIfTrue="1" operator="greaterThan">
      <formula>0</formula>
    </cfRule>
  </conditionalFormatting>
  <conditionalFormatting sqref="AA13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2022-12-30T02:19:44Z</dcterms:modified>
</cp:coreProperties>
</file>