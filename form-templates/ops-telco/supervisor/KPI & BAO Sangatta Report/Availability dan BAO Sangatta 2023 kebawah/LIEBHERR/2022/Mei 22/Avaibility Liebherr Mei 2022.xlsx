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6" i="11" l="1"/>
  <c r="E26" i="11"/>
  <c r="B26" i="11"/>
  <c r="C26" i="11" l="1"/>
  <c r="C30" i="11" s="1"/>
</calcChain>
</file>

<file path=xl/sharedStrings.xml><?xml version="1.0" encoding="utf-8"?>
<sst xmlns="http://schemas.openxmlformats.org/spreadsheetml/2006/main" count="61" uniqueCount="27">
  <si>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</si>
  <si>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</si>
  <si>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</si>
  <si>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</si>
  <si>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</si>
  <si>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</si>
  <si>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</si>
  <si>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</si>
  <si>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</si>
  <si>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</si>
  <si>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</si>
  <si>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</si>
  <si>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</si>
  <si>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</si>
  <si>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</si>
  <si>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</si>
  <si>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</si>
  <si>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</si>
  <si>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</si>
  <si>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</si>
  <si>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Mei - 2022</t>
  </si>
  <si>
    <t>4 Mei 2022</t>
  </si>
  <si>
    <t xml:space="preserve">     Intermitten</t>
  </si>
  <si>
    <t>5 Mei 2022</t>
  </si>
  <si>
    <t>7 Mei 2022</t>
  </si>
  <si>
    <t>28 Mei 2022</t>
  </si>
  <si>
    <t xml:space="preserve">     Repointing antena AB to Farnorth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</si>
</sst>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3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2" fillId="0" borderId="3" xfId="0" applyFont="1" applyBorder="1" applyAlignment="1">
      <alignment horizontal="center" vertical="center"/>
    </xf>
    <xf numFmtId="16" fontId="8" fillId="0" borderId="19" xfId="0" applyNumberFormat="1" applyFont="1" applyBorder="1" applyAlignment="1">
      <alignment horizont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21" fontId="6" fillId="0" borderId="22" xfId="0" applyNumberFormat="1" applyFont="1" applyBorder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6"/>
  <sheetViews>
    <sheetView tabSelected="1" zoomScale="80" zoomScaleNormal="80" workbookViewId="0">
      <selection activeCell="I29" sqref="I2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1.285156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 t="s">
        <v>20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7" t="s">
        <v>2</v>
      </c>
      <c r="B10" s="67" t="s">
        <v>0</v>
      </c>
      <c r="C10" s="67" t="s">
        <v>7</v>
      </c>
      <c r="D10" s="23">
        <v>44682</v>
      </c>
      <c r="E10" s="23">
        <v>44683</v>
      </c>
      <c r="F10" s="23">
        <v>44684</v>
      </c>
      <c r="G10" s="23">
        <v>44685</v>
      </c>
      <c r="H10" s="23">
        <v>44686</v>
      </c>
      <c r="I10" s="23">
        <v>44687</v>
      </c>
      <c r="J10" s="23">
        <v>44688</v>
      </c>
      <c r="K10" s="23">
        <v>44689</v>
      </c>
      <c r="L10" s="23">
        <v>44690</v>
      </c>
      <c r="M10" s="23">
        <v>44691</v>
      </c>
      <c r="N10" s="23">
        <v>44692</v>
      </c>
      <c r="O10" s="23">
        <v>44693</v>
      </c>
      <c r="P10" s="23">
        <v>44694</v>
      </c>
      <c r="Q10" s="23">
        <v>44695</v>
      </c>
      <c r="R10" s="23">
        <v>44696</v>
      </c>
      <c r="S10" s="23">
        <v>44697</v>
      </c>
      <c r="T10" s="23">
        <v>44698</v>
      </c>
      <c r="U10" s="23">
        <v>44699</v>
      </c>
      <c r="V10" s="23">
        <v>44700</v>
      </c>
      <c r="W10" s="23">
        <v>44701</v>
      </c>
      <c r="X10" s="23">
        <v>44702</v>
      </c>
      <c r="Y10" s="23">
        <v>44703</v>
      </c>
      <c r="Z10" s="23">
        <v>44704</v>
      </c>
      <c r="AA10" s="23">
        <v>44705</v>
      </c>
      <c r="AB10" s="23">
        <v>44706</v>
      </c>
      <c r="AC10" s="23">
        <v>44707</v>
      </c>
      <c r="AD10" s="23">
        <v>44708</v>
      </c>
      <c r="AE10" s="23">
        <v>44709</v>
      </c>
      <c r="AF10" s="23">
        <v>44710</v>
      </c>
      <c r="AG10" s="23">
        <v>44711</v>
      </c>
      <c r="AH10" s="66">
        <v>44712</v>
      </c>
    </row>
    <row r="11" spans="1:34" s="1" customFormat="1" x14ac:dyDescent="0.2">
      <c r="A11" s="68"/>
      <c r="B11" s="68"/>
      <c r="C11" s="6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60" t="s">
        <v>6</v>
      </c>
      <c r="AH11" s="1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3" customFormat="1" ht="106.5" customHeight="1" x14ac:dyDescent="0.2">
      <c r="A13" s="49">
        <v>1</v>
      </c>
      <c r="B13" s="50" t="s">
        <v>15</v>
      </c>
      <c r="C13" s="50" t="s">
        <v>16</v>
      </c>
      <c r="D13" s="51">
        <v>0</v>
      </c>
      <c r="E13" s="51">
        <v>0</v>
      </c>
      <c r="F13" s="51">
        <v>0</v>
      </c>
      <c r="G13" s="51">
        <v>7.037037037037037E-3</v>
      </c>
      <c r="H13" s="51">
        <v>2.8599537037037034E-2</v>
      </c>
      <c r="I13" s="51">
        <v>0</v>
      </c>
      <c r="J13" s="51">
        <v>3.483796296296296E-3</v>
      </c>
      <c r="K13" s="51">
        <v>0</v>
      </c>
      <c r="L13" s="51">
        <v>0</v>
      </c>
      <c r="M13" s="51">
        <v>0</v>
      </c>
      <c r="N13" s="51">
        <v>0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64">
        <v>0</v>
      </c>
      <c r="AB13" s="51">
        <v>0</v>
      </c>
      <c r="AC13" s="51">
        <v>0</v>
      </c>
      <c r="AD13" s="51">
        <v>0</v>
      </c>
      <c r="AE13" s="51">
        <v>2.0902777777777781E-2</v>
      </c>
      <c r="AF13" s="51">
        <v>0</v>
      </c>
      <c r="AG13" s="52">
        <v>0</v>
      </c>
      <c r="AH13" s="65">
        <v>0</v>
      </c>
    </row>
    <row r="14" spans="1:34" s="15" customFormat="1" x14ac:dyDescent="0.2">
      <c r="A14" s="71" t="s">
        <v>19</v>
      </c>
      <c r="B14" s="72"/>
      <c r="C14" s="77" t="s">
        <v>21</v>
      </c>
      <c r="D14" s="79" t="s">
        <v>22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56"/>
      <c r="P14" s="56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4"/>
    </row>
    <row r="15" spans="1:34" s="15" customFormat="1" x14ac:dyDescent="0.2">
      <c r="A15" s="73"/>
      <c r="B15" s="74"/>
      <c r="C15" s="78"/>
      <c r="D15" s="81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58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5"/>
    </row>
    <row r="16" spans="1:34" s="15" customFormat="1" x14ac:dyDescent="0.2">
      <c r="A16" s="73"/>
      <c r="B16" s="74"/>
      <c r="C16" s="77" t="s">
        <v>23</v>
      </c>
      <c r="D16" s="79" t="s">
        <v>22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4"/>
    </row>
    <row r="17" spans="1:34" s="15" customFormat="1" ht="25.5" customHeight="1" x14ac:dyDescent="0.2">
      <c r="A17" s="73"/>
      <c r="B17" s="74"/>
      <c r="C17" s="78"/>
      <c r="D17" s="81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58"/>
      <c r="P17" s="58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5"/>
    </row>
    <row r="18" spans="1:34" s="15" customFormat="1" x14ac:dyDescent="0.2">
      <c r="A18" s="73"/>
      <c r="B18" s="74"/>
      <c r="C18" s="77" t="s">
        <v>24</v>
      </c>
      <c r="D18" s="79" t="s">
        <v>22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4"/>
    </row>
    <row r="19" spans="1:34" s="15" customFormat="1" x14ac:dyDescent="0.2">
      <c r="A19" s="73"/>
      <c r="B19" s="74"/>
      <c r="C19" s="78"/>
      <c r="D19" s="81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58"/>
      <c r="P19" s="58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5"/>
    </row>
    <row r="20" spans="1:34" s="15" customFormat="1" x14ac:dyDescent="0.2">
      <c r="A20" s="73"/>
      <c r="B20" s="74"/>
      <c r="C20" s="77" t="s">
        <v>25</v>
      </c>
      <c r="D20" s="79" t="s">
        <v>26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56"/>
      <c r="P20" s="56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4"/>
    </row>
    <row r="21" spans="1:34" s="15" customFormat="1" x14ac:dyDescent="0.2">
      <c r="A21" s="75"/>
      <c r="B21" s="76"/>
      <c r="C21" s="78"/>
      <c r="D21" s="81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58"/>
      <c r="P21" s="58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1"/>
    </row>
    <row r="22" spans="1:34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4" s="15" customFormat="1" x14ac:dyDescent="0.2">
      <c r="A23" s="30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x14ac:dyDescent="0.2">
      <c r="A24" s="70" t="s">
        <v>2</v>
      </c>
      <c r="B24" s="70" t="s">
        <v>8</v>
      </c>
      <c r="C24" s="70" t="s">
        <v>1</v>
      </c>
      <c r="D24" s="69" t="s">
        <v>6</v>
      </c>
      <c r="E24" s="69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70"/>
      <c r="B25" s="70"/>
      <c r="C25" s="70"/>
      <c r="D25" s="35" t="s">
        <v>9</v>
      </c>
      <c r="E25" s="29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ht="15.75" x14ac:dyDescent="0.25">
      <c r="A26" s="46">
        <v>1</v>
      </c>
      <c r="B26" s="47" t="str">
        <f>B13</f>
        <v>Link Wireless  to Megashop</v>
      </c>
      <c r="C26" s="40">
        <f>1-(((D26*3600)+(LEFT(E26,2)*60)+RIGHT(E26,2))/((60*60*24)*$C$8))</f>
        <v>0.99806376941457586</v>
      </c>
      <c r="D26" s="26" t="str">
        <f>TEXT(SUM(D13:AF13),"[h]")</f>
        <v>1</v>
      </c>
      <c r="E26" s="26" t="str">
        <f>TEXT(SUM(D13:AF13),"mm ss")</f>
        <v>26 26</v>
      </c>
      <c r="F26" s="27"/>
      <c r="G26" s="19"/>
      <c r="H26" s="28"/>
      <c r="I26" s="19"/>
      <c r="J26" s="19"/>
      <c r="K26" s="19"/>
      <c r="L26" s="19"/>
      <c r="M26" s="19"/>
      <c r="N26" s="19"/>
      <c r="P26" s="19"/>
      <c r="AC26" s="39"/>
    </row>
    <row r="27" spans="1:34" s="15" customFormat="1" x14ac:dyDescent="0.2">
      <c r="A27" s="16"/>
      <c r="C27" s="34"/>
      <c r="D27" s="32"/>
      <c r="E27" s="33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34" s="20" customFormat="1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4" x14ac:dyDescent="0.2">
      <c r="A29" s="18"/>
      <c r="B29" s="31" t="s">
        <v>17</v>
      </c>
      <c r="C29" s="25"/>
      <c r="D29" s="24"/>
      <c r="E29" s="24"/>
      <c r="F29" s="24"/>
      <c r="G29" s="24"/>
      <c r="H29" s="24"/>
      <c r="I29" s="24"/>
      <c r="J29" s="24"/>
      <c r="K29" s="6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0"/>
    </row>
    <row r="30" spans="1:34" x14ac:dyDescent="0.2">
      <c r="B30" s="15" t="s">
        <v>18</v>
      </c>
      <c r="C30" s="35">
        <f>C26</f>
        <v>0.99806376941457586</v>
      </c>
      <c r="H30" s="44"/>
    </row>
    <row r="32" spans="1:34" x14ac:dyDescent="0.2">
      <c r="H32" s="62"/>
    </row>
    <row r="35" spans="6:32" x14ac:dyDescent="0.2"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</sheetData>
  <mergeCells count="16">
    <mergeCell ref="A10:A11"/>
    <mergeCell ref="B10:B11"/>
    <mergeCell ref="C10:C11"/>
    <mergeCell ref="D24:E24"/>
    <mergeCell ref="A24:A25"/>
    <mergeCell ref="B24:B25"/>
    <mergeCell ref="C24:C25"/>
    <mergeCell ref="A14:B21"/>
    <mergeCell ref="C14:C15"/>
    <mergeCell ref="C16:C17"/>
    <mergeCell ref="C20:C21"/>
    <mergeCell ref="D14:N15"/>
    <mergeCell ref="D16:N17"/>
    <mergeCell ref="C18:C19"/>
    <mergeCell ref="D18:N19"/>
    <mergeCell ref="D20:N21"/>
  </mergeCells>
  <phoneticPr fontId="9" type="noConversion"/>
  <conditionalFormatting sqref="Y13">
    <cfRule type="cellIs" dxfId="6" priority="33" stopIfTrue="1" operator="greaterThan">
      <formula>0</formula>
    </cfRule>
  </conditionalFormatting>
  <conditionalFormatting sqref="D13:X13">
    <cfRule type="cellIs" dxfId="5" priority="15" stopIfTrue="1" operator="greaterThan">
      <formula>0</formula>
    </cfRule>
  </conditionalFormatting>
  <conditionalFormatting sqref="Z13:AE13">
    <cfRule type="cellIs" dxfId="4" priority="10" stopIfTrue="1" operator="greaterThan">
      <formula>0</formula>
    </cfRule>
  </conditionalFormatting>
  <conditionalFormatting sqref="AG13">
    <cfRule type="cellIs" dxfId="3" priority="4" stopIfTrue="1" operator="greaterThan">
      <formula>0</formula>
    </cfRule>
  </conditionalFormatting>
  <conditionalFormatting sqref="AF13">
    <cfRule type="cellIs" dxfId="2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2022-06-01T02:05:00Z</dcterms:modified>
</cp:coreProperties>
</file>