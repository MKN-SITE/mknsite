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C26" i="11" l="1"/>
  <c r="C30" i="11" s="1"/>
</calcChain>
</file>

<file path=xl/sharedStrings.xml><?xml version="1.0" encoding="utf-8"?>
<sst xmlns="http://schemas.openxmlformats.org/spreadsheetml/2006/main" count="59" uniqueCount="25">
  <si>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</si>
  <si>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</si>
  <si>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</si>
  <si>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</si>
  <si>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</si>
  <si>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</si>
  <si>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</si>
  <si>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</si>
  <si>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</si>
  <si>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</si>
  <si>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</si>
  <si>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</si>
  <si>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</si>
  <si>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</si>
  <si>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</si>
  <si>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</si>
  <si>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</si>
  <si>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</si>
  <si>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</si>
  <si>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</si>
  <si>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</si>
  <si>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3 Maret 2022</t>
  </si>
  <si>
    <t>27 Maret 2022</t>
  </si>
  <si>
    <t xml:space="preserve">29 Maret 2022 </t>
  </si>
  <si>
    <t xml:space="preserve">         Intermiten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</si>
</sst>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21" fontId="6" fillId="0" borderId="22" xfId="0" applyNumberFormat="1" applyFont="1" applyBorder="1" applyAlignment="1">
      <alignment horizontal="center" vertical="top"/>
    </xf>
    <xf numFmtId="0" fontId="0" fillId="0" borderId="17" xfId="0" applyBorder="1"/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0" fontId="6" fillId="0" borderId="23" xfId="0" applyNumberFormat="1" applyFont="1" applyBorder="1" applyAlignment="1">
      <alignment horizontal="left" vertical="center"/>
    </xf>
    <xf numFmtId="0" fontId="6" fillId="0" borderId="23" xfId="0" applyFont="1" applyBorder="1" applyAlignment="1"/>
    <xf numFmtId="0" fontId="6" fillId="0" borderId="23" xfId="0" applyFont="1" applyBorder="1"/>
    <xf numFmtId="16" fontId="8" fillId="0" borderId="24" xfId="0" applyNumberFormat="1" applyFont="1" applyBorder="1" applyAlignment="1">
      <alignment horizontal="center"/>
    </xf>
    <xf numFmtId="15" fontId="6" fillId="0" borderId="3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40" fillId="0" borderId="0" xfId="0" applyFont="1" applyAlignment="1"/>
    <xf numFmtId="15" fontId="6" fillId="0" borderId="21" xfId="0" applyNumberFormat="1" applyFont="1" applyBorder="1" applyAlignment="1">
      <alignment horizontal="center" vertical="center"/>
    </xf>
    <xf numFmtId="15" fontId="6" fillId="0" borderId="20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6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5" fontId="6" fillId="0" borderId="14" xfId="0" applyNumberFormat="1" applyFont="1" applyBorder="1" applyAlignment="1">
      <alignment horizontal="center" vertical="center"/>
    </xf>
    <xf numFmtId="15" fontId="6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F23" sqref="F2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19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44621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90" t="s">
        <v>2</v>
      </c>
      <c r="B10" s="92" t="s">
        <v>0</v>
      </c>
      <c r="C10" s="94" t="s">
        <v>7</v>
      </c>
      <c r="D10" s="23">
        <v>44621</v>
      </c>
      <c r="E10" s="23">
        <v>44622</v>
      </c>
      <c r="F10" s="23">
        <v>44623</v>
      </c>
      <c r="G10" s="23">
        <v>44624</v>
      </c>
      <c r="H10" s="23">
        <v>44625</v>
      </c>
      <c r="I10" s="23">
        <v>44626</v>
      </c>
      <c r="J10" s="23">
        <v>44627</v>
      </c>
      <c r="K10" s="23">
        <v>44628</v>
      </c>
      <c r="L10" s="23">
        <v>44629</v>
      </c>
      <c r="M10" s="23">
        <v>44630</v>
      </c>
      <c r="N10" s="23">
        <v>44631</v>
      </c>
      <c r="O10" s="23">
        <v>44632</v>
      </c>
      <c r="P10" s="23">
        <v>44633</v>
      </c>
      <c r="Q10" s="23">
        <v>44634</v>
      </c>
      <c r="R10" s="23">
        <v>44635</v>
      </c>
      <c r="S10" s="23">
        <v>44636</v>
      </c>
      <c r="T10" s="23">
        <v>44637</v>
      </c>
      <c r="U10" s="23">
        <v>44638</v>
      </c>
      <c r="V10" s="23">
        <v>44639</v>
      </c>
      <c r="W10" s="23">
        <v>44640</v>
      </c>
      <c r="X10" s="23">
        <v>44641</v>
      </c>
      <c r="Y10" s="23">
        <v>44642</v>
      </c>
      <c r="Z10" s="23">
        <v>44643</v>
      </c>
      <c r="AA10" s="23">
        <v>44644</v>
      </c>
      <c r="AB10" s="23">
        <v>44645</v>
      </c>
      <c r="AC10" s="23">
        <v>44646</v>
      </c>
      <c r="AD10" s="23">
        <v>44647</v>
      </c>
      <c r="AE10" s="23">
        <v>44648</v>
      </c>
      <c r="AF10" s="23">
        <v>44649</v>
      </c>
      <c r="AG10" s="23">
        <v>44650</v>
      </c>
      <c r="AH10" s="89">
        <v>44651</v>
      </c>
    </row>
    <row r="11" spans="1:34" s="1" customFormat="1" x14ac:dyDescent="0.2">
      <c r="A11" s="91"/>
      <c r="B11" s="93"/>
      <c r="C11" s="95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58" t="s">
        <v>6</v>
      </c>
      <c r="AH11" s="13" t="s">
        <v>6</v>
      </c>
    </row>
    <row r="12" spans="1:34" x14ac:dyDescent="0.2">
      <c r="A12" s="41"/>
      <c r="B12" s="70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7"/>
      <c r="AH12" s="42"/>
    </row>
    <row r="13" spans="1:34" s="51" customFormat="1" ht="106.5" customHeight="1" x14ac:dyDescent="0.2">
      <c r="A13" s="77">
        <v>1</v>
      </c>
      <c r="B13" s="78" t="s">
        <v>14</v>
      </c>
      <c r="C13" s="48" t="s">
        <v>15</v>
      </c>
      <c r="D13" s="49">
        <v>0</v>
      </c>
      <c r="E13" s="49">
        <v>0</v>
      </c>
      <c r="F13" s="49">
        <v>0.16894675925925925</v>
      </c>
      <c r="G13" s="62">
        <v>0</v>
      </c>
      <c r="H13" s="62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62">
        <v>0</v>
      </c>
      <c r="AB13" s="49">
        <v>0</v>
      </c>
      <c r="AC13" s="49">
        <v>0</v>
      </c>
      <c r="AD13" s="49">
        <v>3.5185185185185187E-2</v>
      </c>
      <c r="AE13" s="49">
        <v>0</v>
      </c>
      <c r="AF13" s="49">
        <v>4.3912037037037034E-2</v>
      </c>
      <c r="AG13" s="50">
        <v>0</v>
      </c>
      <c r="AH13" s="69">
        <v>0</v>
      </c>
    </row>
    <row r="14" spans="1:34" s="15" customFormat="1" ht="12.75" customHeight="1" x14ac:dyDescent="0.2">
      <c r="A14" s="108" t="s">
        <v>20</v>
      </c>
      <c r="B14" s="109"/>
      <c r="C14" s="98" t="s">
        <v>21</v>
      </c>
      <c r="D14" s="100" t="s">
        <v>24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2"/>
    </row>
    <row r="15" spans="1:34" s="15" customFormat="1" ht="12.75" customHeight="1" x14ac:dyDescent="0.2">
      <c r="A15" s="110"/>
      <c r="B15" s="111"/>
      <c r="C15" s="99"/>
      <c r="D15" s="102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3"/>
    </row>
    <row r="16" spans="1:34" s="15" customFormat="1" ht="12.75" customHeight="1" x14ac:dyDescent="0.2">
      <c r="A16" s="110"/>
      <c r="B16" s="111"/>
      <c r="C16" s="104" t="s">
        <v>22</v>
      </c>
      <c r="D16" s="101" t="s">
        <v>24</v>
      </c>
      <c r="E16" s="101"/>
      <c r="F16" s="101"/>
      <c r="G16" s="101"/>
      <c r="H16" s="101"/>
      <c r="I16" s="101"/>
      <c r="J16" s="101"/>
      <c r="K16" s="88"/>
      <c r="L16" s="84"/>
      <c r="M16" s="84"/>
      <c r="N16" s="84"/>
      <c r="O16" s="54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2"/>
    </row>
    <row r="17" spans="1:34" s="15" customFormat="1" ht="12.75" customHeight="1" x14ac:dyDescent="0.2">
      <c r="A17" s="110"/>
      <c r="B17" s="111"/>
      <c r="C17" s="105"/>
      <c r="D17" s="107"/>
      <c r="E17" s="107"/>
      <c r="F17" s="107"/>
      <c r="G17" s="107"/>
      <c r="H17" s="107"/>
      <c r="I17" s="107"/>
      <c r="J17" s="107"/>
      <c r="K17" s="87"/>
      <c r="L17" s="85"/>
      <c r="M17" s="85"/>
      <c r="N17" s="85"/>
      <c r="O17" s="56"/>
      <c r="P17" s="56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3"/>
    </row>
    <row r="18" spans="1:34" s="15" customFormat="1" ht="12.75" customHeight="1" x14ac:dyDescent="0.2">
      <c r="A18" s="110"/>
      <c r="B18" s="111"/>
      <c r="C18" s="98" t="s">
        <v>23</v>
      </c>
      <c r="D18" s="102" t="s">
        <v>24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54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2"/>
    </row>
    <row r="19" spans="1:34" s="15" customFormat="1" ht="12.75" customHeight="1" x14ac:dyDescent="0.2">
      <c r="A19" s="110"/>
      <c r="B19" s="111"/>
      <c r="C19" s="99"/>
      <c r="D19" s="106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56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9"/>
    </row>
    <row r="20" spans="1:34" s="15" customFormat="1" ht="25.5" customHeight="1" x14ac:dyDescent="0.2">
      <c r="A20" s="112"/>
      <c r="B20" s="113"/>
      <c r="C20" s="83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80"/>
      <c r="P20" s="80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2"/>
    </row>
    <row r="21" spans="1:34" s="15" customFormat="1" ht="25.5" x14ac:dyDescent="0.2">
      <c r="A21" s="71"/>
      <c r="B21" s="71"/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4"/>
      <c r="P21" s="74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6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4.25" x14ac:dyDescent="0.2">
      <c r="A24" s="97" t="s">
        <v>2</v>
      </c>
      <c r="B24" s="97" t="s">
        <v>8</v>
      </c>
      <c r="C24" s="97" t="s">
        <v>1</v>
      </c>
      <c r="D24" s="96" t="s">
        <v>6</v>
      </c>
      <c r="E24" s="96"/>
      <c r="F24" s="19"/>
      <c r="G24" s="86"/>
      <c r="H24" s="64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97"/>
      <c r="B25" s="97"/>
      <c r="C25" s="97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20" customFormat="1" ht="15.75" x14ac:dyDescent="0.25">
      <c r="A26" s="45">
        <v>1</v>
      </c>
      <c r="B26" s="46" t="s">
        <v>17</v>
      </c>
      <c r="C26" s="40">
        <f>1-(((D26*3600)+(LEFT(E26,2)*60)+RIGHT(E26,2))/((60*60*24)*$C$8))</f>
        <v>0.99199858124253282</v>
      </c>
      <c r="D26" s="26" t="str">
        <f>TEXT(SUM(D13:AF13),"[h]")</f>
        <v>5</v>
      </c>
      <c r="E26" s="26" t="str">
        <f>TEXT(SUM(D13:AF13),"mm ss")</f>
        <v>57 11</v>
      </c>
      <c r="F26" s="27"/>
      <c r="G26" s="19"/>
      <c r="H26" s="28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9"/>
      <c r="AD26" s="15"/>
      <c r="AE26" s="15"/>
      <c r="AF26" s="15"/>
      <c r="AG26" s="15"/>
      <c r="AH26" s="15"/>
    </row>
    <row r="27" spans="1:34" x14ac:dyDescent="0.2">
      <c r="A27" s="16"/>
      <c r="B27" s="15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63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0"/>
    </row>
    <row r="29" spans="1:34" x14ac:dyDescent="0.2">
      <c r="A29" s="18"/>
      <c r="B29" s="31" t="s">
        <v>16</v>
      </c>
      <c r="C29" s="25"/>
      <c r="D29" s="24"/>
      <c r="E29" s="24"/>
      <c r="F29" s="24"/>
      <c r="G29" s="24"/>
      <c r="H29" s="24"/>
      <c r="I29" s="24"/>
      <c r="J29" s="24"/>
      <c r="K29" s="61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ht="14.25" x14ac:dyDescent="0.2">
      <c r="B30" s="68" t="s">
        <v>18</v>
      </c>
      <c r="C30" s="65">
        <f>C26</f>
        <v>0.99199858124253282</v>
      </c>
      <c r="G30" s="67"/>
      <c r="H30" s="43"/>
    </row>
    <row r="32" spans="1:34" x14ac:dyDescent="0.2">
      <c r="H32" s="60"/>
      <c r="I32" s="19"/>
    </row>
    <row r="35" spans="2:32" ht="18" x14ac:dyDescent="0.25">
      <c r="B35" s="66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2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4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J17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AF13">
    <cfRule type="cellIs" dxfId="2" priority="9" stopIfTrue="1" operator="greaterThan">
      <formula>0</formula>
    </cfRule>
  </conditionalFormatting>
  <conditionalFormatting sqref="Z13:AE13">
    <cfRule type="cellIs" dxfId="1" priority="8" stopIfTrue="1" operator="greaterThan">
      <formula>0</formula>
    </cfRule>
  </conditionalFormatting>
  <conditionalFormatting sqref="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2022-04-01T08:09:10Z</dcterms:modified>
</cp:coreProperties>
</file>