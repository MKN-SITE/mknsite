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Megashop'!$A$1:$AG$33</definedName>
  </definedNames>
  <calcPr calcId="144525"/>
</workbook>
</file>

<file path=xl/calcChain.xml><?xml version="1.0" encoding="utf-8"?>
<calcChain xmlns="http://schemas.openxmlformats.org/spreadsheetml/2006/main">
  <c r="E26" i="11" l="1"/>
  <c r="D26" i="11"/>
  <c r="B26" i="11"/>
  <c r="C26" i="11" l="1"/>
  <c r="C30" i="11" s="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<sst xmlns="http://schemas.openxmlformats.org/spreadsheetml/2006/main" count="52" uniqueCount="21">
  <si>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</si>
  <si>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</si>
  <si>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</si>
  <si>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</si>
  <si>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</si>
  <si>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</si>
  <si>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</si>
  <si>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</si>
  <si>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</si>
  <si>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</si>
  <si>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</si>
  <si>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</si>
  <si>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</si>
  <si>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</si>
  <si>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</si>
  <si>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</si>
  <si>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</si>
  <si>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</si>
  <si>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</si>
  <si>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</si>
  <si>
    <t xml:space="preserve">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</si>
</sst>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33" fillId="0" borderId="17" xfId="0" applyFont="1" applyBorder="1" applyAlignment="1">
      <alignment vertical="top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10" fontId="6" fillId="0" borderId="0" xfId="0" applyNumberFormat="1" applyFont="1" applyBorder="1" applyAlignment="1">
      <alignment vertical="center" wrapText="1"/>
    </xf>
    <xf numFmtId="15" fontId="7" fillId="0" borderId="18" xfId="0" applyNumberFormat="1" applyFont="1" applyBorder="1" applyAlignment="1">
      <alignment horizontal="center" vertical="center"/>
    </xf>
    <xf numFmtId="0" fontId="6" fillId="33" borderId="0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0" fontId="33" fillId="33" borderId="15" xfId="0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46" fontId="0" fillId="33" borderId="19" xfId="0" applyNumberFormat="1" applyFill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36" fillId="0" borderId="0" xfId="0" applyFont="1" applyBorder="1" applyAlignment="1">
      <alignment horizontal="left" vertical="center"/>
    </xf>
    <xf numFmtId="15" fontId="7" fillId="0" borderId="0" xfId="0" applyNumberFormat="1" applyFont="1" applyBorder="1" applyAlignment="1">
      <alignment horizontal="center" vertical="center"/>
    </xf>
    <xf numFmtId="0" fontId="0" fillId="34" borderId="0" xfId="0" applyFill="1"/>
    <xf numFmtId="0" fontId="3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7" fillId="0" borderId="15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5" fontId="6" fillId="0" borderId="15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6" fontId="7" fillId="0" borderId="1" xfId="0" applyNumberFormat="1" applyFont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Y19" sqref="Y19:Y20"/>
    </sheetView>
  </sheetViews>
  <sheetFormatPr defaultRowHeight="12.75" x14ac:dyDescent="0.2"/>
  <cols>
    <col min="1" max="1" width="9.140625" style="2" customWidth="1"/>
    <col min="2" max="2" width="28.28515625" customWidth="1"/>
    <col min="3" max="3" width="21.7109375" customWidth="1"/>
    <col min="4" max="4" width="9.140625" style="12" customWidth="1"/>
    <col min="5" max="16" width="9.140625" style="14" customWidth="1"/>
    <col min="17" max="32" width="9.140625" customWidth="1"/>
    <col min="33" max="33" width="9.28515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44866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4" t="s">
        <v>2</v>
      </c>
      <c r="B10" s="74" t="s">
        <v>0</v>
      </c>
      <c r="C10" s="74" t="s">
        <v>7</v>
      </c>
      <c r="D10" s="23">
        <v>44866</v>
      </c>
      <c r="E10" s="23">
        <v>44867</v>
      </c>
      <c r="F10" s="23">
        <v>44868</v>
      </c>
      <c r="G10" s="23">
        <v>44869</v>
      </c>
      <c r="H10" s="23">
        <v>44870</v>
      </c>
      <c r="I10" s="23">
        <v>44871</v>
      </c>
      <c r="J10" s="23">
        <v>44872</v>
      </c>
      <c r="K10" s="23">
        <v>44873</v>
      </c>
      <c r="L10" s="23">
        <v>44874</v>
      </c>
      <c r="M10" s="23">
        <v>44875</v>
      </c>
      <c r="N10" s="23">
        <v>44876</v>
      </c>
      <c r="O10" s="23">
        <v>44877</v>
      </c>
      <c r="P10" s="23">
        <v>44878</v>
      </c>
      <c r="Q10" s="23">
        <v>44879</v>
      </c>
      <c r="R10" s="23">
        <v>44880</v>
      </c>
      <c r="S10" s="23">
        <v>44881</v>
      </c>
      <c r="T10" s="23">
        <v>44882</v>
      </c>
      <c r="U10" s="23">
        <v>44883</v>
      </c>
      <c r="V10" s="23">
        <v>44884</v>
      </c>
      <c r="W10" s="23">
        <v>44885</v>
      </c>
      <c r="X10" s="23">
        <v>44886</v>
      </c>
      <c r="Y10" s="23">
        <v>44887</v>
      </c>
      <c r="Z10" s="23">
        <v>44888</v>
      </c>
      <c r="AA10" s="23">
        <v>44889</v>
      </c>
      <c r="AB10" s="23">
        <v>44890</v>
      </c>
      <c r="AC10" s="23">
        <v>44891</v>
      </c>
      <c r="AD10" s="23">
        <v>44892</v>
      </c>
      <c r="AE10" s="23">
        <v>44893</v>
      </c>
      <c r="AF10" s="23">
        <v>44894</v>
      </c>
      <c r="AG10" s="91">
        <v>44895</v>
      </c>
    </row>
    <row r="11" spans="1:34" s="1" customFormat="1" x14ac:dyDescent="0.2">
      <c r="A11" s="75"/>
      <c r="B11" s="75"/>
      <c r="C11" s="7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69">
        <v>1</v>
      </c>
      <c r="B13" s="46" t="s">
        <v>15</v>
      </c>
      <c r="C13" s="56" t="s">
        <v>16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4.8726851851851856E-3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</row>
    <row r="14" spans="1:34" s="15" customFormat="1" ht="15" customHeight="1" x14ac:dyDescent="0.2">
      <c r="A14" s="64"/>
      <c r="B14" s="65"/>
      <c r="C14" s="66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</row>
    <row r="15" spans="1:34" s="15" customFormat="1" ht="25.5" customHeight="1" x14ac:dyDescent="0.2">
      <c r="A15" s="87">
        <v>2</v>
      </c>
      <c r="B15" s="84" t="s">
        <v>19</v>
      </c>
      <c r="C15" s="63">
        <v>44873</v>
      </c>
      <c r="D15" s="78" t="s">
        <v>20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9"/>
      <c r="AH15" s="62"/>
    </row>
    <row r="16" spans="1:34" s="15" customFormat="1" ht="25.5" customHeight="1" x14ac:dyDescent="0.2">
      <c r="A16" s="88"/>
      <c r="B16" s="85"/>
      <c r="C16" s="57"/>
      <c r="D16" s="82"/>
      <c r="E16" s="82"/>
      <c r="F16" s="82"/>
      <c r="G16" s="82"/>
      <c r="H16" s="82"/>
      <c r="I16" s="82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9"/>
    </row>
    <row r="17" spans="1:33" s="15" customFormat="1" ht="25.5" customHeight="1" x14ac:dyDescent="0.2">
      <c r="A17" s="88"/>
      <c r="B17" s="85"/>
      <c r="C17" s="57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</row>
    <row r="18" spans="1:33" s="15" customFormat="1" ht="25.5" customHeight="1" x14ac:dyDescent="0.2">
      <c r="A18" s="89"/>
      <c r="B18" s="86"/>
      <c r="C18" s="57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1"/>
    </row>
    <row r="19" spans="1:33" s="15" customFormat="1" ht="15" x14ac:dyDescent="0.2">
      <c r="A19" s="51"/>
      <c r="B19" s="70"/>
      <c r="C19" s="71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</row>
    <row r="20" spans="1:33" s="15" customFormat="1" ht="15" x14ac:dyDescent="0.2">
      <c r="A20" s="51"/>
      <c r="B20" s="70"/>
      <c r="C20" s="71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</row>
    <row r="21" spans="1:33" s="15" customFormat="1" ht="15" x14ac:dyDescent="0.2">
      <c r="A21" s="51"/>
      <c r="B21" s="70"/>
      <c r="C21" s="71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</row>
    <row r="22" spans="1:33" s="15" customFormat="1" x14ac:dyDescent="0.2">
      <c r="A22" s="51"/>
      <c r="B22" s="51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</row>
    <row r="23" spans="1:33" s="15" customFormat="1" x14ac:dyDescent="0.2">
      <c r="A23" s="29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8"/>
    </row>
    <row r="24" spans="1:33" s="15" customFormat="1" ht="18" x14ac:dyDescent="0.25">
      <c r="A24" s="77" t="s">
        <v>2</v>
      </c>
      <c r="B24" s="77" t="s">
        <v>8</v>
      </c>
      <c r="C24" s="77" t="s">
        <v>1</v>
      </c>
      <c r="D24" s="76" t="s">
        <v>6</v>
      </c>
      <c r="E24" s="76"/>
      <c r="F24" s="19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54"/>
      <c r="R24" s="54"/>
      <c r="S24" s="54"/>
      <c r="T24" s="54"/>
      <c r="U24" s="73"/>
      <c r="V24" s="73"/>
      <c r="W24" s="73"/>
      <c r="X24" s="73"/>
      <c r="Y24" s="73"/>
      <c r="Z24" s="73"/>
      <c r="AA24" s="73"/>
      <c r="AB24" s="73"/>
      <c r="AC24" s="38"/>
    </row>
    <row r="25" spans="1:33" s="20" customFormat="1" ht="18" x14ac:dyDescent="0.25">
      <c r="A25" s="77"/>
      <c r="B25" s="77"/>
      <c r="C25" s="77"/>
      <c r="D25" s="34" t="s">
        <v>9</v>
      </c>
      <c r="E25" s="28" t="s">
        <v>10</v>
      </c>
      <c r="F25" s="19"/>
      <c r="G25" s="37"/>
      <c r="H25" s="37"/>
      <c r="I25" s="54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5"/>
      <c r="X25" s="55"/>
      <c r="Y25" s="55"/>
      <c r="Z25" s="55"/>
      <c r="AA25"/>
      <c r="AB25"/>
      <c r="AC25" s="38"/>
      <c r="AD25" s="15"/>
      <c r="AE25" s="15"/>
      <c r="AF25" s="15"/>
      <c r="AG25" s="15"/>
    </row>
    <row r="26" spans="1:33" ht="18" x14ac:dyDescent="0.25">
      <c r="A26" s="44">
        <v>1</v>
      </c>
      <c r="B26" s="45" t="str">
        <f>B13</f>
        <v>Link Wireless  to Megashop</v>
      </c>
      <c r="C26" s="39">
        <f>1-(((D26*3600)+(LEFT(E26,2)*60)+RIGHT(E26,2))/((60*60*24)*$C$8))</f>
        <v>0.99983757716049382</v>
      </c>
      <c r="D26" s="26" t="str">
        <f>TEXT(SUM(D13:AG13),"[h]")</f>
        <v>0</v>
      </c>
      <c r="E26" s="26" t="str">
        <f>TEXT(SUM(D13:AG13),"mm ss")</f>
        <v>07 01</v>
      </c>
      <c r="F26" s="27"/>
      <c r="G26" s="37"/>
      <c r="H26" s="37"/>
      <c r="I26" s="60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5"/>
      <c r="X26" s="55"/>
      <c r="Y26" s="55"/>
      <c r="Z26" s="55"/>
      <c r="AC26" s="38"/>
      <c r="AD26" s="15"/>
      <c r="AE26" s="15"/>
      <c r="AF26" s="15"/>
      <c r="AG26" s="15"/>
    </row>
    <row r="27" spans="1:33" ht="18" x14ac:dyDescent="0.25">
      <c r="A27" s="16"/>
      <c r="B27" s="15"/>
      <c r="C27" s="33"/>
      <c r="D27" s="31"/>
      <c r="E27" s="32"/>
      <c r="F27" s="19"/>
      <c r="G27" s="37"/>
      <c r="H27" s="37"/>
      <c r="I27" s="54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5"/>
      <c r="X27" s="55"/>
      <c r="Y27" s="55"/>
      <c r="Z27" s="55"/>
      <c r="AC27" s="15"/>
      <c r="AD27" s="15"/>
      <c r="AE27" s="15"/>
      <c r="AF27" s="15"/>
      <c r="AG27" s="15"/>
    </row>
    <row r="28" spans="1:33" ht="18" x14ac:dyDescent="0.25">
      <c r="A28" s="16"/>
      <c r="B28" s="15"/>
      <c r="C28" s="15"/>
      <c r="D28" s="17"/>
      <c r="E28" s="18"/>
      <c r="F28" s="19"/>
      <c r="G28" s="37"/>
      <c r="H28" s="37"/>
      <c r="I28" s="54"/>
      <c r="J28" s="54"/>
      <c r="K28" s="54"/>
      <c r="L28" s="54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5"/>
      <c r="X28" s="55"/>
      <c r="Y28" s="55"/>
      <c r="Z28" s="55"/>
      <c r="AC28" s="15"/>
      <c r="AD28" s="15"/>
      <c r="AE28" s="15"/>
      <c r="AF28" s="15"/>
      <c r="AG28" s="15"/>
    </row>
    <row r="29" spans="1:33" ht="18" x14ac:dyDescent="0.25">
      <c r="A29" s="18"/>
      <c r="B29" s="30" t="s">
        <v>17</v>
      </c>
      <c r="C29" s="25"/>
      <c r="D29" s="24"/>
      <c r="E29" s="24"/>
      <c r="F29" s="24"/>
      <c r="G29" s="37"/>
      <c r="H29" s="37"/>
      <c r="I29" s="54"/>
      <c r="J29" s="54"/>
      <c r="K29" s="54"/>
      <c r="L29" s="54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5"/>
      <c r="X29" s="55"/>
      <c r="Y29" s="55"/>
      <c r="Z29" s="55"/>
      <c r="AC29" s="17"/>
      <c r="AD29" s="24"/>
      <c r="AE29" s="24"/>
      <c r="AF29" s="24"/>
      <c r="AG29" s="20"/>
    </row>
    <row r="30" spans="1:33" ht="18" x14ac:dyDescent="0.25">
      <c r="B30" s="15" t="s">
        <v>18</v>
      </c>
      <c r="C30" s="34">
        <f>C26</f>
        <v>0.99983757716049382</v>
      </c>
      <c r="G30" s="37"/>
      <c r="H30" s="37"/>
      <c r="I30" s="54"/>
      <c r="J30" s="90"/>
      <c r="K30" s="90"/>
      <c r="L30" s="90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90"/>
      <c r="X30" s="90"/>
      <c r="Y30" s="90"/>
      <c r="Z30" s="55"/>
    </row>
    <row r="31" spans="1:33" ht="10.35" customHeight="1" x14ac:dyDescent="0.25">
      <c r="G31" s="37"/>
      <c r="H31" s="37"/>
      <c r="I31" s="54"/>
      <c r="J31" s="73"/>
      <c r="K31" s="73"/>
      <c r="L31" s="73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73"/>
      <c r="X31" s="73"/>
      <c r="Y31" s="73"/>
      <c r="Z31" s="55"/>
    </row>
    <row r="32" spans="1:33" x14ac:dyDescent="0.2">
      <c r="B32" s="72"/>
      <c r="G32" s="37"/>
      <c r="H32" s="37"/>
      <c r="I32" s="37"/>
      <c r="J32" s="37"/>
      <c r="K32" s="37"/>
      <c r="L32" s="37"/>
      <c r="M32" s="37"/>
      <c r="N32"/>
      <c r="O32"/>
      <c r="P32"/>
    </row>
    <row r="34" spans="2:32" x14ac:dyDescent="0.2">
      <c r="B34" s="61"/>
    </row>
    <row r="35" spans="2:32" x14ac:dyDescent="0.2"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2:32" x14ac:dyDescent="0.2">
      <c r="F46" s="3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</sheetData>
  <mergeCells count="19">
    <mergeCell ref="A15:A18"/>
    <mergeCell ref="J30:L30"/>
    <mergeCell ref="W30:Y30"/>
    <mergeCell ref="J31:L31"/>
    <mergeCell ref="W31:Y31"/>
    <mergeCell ref="A10:A11"/>
    <mergeCell ref="B10:B11"/>
    <mergeCell ref="C10:C11"/>
    <mergeCell ref="D24:E24"/>
    <mergeCell ref="A24:A25"/>
    <mergeCell ref="B24:B25"/>
    <mergeCell ref="C24:C25"/>
    <mergeCell ref="D15:AG15"/>
    <mergeCell ref="D18:AG18"/>
    <mergeCell ref="G24:P24"/>
    <mergeCell ref="U24:AB24"/>
    <mergeCell ref="D16:I16"/>
    <mergeCell ref="D17:P17"/>
    <mergeCell ref="B15:B18"/>
  </mergeCells>
  <phoneticPr fontId="8" type="noConversion"/>
  <conditionalFormatting sqref="Y13 D14:AG14">
    <cfRule type="cellIs" dxfId="8" priority="38" stopIfTrue="1" operator="greaterThan">
      <formula>0</formula>
    </cfRule>
  </conditionalFormatting>
  <conditionalFormatting sqref="O13:R13 D13:K13 T13:X13">
    <cfRule type="cellIs" dxfId="7" priority="20" stopIfTrue="1" operator="greaterThan">
      <formula>0</formula>
    </cfRule>
  </conditionalFormatting>
  <conditionalFormatting sqref="AF13">
    <cfRule type="cellIs" dxfId="6" priority="16" stopIfTrue="1" operator="greaterThan">
      <formula>0</formula>
    </cfRule>
  </conditionalFormatting>
  <conditionalFormatting sqref="Z13:AC13 AE13">
    <cfRule type="cellIs" dxfId="5" priority="15" stopIfTrue="1" operator="greaterThan">
      <formula>0</formula>
    </cfRule>
  </conditionalFormatting>
  <conditionalFormatting sqref="AG13">
    <cfRule type="cellIs" dxfId="4" priority="9" stopIfTrue="1" operator="greaterThan">
      <formula>0</formula>
    </cfRule>
  </conditionalFormatting>
  <conditionalFormatting sqref="S13">
    <cfRule type="cellIs" dxfId="3" priority="7" stopIfTrue="1" operator="greaterThan">
      <formula>0</formula>
    </cfRule>
  </conditionalFormatting>
  <conditionalFormatting sqref="L13:M13">
    <cfRule type="cellIs" dxfId="2" priority="5" stopIfTrue="1" operator="greaterThan">
      <formula>0</formula>
    </cfRule>
  </conditionalFormatting>
  <conditionalFormatting sqref="AD13">
    <cfRule type="cellIs" dxfId="1" priority="3" stopIfTrue="1" operator="greaterThan">
      <formula>0</formula>
    </cfRule>
  </conditionalFormatting>
  <conditionalFormatting sqref="N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2022-12-01T09:05:28Z</dcterms:modified>
</cp:coreProperties>
</file>