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7" i="11" l="1"/>
  <c r="E27" i="11"/>
  <c r="C27" i="11" l="1"/>
  <c r="C31" i="11" s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<sst xmlns="http://schemas.openxmlformats.org/spreadsheetml/2006/main" count="56" uniqueCount="23">
  <si>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</si>
  <si>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</si>
  <si>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</si>
  <si>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</si>
  <si>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</si>
  <si>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</si>
  <si>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</si>
  <si>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</si>
  <si>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</si>
  <si>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</si>
  <si>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</si>
  <si>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</si>
  <si>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</si>
  <si>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</si>
  <si>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</si>
  <si>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</si>
  <si>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</si>
  <si>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</si>
  <si>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</si>
  <si>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</si>
  <si>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</si>
  <si>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 xml:space="preserve"> 4 Oct 2022</t>
  </si>
  <si>
    <t xml:space="preserve">  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</si>
</sst>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  <font>
      <sz val="12"/>
      <name val="Tahoma"/>
      <family val="2"/>
    </font>
    <font>
      <b/>
      <sz val="12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0" xfId="0" applyFont="1" applyAlignment="1">
      <alignment vertical="top"/>
    </xf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0" fontId="40" fillId="0" borderId="0" xfId="0" applyFont="1" applyAlignment="1"/>
    <xf numFmtId="10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3" borderId="2" xfId="0" applyFill="1" applyBorder="1" applyAlignment="1">
      <alignment horizontal="center"/>
    </xf>
    <xf numFmtId="0" fontId="0" fillId="33" borderId="17" xfId="0" applyFill="1" applyBorder="1"/>
    <xf numFmtId="0" fontId="0" fillId="33" borderId="2" xfId="0" applyFill="1" applyBorder="1"/>
    <xf numFmtId="9" fontId="13" fillId="33" borderId="2" xfId="0" applyNumberFormat="1" applyFont="1" applyFill="1" applyBorder="1" applyAlignment="1">
      <alignment horizontal="center"/>
    </xf>
    <xf numFmtId="9" fontId="13" fillId="33" borderId="14" xfId="0" applyNumberFormat="1" applyFont="1" applyFill="1" applyBorder="1" applyAlignment="1">
      <alignment horizontal="center"/>
    </xf>
    <xf numFmtId="0" fontId="35" fillId="33" borderId="14" xfId="0" applyFont="1" applyFill="1" applyBorder="1" applyAlignment="1">
      <alignment horizontal="center" vertical="center"/>
    </xf>
    <xf numFmtId="0" fontId="35" fillId="33" borderId="0" xfId="0" applyFont="1" applyFill="1" applyBorder="1" applyAlignment="1">
      <alignment horizontal="center" vertical="center"/>
    </xf>
    <xf numFmtId="15" fontId="8" fillId="33" borderId="16" xfId="0" applyNumberFormat="1" applyFont="1" applyFill="1" applyBorder="1" applyAlignment="1">
      <alignment horizontal="center" vertical="center"/>
    </xf>
    <xf numFmtId="10" fontId="6" fillId="33" borderId="14" xfId="0" applyNumberFormat="1" applyFont="1" applyFill="1" applyBorder="1" applyAlignment="1">
      <alignment horizontal="left" vertical="center"/>
    </xf>
    <xf numFmtId="10" fontId="6" fillId="33" borderId="19" xfId="0" applyNumberFormat="1" applyFont="1" applyFill="1" applyBorder="1" applyAlignment="1">
      <alignment horizontal="left" vertical="center"/>
    </xf>
    <xf numFmtId="0" fontId="6" fillId="33" borderId="19" xfId="0" applyFont="1" applyFill="1" applyBorder="1" applyAlignment="1"/>
    <xf numFmtId="0" fontId="6" fillId="33" borderId="19" xfId="0" applyFont="1" applyFill="1" applyBorder="1"/>
    <xf numFmtId="0" fontId="6" fillId="33" borderId="16" xfId="0" applyFont="1" applyFill="1" applyBorder="1"/>
    <xf numFmtId="0" fontId="6" fillId="33" borderId="0" xfId="0" applyFont="1" applyFill="1" applyBorder="1" applyAlignment="1">
      <alignment horizontal="center"/>
    </xf>
    <xf numFmtId="0" fontId="6" fillId="33" borderId="0" xfId="0" applyFont="1" applyFill="1"/>
    <xf numFmtId="10" fontId="6" fillId="0" borderId="0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/>
    <xf numFmtId="0" fontId="6" fillId="0" borderId="0" xfId="0" applyFont="1" applyFill="1"/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46" fontId="0" fillId="0" borderId="1" xfId="0" applyNumberFormat="1" applyBorder="1" applyAlignment="1">
      <alignment vertical="center"/>
    </xf>
    <xf numFmtId="46" fontId="36" fillId="0" borderId="1" xfId="0" applyNumberFormat="1" applyFont="1" applyBorder="1" applyAlignment="1">
      <alignment vertical="center"/>
    </xf>
    <xf numFmtId="46" fontId="0" fillId="0" borderId="3" xfId="0" applyNumberFormat="1" applyBorder="1" applyAlignment="1">
      <alignment vertical="center"/>
    </xf>
    <xf numFmtId="21" fontId="6" fillId="0" borderId="1" xfId="0" applyNumberFormat="1" applyFont="1" applyBorder="1" applyAlignment="1">
      <alignment vertical="center"/>
    </xf>
    <xf numFmtId="0" fontId="41" fillId="0" borderId="0" xfId="0" applyFont="1" applyAlignment="1"/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horizontal="left" vertical="center"/>
    </xf>
    <xf numFmtId="0" fontId="42" fillId="0" borderId="20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0" fontId="41" fillId="0" borderId="2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vertical="center"/>
    </xf>
    <xf numFmtId="10" fontId="6" fillId="0" borderId="19" xfId="0" applyNumberFormat="1" applyFont="1" applyBorder="1" applyAlignment="1">
      <alignment vertical="center"/>
    </xf>
    <xf numFmtId="10" fontId="6" fillId="0" borderId="16" xfId="0" applyNumberFormat="1" applyFont="1" applyBorder="1" applyAlignment="1">
      <alignment vertical="center"/>
    </xf>
    <xf numFmtId="10" fontId="6" fillId="0" borderId="15" xfId="0" applyNumberFormat="1" applyFont="1" applyBorder="1" applyAlignment="1">
      <alignment vertical="center"/>
    </xf>
    <xf numFmtId="10" fontId="6" fillId="0" borderId="21" xfId="0" applyNumberFormat="1" applyFont="1" applyBorder="1" applyAlignment="1">
      <alignment vertical="center"/>
    </xf>
    <xf numFmtId="10" fontId="6" fillId="0" borderId="18" xfId="0" applyNumberFormat="1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7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22" sqref="D22:AH2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1">
        <v>44835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3" t="s">
        <v>2</v>
      </c>
      <c r="B10" s="85" t="s">
        <v>0</v>
      </c>
      <c r="C10" s="87" t="s">
        <v>7</v>
      </c>
      <c r="D10" s="22">
        <v>44835</v>
      </c>
      <c r="E10" s="22">
        <v>44836</v>
      </c>
      <c r="F10" s="22">
        <v>44837</v>
      </c>
      <c r="G10" s="22">
        <v>44838</v>
      </c>
      <c r="H10" s="22">
        <v>44839</v>
      </c>
      <c r="I10" s="22">
        <v>44840</v>
      </c>
      <c r="J10" s="22">
        <v>44841</v>
      </c>
      <c r="K10" s="22">
        <v>44842</v>
      </c>
      <c r="L10" s="22">
        <v>44843</v>
      </c>
      <c r="M10" s="22">
        <v>44844</v>
      </c>
      <c r="N10" s="22">
        <v>44845</v>
      </c>
      <c r="O10" s="22">
        <v>44846</v>
      </c>
      <c r="P10" s="22">
        <v>44847</v>
      </c>
      <c r="Q10" s="22">
        <v>44848</v>
      </c>
      <c r="R10" s="22">
        <v>44849</v>
      </c>
      <c r="S10" s="22">
        <v>44850</v>
      </c>
      <c r="T10" s="22">
        <v>44851</v>
      </c>
      <c r="U10" s="22">
        <v>44852</v>
      </c>
      <c r="V10" s="22">
        <v>44853</v>
      </c>
      <c r="W10" s="22">
        <v>44854</v>
      </c>
      <c r="X10" s="22">
        <v>44855</v>
      </c>
      <c r="Y10" s="22">
        <v>44856</v>
      </c>
      <c r="Z10" s="22">
        <v>44857</v>
      </c>
      <c r="AA10" s="22">
        <v>44858</v>
      </c>
      <c r="AB10" s="22">
        <v>44859</v>
      </c>
      <c r="AC10" s="22">
        <v>44860</v>
      </c>
      <c r="AD10" s="22">
        <v>44861</v>
      </c>
      <c r="AE10" s="22">
        <v>44862</v>
      </c>
      <c r="AF10" s="22">
        <v>44863</v>
      </c>
      <c r="AG10" s="22">
        <v>44864</v>
      </c>
      <c r="AH10" s="22">
        <v>44865</v>
      </c>
    </row>
    <row r="11" spans="1:34" s="1" customFormat="1" x14ac:dyDescent="0.2">
      <c r="A11" s="84"/>
      <c r="B11" s="86"/>
      <c r="C11" s="8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45" t="s">
        <v>6</v>
      </c>
      <c r="AH11" s="13" t="s">
        <v>6</v>
      </c>
    </row>
    <row r="12" spans="1:34" x14ac:dyDescent="0.2">
      <c r="A12" s="57"/>
      <c r="B12" s="58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1"/>
      <c r="AH12" s="59"/>
    </row>
    <row r="13" spans="1:34" s="44" customFormat="1" ht="106.5" customHeight="1" x14ac:dyDescent="0.2">
      <c r="A13" s="56">
        <v>1</v>
      </c>
      <c r="B13" s="76" t="s">
        <v>14</v>
      </c>
      <c r="C13" s="77" t="s">
        <v>15</v>
      </c>
      <c r="D13" s="78">
        <v>0</v>
      </c>
      <c r="E13" s="78">
        <v>0</v>
      </c>
      <c r="F13" s="78">
        <v>0</v>
      </c>
      <c r="G13" s="78">
        <v>1.5925925925925927E-2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1.4074074074074074E-2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9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80">
        <v>0</v>
      </c>
      <c r="AH13" s="81">
        <v>0</v>
      </c>
    </row>
    <row r="14" spans="1:34" s="15" customFormat="1" ht="12.75" customHeight="1" x14ac:dyDescent="0.2">
      <c r="A14" s="62"/>
      <c r="B14" s="63"/>
      <c r="C14" s="64"/>
      <c r="D14" s="65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7"/>
      <c r="P14" s="67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9"/>
    </row>
    <row r="15" spans="1:34" s="15" customFormat="1" ht="12.75" customHeight="1" x14ac:dyDescent="0.2">
      <c r="A15" s="95">
        <v>2</v>
      </c>
      <c r="B15" s="92" t="s">
        <v>20</v>
      </c>
      <c r="C15" s="99" t="s">
        <v>21</v>
      </c>
      <c r="D15" s="101" t="s">
        <v>22</v>
      </c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3"/>
    </row>
    <row r="16" spans="1:34" s="15" customFormat="1" ht="12.75" customHeight="1" x14ac:dyDescent="0.2">
      <c r="A16" s="96"/>
      <c r="B16" s="93"/>
      <c r="C16" s="99"/>
      <c r="D16" s="104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6"/>
    </row>
    <row r="17" spans="1:35" s="15" customFormat="1" ht="12.75" customHeight="1" x14ac:dyDescent="0.2">
      <c r="A17" s="96"/>
      <c r="B17" s="93"/>
      <c r="C17" s="98">
        <v>44850</v>
      </c>
      <c r="D17" s="101" t="s">
        <v>22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3"/>
    </row>
    <row r="18" spans="1:35" s="15" customFormat="1" ht="12.75" customHeight="1" x14ac:dyDescent="0.2">
      <c r="A18" s="96"/>
      <c r="B18" s="93"/>
      <c r="C18" s="98"/>
      <c r="D18" s="104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6"/>
    </row>
    <row r="19" spans="1:35" s="15" customFormat="1" ht="12.75" customHeight="1" x14ac:dyDescent="0.2">
      <c r="A19" s="96"/>
      <c r="B19" s="93"/>
      <c r="C19" s="99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</row>
    <row r="20" spans="1:35" s="15" customFormat="1" ht="12.75" customHeight="1" x14ac:dyDescent="0.2">
      <c r="A20" s="96"/>
      <c r="B20" s="93"/>
      <c r="C20" s="99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</row>
    <row r="21" spans="1:35" s="15" customFormat="1" ht="25.5" customHeight="1" x14ac:dyDescent="0.2">
      <c r="A21" s="96"/>
      <c r="B21" s="93"/>
      <c r="C21" s="100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55"/>
    </row>
    <row r="22" spans="1:35" s="15" customFormat="1" ht="25.5" customHeight="1" x14ac:dyDescent="0.2">
      <c r="A22" s="97"/>
      <c r="B22" s="94"/>
      <c r="C22" s="100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</row>
    <row r="23" spans="1:35" s="15" customFormat="1" x14ac:dyDescent="0.2">
      <c r="A23" s="70"/>
      <c r="B23" s="71"/>
      <c r="C23" s="71"/>
      <c r="D23" s="72"/>
      <c r="E23" s="73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</row>
    <row r="24" spans="1:35" s="15" customFormat="1" x14ac:dyDescent="0.2">
      <c r="A24" s="29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8"/>
    </row>
    <row r="25" spans="1:35" s="15" customFormat="1" ht="14.25" x14ac:dyDescent="0.2">
      <c r="A25" s="90" t="s">
        <v>2</v>
      </c>
      <c r="B25" s="90" t="s">
        <v>8</v>
      </c>
      <c r="C25" s="90" t="s">
        <v>1</v>
      </c>
      <c r="D25" s="89" t="s">
        <v>6</v>
      </c>
      <c r="E25" s="89"/>
      <c r="F25" s="19"/>
      <c r="G25" s="54"/>
      <c r="H25" s="49"/>
      <c r="I25" s="19"/>
      <c r="J25" s="19"/>
      <c r="K25" s="19"/>
      <c r="L25" s="19"/>
      <c r="M25" s="19"/>
      <c r="N25" s="19"/>
      <c r="P25" s="19"/>
      <c r="AC25" s="38"/>
    </row>
    <row r="26" spans="1:35" s="20" customFormat="1" x14ac:dyDescent="0.2">
      <c r="A26" s="90"/>
      <c r="B26" s="90"/>
      <c r="C26" s="90"/>
      <c r="D26" s="34" t="s">
        <v>9</v>
      </c>
      <c r="E26" s="28" t="s">
        <v>10</v>
      </c>
      <c r="F26" s="19"/>
      <c r="G26" s="19"/>
      <c r="H26" s="19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8"/>
      <c r="AD26" s="15"/>
      <c r="AE26" s="15"/>
      <c r="AF26" s="15"/>
      <c r="AG26" s="15"/>
      <c r="AH26" s="15"/>
    </row>
    <row r="27" spans="1:35" ht="15.75" x14ac:dyDescent="0.25">
      <c r="A27" s="42">
        <v>1</v>
      </c>
      <c r="B27" s="43" t="s">
        <v>17</v>
      </c>
      <c r="C27" s="39">
        <f>1-(((D27*3600)+(LEFT(E27,2)*60)+RIGHT(E27,2))/((60*60*24)*$C$8))</f>
        <v>0.99903225806451612</v>
      </c>
      <c r="D27" s="25" t="str">
        <f>TEXT(SUM(D13:AF13),"[h]")</f>
        <v>0</v>
      </c>
      <c r="E27" s="25" t="str">
        <f>TEXT(SUM(D13:AF13),"mm ss")</f>
        <v>43 12</v>
      </c>
      <c r="F27" s="26"/>
      <c r="G27" s="19"/>
      <c r="H27" s="27"/>
      <c r="I27" s="19"/>
      <c r="J27" s="19"/>
      <c r="K27" s="19"/>
      <c r="L27" s="19"/>
      <c r="M27" s="19"/>
      <c r="N27" s="19"/>
      <c r="O27" s="15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38"/>
      <c r="AD27" s="15"/>
      <c r="AE27" s="15"/>
      <c r="AF27" s="15"/>
      <c r="AG27" s="15"/>
      <c r="AH27" s="15"/>
    </row>
    <row r="28" spans="1:35" x14ac:dyDescent="0.2">
      <c r="A28" s="16"/>
      <c r="B28" s="15"/>
      <c r="C28" s="33"/>
      <c r="D28" s="31"/>
      <c r="E28" s="3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5" x14ac:dyDescent="0.2">
      <c r="A29" s="16"/>
      <c r="B29" s="15"/>
      <c r="C29" s="15"/>
      <c r="D29" s="17"/>
      <c r="E29" s="18"/>
      <c r="F29" s="19"/>
      <c r="G29" s="19"/>
      <c r="H29" s="19"/>
      <c r="I29" s="48"/>
      <c r="J29" s="19"/>
      <c r="K29" s="19"/>
      <c r="L29" s="19"/>
      <c r="M29" s="19"/>
      <c r="N29" s="19"/>
      <c r="O29" s="19"/>
      <c r="P29" s="19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20"/>
    </row>
    <row r="30" spans="1:35" x14ac:dyDescent="0.2">
      <c r="A30" s="18"/>
      <c r="B30" s="30" t="s">
        <v>16</v>
      </c>
      <c r="C30" s="24"/>
      <c r="D30" s="23"/>
      <c r="E30" s="23"/>
      <c r="F30" s="23"/>
      <c r="G30" s="23"/>
      <c r="H30" s="23"/>
      <c r="I30" s="23"/>
      <c r="J30" s="23"/>
      <c r="K30" s="47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0"/>
    </row>
    <row r="31" spans="1:35" ht="14.25" x14ac:dyDescent="0.2">
      <c r="B31" s="53" t="s">
        <v>18</v>
      </c>
      <c r="C31" s="50">
        <f>C27</f>
        <v>0.99903225806451612</v>
      </c>
      <c r="G31" s="52"/>
      <c r="H31" s="40"/>
    </row>
    <row r="33" spans="2:32" ht="15" x14ac:dyDescent="0.2">
      <c r="H33" s="46"/>
      <c r="I33" s="19"/>
      <c r="K33" s="82"/>
    </row>
    <row r="36" spans="2:32" ht="18" x14ac:dyDescent="0.25">
      <c r="B36" s="51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44" spans="2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2:32" x14ac:dyDescent="0.2"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2:32" x14ac:dyDescent="0.2">
      <c r="F46" s="3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2:32" x14ac:dyDescent="0.2">
      <c r="F47" s="35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</sheetData>
  <mergeCells count="17">
    <mergeCell ref="C19:C20"/>
    <mergeCell ref="A10:A11"/>
    <mergeCell ref="B10:B11"/>
    <mergeCell ref="C10:C11"/>
    <mergeCell ref="D25:E25"/>
    <mergeCell ref="A25:A26"/>
    <mergeCell ref="B25:B26"/>
    <mergeCell ref="C25:C26"/>
    <mergeCell ref="D22:AH22"/>
    <mergeCell ref="B15:B22"/>
    <mergeCell ref="A15:A22"/>
    <mergeCell ref="D15:AH16"/>
    <mergeCell ref="D17:AH18"/>
    <mergeCell ref="D19:AH20"/>
    <mergeCell ref="D21:AH21"/>
    <mergeCell ref="C15:C16"/>
    <mergeCell ref="C17:C18"/>
  </mergeCells>
  <phoneticPr fontId="9" type="noConversion"/>
  <conditionalFormatting sqref="Y13">
    <cfRule type="cellIs" dxfId="12" priority="35" stopIfTrue="1" operator="greaterThan">
      <formula>0</formula>
    </cfRule>
  </conditionalFormatting>
  <conditionalFormatting sqref="D13:X13">
    <cfRule type="cellIs" dxfId="11" priority="17" stopIfTrue="1" operator="greaterThan">
      <formula>0</formula>
    </cfRule>
  </conditionalFormatting>
  <conditionalFormatting sqref="Z13:AC13 AE13">
    <cfRule type="cellIs" dxfId="10" priority="12" stopIfTrue="1" operator="greaterThan">
      <formula>0</formula>
    </cfRule>
  </conditionalFormatting>
  <conditionalFormatting sqref="AG13">
    <cfRule type="cellIs" dxfId="9" priority="6" stopIfTrue="1" operator="greaterThan">
      <formula>0</formula>
    </cfRule>
  </conditionalFormatting>
  <conditionalFormatting sqref="AF13">
    <cfRule type="cellIs" dxfId="8" priority="3" stopIfTrue="1" operator="greaterThan">
      <formula>0</formula>
    </cfRule>
  </conditionalFormatting>
  <conditionalFormatting sqref="AD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2022-11-01T02:40:39Z</dcterms:modified>
</cp:coreProperties>
</file>