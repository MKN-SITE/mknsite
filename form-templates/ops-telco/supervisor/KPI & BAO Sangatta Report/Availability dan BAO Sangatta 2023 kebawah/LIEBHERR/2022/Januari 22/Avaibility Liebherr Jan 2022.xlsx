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calcPr calcId="144525"/>
</workbook>
</file>

<file path=xl/calcChain.xml><?xml version="1.0" encoding="utf-8"?>
<calcChain xmlns="http://schemas.openxmlformats.org/spreadsheetml/2006/main">
  <c r="E27" i="11" l="1"/>
  <c r="D27" i="11"/>
  <c r="C27" i="11" s="1"/>
  <c r="B27" i="11" l="1"/>
  <c r="C31" i="11" l="1"/>
</calcChain>
</file>

<file path=xl/sharedStrings.xml><?xml version="1.0" encoding="utf-8"?>
<sst xmlns="http://schemas.openxmlformats.org/spreadsheetml/2006/main" count="53" uniqueCount="23">
  <si>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</si>
  <si>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</si>
  <si>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</si>
  <si>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</si>
  <si>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</si>
  <si>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</si>
  <si>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</si>
  <si>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</si>
  <si>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</si>
  <si>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</si>
  <si>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</si>
  <si>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</si>
  <si>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</si>
  <si>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</si>
  <si>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</si>
  <si>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</si>
  <si>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</si>
  <si>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</si>
  <si>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</si>
  <si>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</si>
  <si>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 xml:space="preserve">   Power Mati</t>
  </si>
  <si>
    <t xml:space="preserve">   Intermitten</t>
  </si>
  <si>
    <t xml:space="preserve">   Link Metro MKN Jakarta Gangguan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</si>
</sst>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94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16" xfId="0" applyFont="1" applyBorder="1"/>
    <xf numFmtId="0" fontId="6" fillId="0" borderId="19" xfId="0" applyFont="1" applyBorder="1"/>
    <xf numFmtId="0" fontId="6" fillId="0" borderId="20" xfId="0" applyFont="1" applyBorder="1" applyAlignment="1"/>
    <xf numFmtId="0" fontId="6" fillId="0" borderId="20" xfId="0" applyFont="1" applyBorder="1"/>
    <xf numFmtId="0" fontId="6" fillId="0" borderId="21" xfId="0" applyFont="1" applyBorder="1" applyAlignment="1"/>
    <xf numFmtId="0" fontId="6" fillId="0" borderId="21" xfId="0" applyFont="1" applyBorder="1"/>
    <xf numFmtId="0" fontId="13" fillId="0" borderId="0" xfId="0" applyFont="1" applyAlignment="1">
      <alignment horizontal="left" vertical="top"/>
    </xf>
    <xf numFmtId="10" fontId="11" fillId="0" borderId="0" xfId="0" applyNumberFormat="1" applyFont="1" applyBorder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16" fontId="8" fillId="0" borderId="1" xfId="0" applyNumberFormat="1" applyFont="1" applyBorder="1" applyAlignment="1">
      <alignment horizontal="center"/>
    </xf>
    <xf numFmtId="0" fontId="3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0" fontId="6" fillId="0" borderId="0" xfId="0" applyFont="1" applyBorder="1"/>
    <xf numFmtId="16" fontId="8" fillId="0" borderId="0" xfId="0" applyNumberFormat="1" applyFont="1" applyBorder="1" applyAlignment="1">
      <alignment horizontal="center"/>
    </xf>
    <xf numFmtId="0" fontId="35" fillId="0" borderId="21" xfId="0" applyFont="1" applyBorder="1" applyAlignment="1">
      <alignment horizontal="center" vertical="center"/>
    </xf>
    <xf numFmtId="0" fontId="6" fillId="0" borderId="23" xfId="0" applyFont="1" applyBorder="1" applyAlignment="1"/>
    <xf numFmtId="0" fontId="6" fillId="0" borderId="23" xfId="0" applyFont="1" applyBorder="1"/>
    <xf numFmtId="15" fontId="6" fillId="0" borderId="1" xfId="0" applyNumberFormat="1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10" fontId="6" fillId="0" borderId="14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17" xfId="0" applyNumberFormat="1" applyFont="1" applyBorder="1" applyAlignment="1">
      <alignment horizontal="left" vertical="center"/>
    </xf>
    <xf numFmtId="10" fontId="6" fillId="0" borderId="0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3" xfId="0" applyNumberFormat="1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0" fontId="6" fillId="0" borderId="15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15" fontId="6" fillId="0" borderId="4" xfId="0" applyNumberFormat="1" applyFont="1" applyBorder="1" applyAlignment="1">
      <alignment horizontal="center" vertical="center"/>
    </xf>
    <xf numFmtId="0" fontId="6" fillId="0" borderId="18" xfId="0" applyFont="1" applyBorder="1"/>
    <xf numFmtId="0" fontId="6" fillId="0" borderId="24" xfId="0" applyFont="1" applyBorder="1"/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7"/>
  <sheetViews>
    <sheetView tabSelected="1" zoomScale="80" zoomScaleNormal="80" workbookViewId="0">
      <selection activeCell="H30" sqref="H30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3" width="9.140625" customWidth="1"/>
    <col min="34" max="34" width="10.140625" customWidth="1"/>
  </cols>
  <sheetData>
    <row r="1" spans="1:31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1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1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1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1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1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1" s="3" customFormat="1" x14ac:dyDescent="0.2">
      <c r="A7" s="5" t="s">
        <v>4</v>
      </c>
      <c r="B7" s="6"/>
      <c r="C7" s="45">
        <v>44562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1" s="3" customFormat="1" x14ac:dyDescent="0.2">
      <c r="A8" s="5" t="s">
        <v>5</v>
      </c>
      <c r="B8" s="8"/>
      <c r="C8" s="22">
        <v>28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1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1" s="3" customFormat="1" x14ac:dyDescent="0.2">
      <c r="A10" s="79" t="s">
        <v>2</v>
      </c>
      <c r="B10" s="79" t="s">
        <v>0</v>
      </c>
      <c r="C10" s="79" t="s">
        <v>7</v>
      </c>
      <c r="D10" s="23">
        <v>44562</v>
      </c>
      <c r="E10" s="23">
        <v>44563</v>
      </c>
      <c r="F10" s="23">
        <v>44564</v>
      </c>
      <c r="G10" s="23">
        <v>44565</v>
      </c>
      <c r="H10" s="23">
        <v>44566</v>
      </c>
      <c r="I10" s="23">
        <v>44567</v>
      </c>
      <c r="J10" s="23">
        <v>44568</v>
      </c>
      <c r="K10" s="23">
        <v>44569</v>
      </c>
      <c r="L10" s="23">
        <v>44570</v>
      </c>
      <c r="M10" s="23">
        <v>44571</v>
      </c>
      <c r="N10" s="23">
        <v>44572</v>
      </c>
      <c r="O10" s="23">
        <v>44573</v>
      </c>
      <c r="P10" s="23">
        <v>44574</v>
      </c>
      <c r="Q10" s="23">
        <v>44575</v>
      </c>
      <c r="R10" s="23">
        <v>44576</v>
      </c>
      <c r="S10" s="23">
        <v>44577</v>
      </c>
      <c r="T10" s="23">
        <v>44578</v>
      </c>
      <c r="U10" s="23">
        <v>44579</v>
      </c>
      <c r="V10" s="23">
        <v>44580</v>
      </c>
      <c r="W10" s="23">
        <v>44581</v>
      </c>
      <c r="X10" s="23">
        <v>44582</v>
      </c>
      <c r="Y10" s="23">
        <v>44583</v>
      </c>
      <c r="Z10" s="23">
        <v>44584</v>
      </c>
      <c r="AA10" s="23">
        <v>44585</v>
      </c>
      <c r="AB10" s="23">
        <v>44586</v>
      </c>
      <c r="AC10" s="23">
        <v>44587</v>
      </c>
      <c r="AD10" s="23">
        <v>44588</v>
      </c>
      <c r="AE10" s="61">
        <v>44589</v>
      </c>
    </row>
    <row r="11" spans="1:31" s="1" customFormat="1" x14ac:dyDescent="0.2">
      <c r="A11" s="80"/>
      <c r="B11" s="80"/>
      <c r="C11" s="80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</row>
    <row r="12" spans="1:31" x14ac:dyDescent="0.2">
      <c r="A12" s="41"/>
      <c r="B12" s="42"/>
      <c r="C12" s="4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</row>
    <row r="13" spans="1:31" s="51" customFormat="1" ht="106.5" customHeight="1" x14ac:dyDescent="0.2">
      <c r="A13" s="48">
        <v>1</v>
      </c>
      <c r="B13" s="49" t="s">
        <v>15</v>
      </c>
      <c r="C13" s="49" t="s">
        <v>16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2.0925925925925928E-2</v>
      </c>
      <c r="Y13" s="50">
        <v>0</v>
      </c>
      <c r="Z13" s="50">
        <v>0</v>
      </c>
      <c r="AA13" s="60">
        <v>0.24305555555555555</v>
      </c>
      <c r="AB13" s="50">
        <v>0</v>
      </c>
      <c r="AC13" s="50">
        <v>0</v>
      </c>
      <c r="AD13" s="50">
        <v>0</v>
      </c>
      <c r="AE13" s="50">
        <v>0</v>
      </c>
    </row>
    <row r="14" spans="1:31" s="15" customFormat="1" x14ac:dyDescent="0.2">
      <c r="A14" s="83" t="s">
        <v>19</v>
      </c>
      <c r="B14" s="84"/>
      <c r="C14" s="87">
        <v>44563</v>
      </c>
      <c r="D14" s="73" t="s">
        <v>20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54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2"/>
    </row>
    <row r="15" spans="1:31" s="15" customFormat="1" x14ac:dyDescent="0.2">
      <c r="A15" s="85"/>
      <c r="B15" s="86"/>
      <c r="C15" s="88"/>
      <c r="D15" s="89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56"/>
      <c r="P15" s="56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3"/>
    </row>
    <row r="16" spans="1:31" s="15" customFormat="1" ht="25.5" customHeight="1" x14ac:dyDescent="0.2">
      <c r="A16" s="85"/>
      <c r="B16" s="86"/>
      <c r="C16" s="71">
        <v>44564</v>
      </c>
      <c r="D16" s="89" t="s">
        <v>21</v>
      </c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56"/>
      <c r="P16" s="56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3"/>
    </row>
    <row r="17" spans="1:34" s="15" customFormat="1" x14ac:dyDescent="0.2">
      <c r="A17" s="85"/>
      <c r="B17" s="86"/>
      <c r="C17" s="87">
        <v>44582</v>
      </c>
      <c r="D17" s="73" t="s">
        <v>21</v>
      </c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54"/>
      <c r="P17" s="54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2"/>
    </row>
    <row r="18" spans="1:34" s="15" customFormat="1" x14ac:dyDescent="0.2">
      <c r="A18" s="85"/>
      <c r="B18" s="86"/>
      <c r="C18" s="91"/>
      <c r="D18" s="89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56"/>
      <c r="P18" s="56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3"/>
    </row>
    <row r="19" spans="1:34" s="15" customFormat="1" x14ac:dyDescent="0.2">
      <c r="A19" s="85"/>
      <c r="B19" s="86"/>
      <c r="C19" s="87">
        <v>44585</v>
      </c>
      <c r="D19" s="73" t="s">
        <v>22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54"/>
      <c r="P19" s="54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2"/>
    </row>
    <row r="20" spans="1:34" s="15" customFormat="1" x14ac:dyDescent="0.2">
      <c r="A20" s="85"/>
      <c r="B20" s="86"/>
      <c r="C20" s="88"/>
      <c r="D20" s="75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65"/>
      <c r="P20" s="65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92"/>
    </row>
    <row r="21" spans="1:34" s="15" customFormat="1" ht="25.5" x14ac:dyDescent="0.2">
      <c r="A21" s="68"/>
      <c r="B21" s="68"/>
      <c r="C21" s="71"/>
      <c r="D21" s="77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69"/>
      <c r="P21" s="69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93"/>
    </row>
    <row r="22" spans="1:34" s="15" customFormat="1" ht="25.5" x14ac:dyDescent="0.2">
      <c r="A22" s="62"/>
      <c r="B22" s="62"/>
      <c r="C22" s="63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5"/>
      <c r="P22" s="65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7"/>
    </row>
    <row r="23" spans="1:34" s="15" customFormat="1" x14ac:dyDescent="0.2">
      <c r="A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4" s="15" customFormat="1" x14ac:dyDescent="0.2">
      <c r="A24" s="30" t="s">
        <v>11</v>
      </c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P24" s="19"/>
      <c r="AC24" s="39"/>
    </row>
    <row r="25" spans="1:34" s="15" customFormat="1" x14ac:dyDescent="0.2">
      <c r="A25" s="82" t="s">
        <v>2</v>
      </c>
      <c r="B25" s="82" t="s">
        <v>8</v>
      </c>
      <c r="C25" s="82" t="s">
        <v>1</v>
      </c>
      <c r="D25" s="81" t="s">
        <v>6</v>
      </c>
      <c r="E25" s="81"/>
      <c r="F25" s="19"/>
      <c r="G25" s="19"/>
      <c r="H25" s="19"/>
      <c r="I25" s="19"/>
      <c r="J25" s="19"/>
      <c r="K25" s="19"/>
      <c r="L25" s="19"/>
      <c r="M25" s="19"/>
      <c r="N25" s="19"/>
      <c r="P25" s="19"/>
      <c r="AC25" s="39"/>
    </row>
    <row r="26" spans="1:34" s="15" customFormat="1" x14ac:dyDescent="0.2">
      <c r="A26" s="82"/>
      <c r="B26" s="82"/>
      <c r="C26" s="82"/>
      <c r="D26" s="35" t="s">
        <v>9</v>
      </c>
      <c r="E26" s="29" t="s">
        <v>10</v>
      </c>
      <c r="F26" s="19"/>
      <c r="G26" s="19"/>
      <c r="H26" s="19"/>
      <c r="I26" s="19"/>
      <c r="J26" s="19"/>
      <c r="K26" s="19"/>
      <c r="L26" s="19"/>
      <c r="M26" s="19"/>
      <c r="N26" s="19"/>
      <c r="P26" s="19"/>
      <c r="AC26" s="39"/>
    </row>
    <row r="27" spans="1:34" s="20" customFormat="1" ht="15.75" x14ac:dyDescent="0.25">
      <c r="A27" s="46">
        <v>1</v>
      </c>
      <c r="B27" s="47" t="str">
        <f>B13</f>
        <v>Link Wireless  to Megashop</v>
      </c>
      <c r="C27" s="40">
        <f>1-(((D27*3600)+(LEFT(E27,2)*60)+RIGHT(E27,2))/((60*60*24)*$C$8))</f>
        <v>0.9905720899470899</v>
      </c>
      <c r="D27" s="26" t="str">
        <f>TEXT(SUM(D13:AE13),"[h]")</f>
        <v>6</v>
      </c>
      <c r="E27" s="26" t="str">
        <f>TEXT(SUM(D13:AE13),"mm ss")</f>
        <v>20 08</v>
      </c>
      <c r="F27" s="27"/>
      <c r="G27" s="19"/>
      <c r="H27" s="28"/>
      <c r="I27" s="19"/>
      <c r="J27" s="19"/>
      <c r="K27" s="19"/>
      <c r="L27" s="19"/>
      <c r="M27" s="19"/>
      <c r="N27" s="19"/>
      <c r="O27" s="15"/>
      <c r="P27" s="19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39"/>
      <c r="AD27" s="15"/>
      <c r="AE27" s="15"/>
      <c r="AF27" s="15"/>
      <c r="AG27" s="15"/>
      <c r="AH27" s="15"/>
    </row>
    <row r="28" spans="1:34" x14ac:dyDescent="0.2">
      <c r="A28" s="16"/>
      <c r="B28" s="15"/>
      <c r="C28" s="34"/>
      <c r="D28" s="32"/>
      <c r="E28" s="33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</row>
    <row r="29" spans="1:34" x14ac:dyDescent="0.2">
      <c r="A29" s="16"/>
      <c r="B29" s="15"/>
      <c r="C29" s="15"/>
      <c r="D29" s="17"/>
      <c r="E29" s="18"/>
      <c r="F29" s="19"/>
      <c r="G29" s="72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20"/>
    </row>
    <row r="30" spans="1:34" x14ac:dyDescent="0.2">
      <c r="A30" s="18"/>
      <c r="B30" s="31" t="s">
        <v>17</v>
      </c>
      <c r="C30" s="25"/>
      <c r="D30" s="24"/>
      <c r="E30" s="24"/>
      <c r="F30" s="24"/>
      <c r="G30" s="24"/>
      <c r="H30" s="24"/>
      <c r="I30" s="24"/>
      <c r="J30" s="24"/>
      <c r="K30" s="59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0"/>
    </row>
    <row r="31" spans="1:34" x14ac:dyDescent="0.2">
      <c r="B31" s="15" t="s">
        <v>18</v>
      </c>
      <c r="C31" s="35">
        <f>C27</f>
        <v>0.9905720899470899</v>
      </c>
      <c r="H31" s="44"/>
    </row>
    <row r="33" spans="6:32" x14ac:dyDescent="0.2">
      <c r="H33" s="58"/>
    </row>
    <row r="36" spans="6:32" x14ac:dyDescent="0.2"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</row>
    <row r="44" spans="6:32" x14ac:dyDescent="0.2">
      <c r="F44" s="36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</row>
    <row r="45" spans="6:32" x14ac:dyDescent="0.2">
      <c r="F45" s="36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</row>
    <row r="46" spans="6:32" x14ac:dyDescent="0.2">
      <c r="F46" s="36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</row>
    <row r="47" spans="6:32" x14ac:dyDescent="0.2">
      <c r="F47" s="36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</row>
  </sheetData>
  <mergeCells count="17">
    <mergeCell ref="D17:N18"/>
    <mergeCell ref="D19:N20"/>
    <mergeCell ref="D21:N21"/>
    <mergeCell ref="H29:R29"/>
    <mergeCell ref="A10:A11"/>
    <mergeCell ref="B10:B11"/>
    <mergeCell ref="C10:C11"/>
    <mergeCell ref="D25:E25"/>
    <mergeCell ref="A25:A26"/>
    <mergeCell ref="B25:B26"/>
    <mergeCell ref="C25:C26"/>
    <mergeCell ref="A14:B20"/>
    <mergeCell ref="C14:C15"/>
    <mergeCell ref="C19:C20"/>
    <mergeCell ref="D14:N15"/>
    <mergeCell ref="D16:N16"/>
    <mergeCell ref="C17:C18"/>
  </mergeCells>
  <phoneticPr fontId="9" type="noConversion"/>
  <conditionalFormatting sqref="Y13">
    <cfRule type="cellIs" dxfId="4" priority="31" stopIfTrue="1" operator="greaterThan">
      <formula>0</formula>
    </cfRule>
  </conditionalFormatting>
  <conditionalFormatting sqref="D13:X13">
    <cfRule type="cellIs" dxfId="3" priority="13" stopIfTrue="1" operator="greaterThan">
      <formula>0</formula>
    </cfRule>
  </conditionalFormatting>
  <conditionalFormatting sqref="Z13:AE13">
    <cfRule type="cellIs" dxfId="2" priority="8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2022-02-04T01:43:19Z</dcterms:modified>
</cp:coreProperties>
</file>