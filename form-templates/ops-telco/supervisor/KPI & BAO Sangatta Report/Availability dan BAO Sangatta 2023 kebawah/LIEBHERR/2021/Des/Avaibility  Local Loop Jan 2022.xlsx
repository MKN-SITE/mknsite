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5621"/>
</workbook>
</file>

<file path=xl/calcChain.xml><?xml version="1.0" encoding="utf-8"?>
<calcChain xmlns="http://schemas.openxmlformats.org/spreadsheetml/2006/main">
  <c r="D24" i="11" l="1"/>
  <c r="E24" i="11"/>
  <c r="C24" i="11" l="1"/>
  <c r="C28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<sst xmlns="http://schemas.openxmlformats.org/spreadsheetml/2006/main" count="53" uniqueCount="21">
  <si>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</si>
  <si>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</si>
  <si>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</si>
  <si>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</si>
  <si>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</si>
  <si>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</si>
  <si>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</si>
  <si>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</si>
  <si>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</si>
  <si>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</si>
  <si>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</si>
  <si>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</si>
  <si>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</si>
  <si>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</si>
  <si>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</si>
  <si>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</si>
  <si>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</si>
  <si>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</si>
  <si>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Link MRC Local Loop PT NAP Info Lintas Nusa</t>
  </si>
  <si>
    <t>LINK MRC Local Loop PT NAP Info Lintas Nusa</t>
  </si>
  <si>
    <t xml:space="preserve">Device Availability MRC Local Loop PT NAP INFO LINTAS NUSA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</si>
</sst>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21" fontId="6" fillId="0" borderId="22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selection activeCell="H34" sqref="H3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20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23">
        <v>44589</v>
      </c>
      <c r="AF10" s="23">
        <v>44590</v>
      </c>
      <c r="AG10" s="23">
        <v>44591</v>
      </c>
      <c r="AH10" s="88">
        <v>44592</v>
      </c>
    </row>
    <row r="11" spans="1:34" s="1" customFormat="1" x14ac:dyDescent="0.2">
      <c r="A11" s="73"/>
      <c r="B11" s="73"/>
      <c r="C11" s="7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14</v>
      </c>
      <c r="C13" s="50" t="s">
        <v>15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2">
        <v>0</v>
      </c>
      <c r="AH13" s="71">
        <v>0</v>
      </c>
    </row>
    <row r="14" spans="1:34" s="15" customFormat="1" x14ac:dyDescent="0.2">
      <c r="A14" s="76" t="s">
        <v>17</v>
      </c>
      <c r="B14" s="77"/>
      <c r="C14" s="82"/>
      <c r="D14" s="84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8"/>
      <c r="B15" s="79"/>
      <c r="C15" s="83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8"/>
      <c r="B16" s="79"/>
      <c r="C16" s="82"/>
      <c r="D16" s="84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x14ac:dyDescent="0.2">
      <c r="A17" s="78"/>
      <c r="B17" s="79"/>
      <c r="C17" s="83"/>
      <c r="D17" s="86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ht="12.75" customHeight="1" x14ac:dyDescent="0.2">
      <c r="A18" s="78"/>
      <c r="B18" s="79"/>
      <c r="C18" s="82"/>
      <c r="D18" s="84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ht="12.75" customHeight="1" x14ac:dyDescent="0.2">
      <c r="A19" s="80"/>
      <c r="B19" s="81"/>
      <c r="C19" s="83"/>
      <c r="D19" s="86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1"/>
    </row>
    <row r="20" spans="1:34" s="15" customForma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30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4" s="15" customFormat="1" ht="14.25" x14ac:dyDescent="0.2">
      <c r="A22" s="75" t="s">
        <v>2</v>
      </c>
      <c r="B22" s="75" t="s">
        <v>8</v>
      </c>
      <c r="C22" s="75" t="s">
        <v>1</v>
      </c>
      <c r="D22" s="74" t="s">
        <v>6</v>
      </c>
      <c r="E22" s="74"/>
      <c r="F22" s="19"/>
      <c r="G22" s="19"/>
      <c r="H22" s="66"/>
      <c r="I22" s="19"/>
      <c r="J22" s="19"/>
      <c r="K22" s="19"/>
      <c r="L22" s="19"/>
      <c r="M22" s="19"/>
      <c r="N22" s="19"/>
      <c r="P22" s="19"/>
      <c r="AC22" s="39"/>
    </row>
    <row r="23" spans="1:34" s="15" customFormat="1" x14ac:dyDescent="0.2">
      <c r="A23" s="75"/>
      <c r="B23" s="75"/>
      <c r="C23" s="75"/>
      <c r="D23" s="35" t="s">
        <v>9</v>
      </c>
      <c r="E23" s="29" t="s">
        <v>10</v>
      </c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5.75" x14ac:dyDescent="0.25">
      <c r="A24" s="46">
        <v>1</v>
      </c>
      <c r="B24" s="47" t="s">
        <v>18</v>
      </c>
      <c r="C24" s="40">
        <f>1-(((D24*3600)+(LEFT(E24,2)*60)+RIGHT(E24,2))/((60*60*24)*$C$8))</f>
        <v>1</v>
      </c>
      <c r="D24" s="26" t="str">
        <f>TEXT(SUM(D13:AF13),"[h]")</f>
        <v>0</v>
      </c>
      <c r="E24" s="26" t="str">
        <f>TEXT(SUM(D13:AF13),"mm ss")</f>
        <v>00 00</v>
      </c>
      <c r="F24" s="27"/>
      <c r="G24" s="19"/>
      <c r="H24" s="28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6"/>
      <c r="C25" s="34"/>
      <c r="D25" s="32"/>
      <c r="E25" s="33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20" customFormat="1" x14ac:dyDescent="0.2">
      <c r="A26" s="16"/>
      <c r="B26" s="15"/>
      <c r="C26" s="15"/>
      <c r="D26" s="17"/>
      <c r="E26" s="18"/>
      <c r="F26" s="19"/>
      <c r="G26" s="19"/>
      <c r="H26" s="19"/>
      <c r="I26" s="65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4" x14ac:dyDescent="0.2">
      <c r="A27" s="18"/>
      <c r="B27" s="31" t="s">
        <v>16</v>
      </c>
      <c r="C27" s="25"/>
      <c r="D27" s="24"/>
      <c r="E27" s="24"/>
      <c r="F27" s="24"/>
      <c r="G27" s="24"/>
      <c r="H27" s="24"/>
      <c r="I27" s="24"/>
      <c r="J27" s="24"/>
      <c r="K27" s="6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0"/>
    </row>
    <row r="28" spans="1:34" ht="14.25" x14ac:dyDescent="0.2">
      <c r="B28" s="70" t="s">
        <v>19</v>
      </c>
      <c r="C28" s="67">
        <f>C24</f>
        <v>1</v>
      </c>
      <c r="G28" s="69"/>
      <c r="H28" s="44"/>
    </row>
    <row r="30" spans="1:34" x14ac:dyDescent="0.2">
      <c r="H30" s="62"/>
      <c r="I30" s="19"/>
    </row>
    <row r="33" spans="2:32" ht="18" x14ac:dyDescent="0.25">
      <c r="B33" s="6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41" spans="2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2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</sheetData>
  <mergeCells count="14">
    <mergeCell ref="A10:A11"/>
    <mergeCell ref="B10:B11"/>
    <mergeCell ref="C10:C11"/>
    <mergeCell ref="D22:E22"/>
    <mergeCell ref="A22:A23"/>
    <mergeCell ref="B22:B23"/>
    <mergeCell ref="C22:C23"/>
    <mergeCell ref="A14:B19"/>
    <mergeCell ref="C14:C15"/>
    <mergeCell ref="C18:C19"/>
    <mergeCell ref="D14:N15"/>
    <mergeCell ref="C16:C17"/>
    <mergeCell ref="D16:N17"/>
    <mergeCell ref="D18:N19"/>
  </mergeCells>
  <phoneticPr fontId="9" type="noConversion"/>
  <conditionalFormatting sqref="Y13">
    <cfRule type="cellIs" dxfId="7" priority="31" stopIfTrue="1" operator="greaterThan">
      <formula>0</formula>
    </cfRule>
  </conditionalFormatting>
  <conditionalFormatting sqref="D13:X13">
    <cfRule type="cellIs" dxfId="6" priority="13" stopIfTrue="1" operator="greaterThan">
      <formula>0</formula>
    </cfRule>
  </conditionalFormatting>
  <conditionalFormatting sqref="AF13">
    <cfRule type="cellIs" dxfId="5" priority="9" stopIfTrue="1" operator="greaterThan">
      <formula>0</formula>
    </cfRule>
  </conditionalFormatting>
  <conditionalFormatting sqref="Z13:AE13">
    <cfRule type="cellIs" dxfId="4" priority="8" stopIfTrue="1" operator="greaterThan">
      <formula>0</formula>
    </cfRule>
  </conditionalFormatting>
  <conditionalFormatting sqref="AG13">
    <cfRule type="cellIs" dxfId="3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2022-01-03T04:03:45Z</dcterms:modified>
</cp:coreProperties>
</file>