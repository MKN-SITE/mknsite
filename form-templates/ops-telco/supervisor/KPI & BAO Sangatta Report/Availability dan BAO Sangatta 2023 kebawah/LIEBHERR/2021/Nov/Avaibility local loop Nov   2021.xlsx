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D22" i="11" l="1"/>
  <c r="E22" i="11"/>
  <c r="B22" i="11"/>
  <c r="C22" i="11" l="1"/>
  <c r="C26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<sst xmlns="http://schemas.openxmlformats.org/spreadsheetml/2006/main" count="55" uniqueCount="23">
  <si>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</si>
  <si>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</si>
  <si>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</si>
  <si>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</si>
  <si>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</si>
  <si>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</si>
  <si>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</si>
  <si>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</si>
  <si>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</si>
  <si>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</si>
  <si>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</si>
  <si>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</si>
  <si>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</si>
  <si>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</si>
  <si>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</si>
  <si>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</si>
  <si>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KPC Raya Mati Lampu</t>
  </si>
  <si>
    <t>Internet Intermitten ( Gangguan masal )</t>
  </si>
  <si>
    <t>Internet Problem dari Jakarta</t>
  </si>
  <si>
    <t>UPS di Tower Surya problem</t>
  </si>
  <si>
    <t>Device Availability MRC Local Loop PT NAP INFO LINTAS NUSA</t>
  </si>
  <si>
    <t>Link MRC Local Loop PT NAP Info Lintas Nusa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</si>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</sst>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2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" fontId="9" fillId="0" borderId="1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topLeftCell="B1" zoomScale="80" zoomScaleNormal="80" workbookViewId="0">
      <selection activeCell="D16" sqref="D16:AG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20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44501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23">
        <v>44501</v>
      </c>
      <c r="E10" s="23">
        <v>44502</v>
      </c>
      <c r="F10" s="23">
        <v>44503</v>
      </c>
      <c r="G10" s="23">
        <v>44504</v>
      </c>
      <c r="H10" s="23">
        <v>44505</v>
      </c>
      <c r="I10" s="23">
        <v>44506</v>
      </c>
      <c r="J10" s="23">
        <v>44507</v>
      </c>
      <c r="K10" s="23">
        <v>44508</v>
      </c>
      <c r="L10" s="23">
        <v>44509</v>
      </c>
      <c r="M10" s="23">
        <v>44510</v>
      </c>
      <c r="N10" s="23">
        <v>44511</v>
      </c>
      <c r="O10" s="23">
        <v>44512</v>
      </c>
      <c r="P10" s="23">
        <v>44513</v>
      </c>
      <c r="Q10" s="23">
        <v>44514</v>
      </c>
      <c r="R10" s="23">
        <v>44515</v>
      </c>
      <c r="S10" s="23">
        <v>44516</v>
      </c>
      <c r="T10" s="23">
        <v>44517</v>
      </c>
      <c r="U10" s="23">
        <v>44518</v>
      </c>
      <c r="V10" s="23">
        <v>44519</v>
      </c>
      <c r="W10" s="23">
        <v>44520</v>
      </c>
      <c r="X10" s="23">
        <v>44521</v>
      </c>
      <c r="Y10" s="23">
        <v>44522</v>
      </c>
      <c r="Z10" s="23">
        <v>44523</v>
      </c>
      <c r="AA10" s="23">
        <v>44524</v>
      </c>
      <c r="AB10" s="23">
        <v>44525</v>
      </c>
      <c r="AC10" s="23">
        <v>44526</v>
      </c>
      <c r="AD10" s="23">
        <v>44527</v>
      </c>
      <c r="AE10" s="23">
        <v>44528</v>
      </c>
      <c r="AF10" s="23">
        <v>44529</v>
      </c>
      <c r="AG10" s="53">
        <v>44530</v>
      </c>
    </row>
    <row r="11" spans="1:33" s="1" customFormat="1" x14ac:dyDescent="0.2">
      <c r="A11" s="67"/>
      <c r="B11" s="67"/>
      <c r="C11" s="6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52">
        <v>1</v>
      </c>
      <c r="B13" s="51" t="s">
        <v>21</v>
      </c>
      <c r="C13" s="51" t="s">
        <v>22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0.17361111111111113</v>
      </c>
      <c r="M13" s="50">
        <v>0.10416666666666667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8.7500000000000008E-2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4.1666666666666664E-2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70" t="s">
        <v>15</v>
      </c>
      <c r="B14" s="71"/>
      <c r="C14" s="62">
        <v>44509</v>
      </c>
      <c r="D14" s="64" t="s">
        <v>16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5"/>
    </row>
    <row r="15" spans="1:33" s="61" customFormat="1" ht="30.75" customHeight="1" x14ac:dyDescent="0.2">
      <c r="A15" s="56"/>
      <c r="B15" s="57"/>
      <c r="C15" s="62">
        <v>44510</v>
      </c>
      <c r="D15" s="63" t="s">
        <v>17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4"/>
    </row>
    <row r="16" spans="1:33" s="61" customFormat="1" ht="30.75" customHeight="1" x14ac:dyDescent="0.2">
      <c r="A16" s="56"/>
      <c r="B16" s="57"/>
      <c r="C16" s="62">
        <v>44516</v>
      </c>
      <c r="D16" s="64" t="s">
        <v>18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5"/>
    </row>
    <row r="17" spans="1:33" s="15" customFormat="1" ht="27.75" customHeight="1" x14ac:dyDescent="0.2">
      <c r="A17" s="70"/>
      <c r="B17" s="71"/>
      <c r="C17" s="62">
        <v>44525</v>
      </c>
      <c r="D17" s="64" t="s">
        <v>19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5"/>
    </row>
    <row r="18" spans="1:33" s="61" customFormat="1" ht="27.75" customHeight="1" x14ac:dyDescent="0.2">
      <c r="A18" s="59"/>
      <c r="B18" s="59"/>
      <c r="C18" s="60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69" t="s">
        <v>2</v>
      </c>
      <c r="B20" s="69" t="s">
        <v>8</v>
      </c>
      <c r="C20" s="69" t="s">
        <v>1</v>
      </c>
      <c r="D20" s="68" t="s">
        <v>6</v>
      </c>
      <c r="E20" s="68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69"/>
      <c r="B21" s="69"/>
      <c r="C21" s="69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0.98643518518518514</v>
      </c>
      <c r="D22" s="26" t="str">
        <f>TEXT(SUM(D13:AF13),"[h]")</f>
        <v>9</v>
      </c>
      <c r="E22" s="26" t="str">
        <f>TEXT(SUM(D13:AF13),"mm ss")</f>
        <v>46 00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21</v>
      </c>
      <c r="C26" s="48">
        <f>C22</f>
        <v>0.98643518518518514</v>
      </c>
      <c r="H26" s="4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A14:B14"/>
    <mergeCell ref="D14:AG14"/>
    <mergeCell ref="A17:B17"/>
    <mergeCell ref="D16:AG16"/>
  </mergeCells>
  <phoneticPr fontId="10" type="noConversion"/>
  <conditionalFormatting sqref="Y13">
    <cfRule type="cellIs" dxfId="5" priority="32" stopIfTrue="1" operator="greaterThan">
      <formula>0</formula>
    </cfRule>
  </conditionalFormatting>
  <conditionalFormatting sqref="D13:L13 N13:X13">
    <cfRule type="cellIs" dxfId="4" priority="14" stopIfTrue="1" operator="greaterThan">
      <formula>0</formula>
    </cfRule>
  </conditionalFormatting>
  <conditionalFormatting sqref="AF13">
    <cfRule type="cellIs" dxfId="3" priority="10" stopIfTrue="1" operator="greaterThan">
      <formula>0</formula>
    </cfRule>
  </conditionalFormatting>
  <conditionalFormatting sqref="Z13:AE13">
    <cfRule type="cellIs" dxfId="2" priority="9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M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2021-12-01T09:11:34Z</dcterms:modified>
</cp:coreProperties>
</file>