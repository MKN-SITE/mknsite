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540" windowWidth="15480" windowHeight="11100" tabRatio="361"/>
  </bookViews>
  <sheets>
    <sheet name="Downtime LINK Liebherr Megashop" sheetId="11" r:id="rId1"/>
  </sheets>
  <calcPr calcId="145621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<sst xmlns="http://schemas.openxmlformats.org/spreadsheetml/2006/main" count="52" uniqueCount="20">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</sst>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Z31" sqref="Z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4" width="10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7">
        <v>43466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43466</v>
      </c>
      <c r="E10" s="23">
        <v>43467</v>
      </c>
      <c r="F10" s="23">
        <v>43468</v>
      </c>
      <c r="G10" s="23">
        <v>43469</v>
      </c>
      <c r="H10" s="23">
        <v>43470</v>
      </c>
      <c r="I10" s="23">
        <v>43471</v>
      </c>
      <c r="J10" s="23">
        <v>43472</v>
      </c>
      <c r="K10" s="23">
        <v>43473</v>
      </c>
      <c r="L10" s="23">
        <v>43474</v>
      </c>
      <c r="M10" s="23">
        <v>43475</v>
      </c>
      <c r="N10" s="23">
        <v>43476</v>
      </c>
      <c r="O10" s="23">
        <v>43477</v>
      </c>
      <c r="P10" s="23">
        <v>43478</v>
      </c>
      <c r="Q10" s="23">
        <v>43479</v>
      </c>
      <c r="R10" s="23">
        <v>43480</v>
      </c>
      <c r="S10" s="23">
        <v>43481</v>
      </c>
      <c r="T10" s="23">
        <v>43482</v>
      </c>
      <c r="U10" s="23">
        <v>43483</v>
      </c>
      <c r="V10" s="23">
        <v>43484</v>
      </c>
      <c r="W10" s="23">
        <v>43485</v>
      </c>
      <c r="X10" s="23">
        <v>43486</v>
      </c>
      <c r="Y10" s="23">
        <v>43487</v>
      </c>
      <c r="Z10" s="23">
        <v>43488</v>
      </c>
      <c r="AA10" s="23">
        <v>43489</v>
      </c>
      <c r="AB10" s="23">
        <v>43490</v>
      </c>
      <c r="AC10" s="23">
        <v>43491</v>
      </c>
      <c r="AD10" s="23">
        <v>43492</v>
      </c>
      <c r="AE10" s="23">
        <v>43493</v>
      </c>
      <c r="AF10" s="23">
        <v>43494</v>
      </c>
      <c r="AG10" s="23">
        <v>43495</v>
      </c>
      <c r="AH10" s="23">
        <v>43496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0"/>
      <c r="B12" s="51"/>
      <c r="C12" s="5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</row>
    <row r="14" spans="1:34" s="15" customFormat="1" ht="179.25" customHeight="1" x14ac:dyDescent="0.2">
      <c r="A14" s="25"/>
      <c r="B14" s="53" t="s">
        <v>14</v>
      </c>
      <c r="C14" s="54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24"/>
      <c r="Y14" s="24"/>
      <c r="Z14" s="48"/>
      <c r="AA14" s="47"/>
      <c r="AB14" s="24"/>
      <c r="AC14" s="48"/>
      <c r="AD14" s="48"/>
      <c r="AE14" s="48"/>
      <c r="AF14" s="48"/>
      <c r="AG14" s="48"/>
      <c r="AH14" s="48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4" s="15" customFormat="1" x14ac:dyDescent="0.2">
      <c r="A17" s="62" t="s">
        <v>2</v>
      </c>
      <c r="B17" s="62" t="s">
        <v>8</v>
      </c>
      <c r="C17" s="62" t="s">
        <v>1</v>
      </c>
      <c r="D17" s="60" t="s">
        <v>6</v>
      </c>
      <c r="E17" s="61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4" s="15" customFormat="1" x14ac:dyDescent="0.2">
      <c r="A18" s="63"/>
      <c r="B18" s="63"/>
      <c r="C18" s="63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4" s="15" customFormat="1" ht="15.75" x14ac:dyDescent="0.25">
      <c r="A19" s="43">
        <v>1</v>
      </c>
      <c r="B19" s="45" t="str">
        <f>B13</f>
        <v>Link Wireless  to Megashop</v>
      </c>
      <c r="C19" s="49">
        <f>1-(((D19*3600)+(LEFT(E19,2)*60)+RIGHT(E19,2))/((60*60*24)*$C$8))</f>
        <v>1</v>
      </c>
      <c r="D19" s="28" t="str">
        <f>TEXT(SUM(D13:AH13),"[h]")</f>
        <v>0</v>
      </c>
      <c r="E19" s="28" t="str">
        <f>TEXT(SUM(D13:AH13),"mm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4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2">
      <c r="B23" s="15" t="s">
        <v>19</v>
      </c>
      <c r="C23" s="38">
        <f>C19</f>
        <v>1</v>
      </c>
      <c r="H23" s="56"/>
    </row>
    <row r="28" spans="1:34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36" spans="6:34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6:34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6:34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6:34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E13 AH13">
    <cfRule type="cellIs" dxfId="3" priority="21" stopIfTrue="1" operator="greaterThan">
      <formula>0</formula>
    </cfRule>
  </conditionalFormatting>
  <conditionalFormatting sqref="D13:X13">
    <cfRule type="cellIs" dxfId="2" priority="3" stopIfTrue="1" operator="greaterThan">
      <formula>0</formula>
    </cfRule>
  </conditionalFormatting>
  <conditionalFormatting sqref="AF13:AG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2019-02-02T03:33:01Z</dcterms:modified>
</cp:coreProperties>
</file>