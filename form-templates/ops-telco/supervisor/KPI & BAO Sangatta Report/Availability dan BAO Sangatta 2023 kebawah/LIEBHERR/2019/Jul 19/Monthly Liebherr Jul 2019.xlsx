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540" windowWidth="15480" windowHeight="11100" tabRatio="361"/>
  </bookViews>
  <sheets>
    <sheet name="Downtime LINK Liebherr Megashop" sheetId="11" r:id="rId1"/>
  </sheets>
  <calcPr calcId="145621" concurrentCalc="0"/>
</workbook>
</file>

<file path=xl/calcChain.xml><?xml version="1.0" encoding="utf-8"?>
<calcChain xmlns="http://schemas.openxmlformats.org/spreadsheetml/2006/main">
  <c r="D19" i="11" l="1"/>
  <c r="E19" i="11"/>
  <c r="B19" i="11"/>
  <c r="C19" i="11"/>
  <c r="C23" i="1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<sst xmlns="http://schemas.openxmlformats.org/spreadsheetml/2006/main" count="54" uniqueCount="22">
  <si>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</si>
  <si>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</si>
  <si>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</si>
  <si>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</si>
  <si>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</si>
  <si>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</si>
  <si>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</si>
  <si>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</si>
  <si>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</si>
  <si>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</si>
  <si>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</si>
  <si>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</si>
  <si>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</si>
  <si>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</si>
  <si>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</si>
  <si>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</si>
  <si>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</si>
  <si>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</si>
  <si>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</si>
  <si>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</si>
  <si>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21:10:00 PM</t>
  </si>
  <si>
    <t>Link Metro Jakarta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</si>
</sst>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34" fillId="0" borderId="0" xfId="0" applyFont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4" fillId="0" borderId="5" xfId="0" applyFont="1" applyBorder="1"/>
    <xf numFmtId="46" fontId="0" fillId="0" borderId="5" xfId="0" applyNumberFormat="1" applyBorder="1"/>
    <xf numFmtId="10" fontId="6" fillId="0" borderId="4" xfId="0" applyNumberFormat="1" applyFont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topLeftCell="A4" zoomScale="80" zoomScaleNormal="80" workbookViewId="0">
      <selection activeCell="E10" sqref="D10:AH1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3" width="10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4">
        <v>43677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0" t="s">
        <v>2</v>
      </c>
      <c r="B10" s="60" t="s">
        <v>0</v>
      </c>
      <c r="C10" s="60" t="s">
        <v>7</v>
      </c>
      <c r="D10" s="23">
        <v>44531</v>
      </c>
      <c r="E10" s="23">
        <v>44532</v>
      </c>
      <c r="F10" s="23">
        <v>44533</v>
      </c>
      <c r="G10" s="23">
        <v>44534</v>
      </c>
      <c r="H10" s="23">
        <v>44535</v>
      </c>
      <c r="I10" s="23">
        <v>44536</v>
      </c>
      <c r="J10" s="23">
        <v>44537</v>
      </c>
      <c r="K10" s="23">
        <v>44538</v>
      </c>
      <c r="L10" s="23">
        <v>44539</v>
      </c>
      <c r="M10" s="23">
        <v>44540</v>
      </c>
      <c r="N10" s="23">
        <v>44541</v>
      </c>
      <c r="O10" s="23">
        <v>44542</v>
      </c>
      <c r="P10" s="23">
        <v>44543</v>
      </c>
      <c r="Q10" s="23">
        <v>44544</v>
      </c>
      <c r="R10" s="23">
        <v>44545</v>
      </c>
      <c r="S10" s="23">
        <v>44546</v>
      </c>
      <c r="T10" s="23">
        <v>44547</v>
      </c>
      <c r="U10" s="23">
        <v>44548</v>
      </c>
      <c r="V10" s="23">
        <v>44549</v>
      </c>
      <c r="W10" s="23">
        <v>44550</v>
      </c>
      <c r="X10" s="23">
        <v>44551</v>
      </c>
      <c r="Y10" s="23">
        <v>44552</v>
      </c>
      <c r="Z10" s="23">
        <v>44553</v>
      </c>
      <c r="AA10" s="23">
        <v>44554</v>
      </c>
      <c r="AB10" s="23">
        <v>44555</v>
      </c>
      <c r="AC10" s="23">
        <v>44556</v>
      </c>
      <c r="AD10" s="23">
        <v>44557</v>
      </c>
      <c r="AE10" s="23">
        <v>44558</v>
      </c>
      <c r="AF10" s="23">
        <v>44559</v>
      </c>
      <c r="AG10" s="23">
        <v>44560</v>
      </c>
      <c r="AH10" s="23">
        <v>44561</v>
      </c>
    </row>
    <row r="11" spans="1:34" s="1" customFormat="1" x14ac:dyDescent="0.2">
      <c r="A11" s="61"/>
      <c r="B11" s="61"/>
      <c r="C11" s="61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8"/>
      <c r="B12" s="49"/>
      <c r="C12" s="5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.75" x14ac:dyDescent="0.25">
      <c r="A13" s="25">
        <v>1</v>
      </c>
      <c r="B13" s="55" t="s">
        <v>16</v>
      </c>
      <c r="C13" s="55" t="s">
        <v>17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0.31944444444444448</v>
      </c>
      <c r="S13" s="56">
        <v>0.99930555555555556</v>
      </c>
      <c r="T13" s="56" t="s">
        <v>20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5" customFormat="1" ht="179.25" customHeight="1" x14ac:dyDescent="0.2">
      <c r="A14" s="25"/>
      <c r="B14" s="51" t="s">
        <v>14</v>
      </c>
      <c r="C14" s="52"/>
      <c r="D14" s="46"/>
      <c r="E14" s="24"/>
      <c r="F14" s="24"/>
      <c r="G14" s="46"/>
      <c r="H14" s="46"/>
      <c r="I14" s="46"/>
      <c r="J14" s="24"/>
      <c r="K14" s="45"/>
      <c r="L14" s="46"/>
      <c r="M14" s="24"/>
      <c r="N14" s="46"/>
      <c r="O14" s="46"/>
      <c r="P14" s="46"/>
      <c r="Q14" s="46"/>
      <c r="R14" s="57" t="s">
        <v>21</v>
      </c>
      <c r="S14" s="58"/>
      <c r="T14" s="59"/>
      <c r="U14" s="46"/>
      <c r="V14" s="46"/>
      <c r="W14" s="46"/>
      <c r="X14" s="24"/>
      <c r="Y14" s="24"/>
      <c r="Z14" s="46"/>
      <c r="AA14" s="45"/>
      <c r="AB14" s="24"/>
      <c r="AC14" s="46"/>
      <c r="AD14" s="46"/>
      <c r="AE14" s="46"/>
      <c r="AF14" s="46"/>
      <c r="AG14" s="46"/>
      <c r="AH14" s="46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4" t="s">
        <v>2</v>
      </c>
      <c r="B17" s="64" t="s">
        <v>8</v>
      </c>
      <c r="C17" s="64" t="s">
        <v>1</v>
      </c>
      <c r="D17" s="62" t="s">
        <v>6</v>
      </c>
      <c r="E17" s="63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5"/>
      <c r="B18" s="65"/>
      <c r="C18" s="65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4" t="str">
        <f>B13</f>
        <v>Link Wireless  to Megashop</v>
      </c>
      <c r="C19" s="47">
        <f>1-(((D19*3600)+(LEFT(E19,2)*60)+RIGHT(E19,2))/((60*60*24)*$C$8))</f>
        <v>0.95745967741935489</v>
      </c>
      <c r="D19" s="28" t="str">
        <f>TEXT(SUM(D13:AG13),"[h]")</f>
        <v>31</v>
      </c>
      <c r="E19" s="28" t="str">
        <f>TEXT(SUM(D13:AG13),"mm ss")</f>
        <v>39 00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0.95745967741935489</v>
      </c>
      <c r="H23" s="53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8">
    <mergeCell ref="R14:T14"/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">
    <cfRule type="cellIs" dxfId="5" priority="26" stopIfTrue="1" operator="greaterThan">
      <formula>0</formula>
    </cfRule>
  </conditionalFormatting>
  <conditionalFormatting sqref="D13:X13">
    <cfRule type="cellIs" dxfId="4" priority="8" stopIfTrue="1" operator="greaterThan">
      <formula>0</formula>
    </cfRule>
  </conditionalFormatting>
  <conditionalFormatting sqref="AF13">
    <cfRule type="cellIs" dxfId="3" priority="4" stopIfTrue="1" operator="greaterThan">
      <formula>0</formula>
    </cfRule>
  </conditionalFormatting>
  <conditionalFormatting sqref="Z13:AE13">
    <cfRule type="cellIs" dxfId="2" priority="3" stopIfTrue="1" operator="greaterThan">
      <formula>0</formula>
    </cfRule>
  </conditionalFormatting>
  <conditionalFormatting sqref="AG13">
    <cfRule type="cellIs" dxfId="1" priority="2" stopIfTrue="1" operator="greaterThan">
      <formula>0</formula>
    </cfRule>
  </conditionalFormatting>
  <conditionalFormatting sqref="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2021-12-03T06:01:50Z</dcterms:modified>
</cp:coreProperties>
</file>