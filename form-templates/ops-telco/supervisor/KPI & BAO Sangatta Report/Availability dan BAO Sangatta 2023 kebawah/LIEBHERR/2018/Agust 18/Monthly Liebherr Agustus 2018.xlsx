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D19" i="11" l="1"/>
  <c r="E19" i="11"/>
  <c r="B19" i="11" l="1"/>
  <c r="C19" i="11" l="1"/>
  <c r="C23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<sst xmlns="http://schemas.openxmlformats.org/spreadsheetml/2006/main" count="52" uniqueCount="20">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</sst>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AG14" sqref="AG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4" width="10.570312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8">
        <v>43313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0" t="s">
        <v>2</v>
      </c>
      <c r="B10" s="60" t="s">
        <v>0</v>
      </c>
      <c r="C10" s="60" t="s">
        <v>7</v>
      </c>
      <c r="D10" s="23">
        <v>43313</v>
      </c>
      <c r="E10" s="23">
        <v>43314</v>
      </c>
      <c r="F10" s="23">
        <v>43315</v>
      </c>
      <c r="G10" s="23">
        <v>43316</v>
      </c>
      <c r="H10" s="23">
        <v>43317</v>
      </c>
      <c r="I10" s="23">
        <v>43318</v>
      </c>
      <c r="J10" s="23">
        <v>43319</v>
      </c>
      <c r="K10" s="23">
        <v>43320</v>
      </c>
      <c r="L10" s="23">
        <v>43321</v>
      </c>
      <c r="M10" s="23">
        <v>43322</v>
      </c>
      <c r="N10" s="23">
        <v>43323</v>
      </c>
      <c r="O10" s="23">
        <v>43324</v>
      </c>
      <c r="P10" s="23">
        <v>43325</v>
      </c>
      <c r="Q10" s="23">
        <v>43326</v>
      </c>
      <c r="R10" s="23">
        <v>43327</v>
      </c>
      <c r="S10" s="23">
        <v>43328</v>
      </c>
      <c r="T10" s="23">
        <v>43329</v>
      </c>
      <c r="U10" s="23">
        <v>43330</v>
      </c>
      <c r="V10" s="23">
        <v>43331</v>
      </c>
      <c r="W10" s="23">
        <v>43332</v>
      </c>
      <c r="X10" s="23">
        <v>43333</v>
      </c>
      <c r="Y10" s="23">
        <v>43334</v>
      </c>
      <c r="Z10" s="23">
        <v>43335</v>
      </c>
      <c r="AA10" s="23">
        <v>43336</v>
      </c>
      <c r="AB10" s="23">
        <v>43337</v>
      </c>
      <c r="AC10" s="23">
        <v>43338</v>
      </c>
      <c r="AD10" s="23">
        <v>43339</v>
      </c>
      <c r="AE10" s="23">
        <v>43340</v>
      </c>
      <c r="AF10" s="23">
        <v>43341</v>
      </c>
      <c r="AG10" s="23">
        <v>43342</v>
      </c>
      <c r="AH10" s="23">
        <v>43343</v>
      </c>
    </row>
    <row r="11" spans="1:34" s="1" customFormat="1" x14ac:dyDescent="0.2">
      <c r="A11" s="61"/>
      <c r="B11" s="61"/>
      <c r="C11" s="61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9"/>
      <c r="AH12" s="49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48"/>
      <c r="AG14" s="59"/>
      <c r="AH14" s="50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4" s="15" customFormat="1" x14ac:dyDescent="0.2">
      <c r="A17" s="64" t="s">
        <v>2</v>
      </c>
      <c r="B17" s="64" t="s">
        <v>8</v>
      </c>
      <c r="C17" s="64" t="s">
        <v>1</v>
      </c>
      <c r="D17" s="62" t="s">
        <v>6</v>
      </c>
      <c r="E17" s="63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4" s="15" customFormat="1" x14ac:dyDescent="0.2">
      <c r="A18" s="65"/>
      <c r="B18" s="65"/>
      <c r="C18" s="65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4" s="15" customFormat="1" ht="15.75" x14ac:dyDescent="0.25">
      <c r="A19" s="43">
        <v>1</v>
      </c>
      <c r="B19" s="45" t="str">
        <f>B13</f>
        <v>Link Wireless  to Megashop</v>
      </c>
      <c r="C19" s="50">
        <f>1-(((D19*3600)+(LEFT(E19,2)*60)+RIGHT(E19,2))/((60*60*24)*$C$8))</f>
        <v>1</v>
      </c>
      <c r="D19" s="28" t="str">
        <f>TEXT(SUM(D13:AH13),"[h]")</f>
        <v>0</v>
      </c>
      <c r="E19" s="28" t="str">
        <f>TEXT(SUM(D13:AH13),"mm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4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4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x14ac:dyDescent="0.2">
      <c r="B23" s="15" t="s">
        <v>19</v>
      </c>
      <c r="C23" s="38">
        <f>C19</f>
        <v>1</v>
      </c>
      <c r="H23" s="57"/>
    </row>
    <row r="28" spans="1:34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</row>
    <row r="36" spans="6:34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6:34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6:34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6:34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G13">
    <cfRule type="cellIs" dxfId="3" priority="20" stopIfTrue="1" operator="greaterThan">
      <formula>0</formula>
    </cfRule>
  </conditionalFormatting>
  <conditionalFormatting sqref="AH13">
    <cfRule type="cellIs" dxfId="2" priority="4" stopIfTrue="1" operator="greaterThan">
      <formula>0</formula>
    </cfRule>
  </conditionalFormatting>
  <conditionalFormatting sqref="D13:X13">
    <cfRule type="cellIs" dxfId="1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2018-09-05T07:57:53Z</dcterms:modified>
</cp:coreProperties>
</file>