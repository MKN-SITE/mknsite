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Liebherr Megashop" sheetId="11" r:id="rId1"/>
  </sheets>
  <calcPr calcId="145621"/>
</workbook>
</file>

<file path=xl/calcChain.xml><?xml version="1.0" encoding="utf-8"?>
<calcChain xmlns="http://schemas.openxmlformats.org/spreadsheetml/2006/main">
  <c r="D19" i="11" l="1"/>
  <c r="E19" i="11"/>
  <c r="B19" i="11" l="1"/>
  <c r="C19" i="11" l="1"/>
  <c r="C23" i="11" s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<sst xmlns="http://schemas.openxmlformats.org/spreadsheetml/2006/main" count="52" uniqueCount="20">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</sst>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7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9"/>
  <sheetViews>
    <sheetView tabSelected="1" zoomScale="80" zoomScaleNormal="80" workbookViewId="0">
      <selection activeCell="AF31" sqref="AF31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2" width="10" bestFit="1" customWidth="1"/>
    <col min="33" max="33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9">
        <v>43221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1" t="s">
        <v>2</v>
      </c>
      <c r="B10" s="61" t="s">
        <v>0</v>
      </c>
      <c r="C10" s="61" t="s">
        <v>7</v>
      </c>
      <c r="D10" s="23">
        <v>43221</v>
      </c>
      <c r="E10" s="23">
        <v>43222</v>
      </c>
      <c r="F10" s="23">
        <v>43223</v>
      </c>
      <c r="G10" s="23">
        <v>43224</v>
      </c>
      <c r="H10" s="23">
        <v>43225</v>
      </c>
      <c r="I10" s="23">
        <v>43226</v>
      </c>
      <c r="J10" s="23">
        <v>43227</v>
      </c>
      <c r="K10" s="23">
        <v>43228</v>
      </c>
      <c r="L10" s="23">
        <v>43229</v>
      </c>
      <c r="M10" s="23">
        <v>43230</v>
      </c>
      <c r="N10" s="23">
        <v>43231</v>
      </c>
      <c r="O10" s="23">
        <v>43232</v>
      </c>
      <c r="P10" s="23">
        <v>43233</v>
      </c>
      <c r="Q10" s="23">
        <v>43234</v>
      </c>
      <c r="R10" s="23">
        <v>43235</v>
      </c>
      <c r="S10" s="23">
        <v>43236</v>
      </c>
      <c r="T10" s="23">
        <v>43237</v>
      </c>
      <c r="U10" s="23">
        <v>43238</v>
      </c>
      <c r="V10" s="23">
        <v>43239</v>
      </c>
      <c r="W10" s="23">
        <v>43240</v>
      </c>
      <c r="X10" s="23">
        <v>43241</v>
      </c>
      <c r="Y10" s="23">
        <v>43242</v>
      </c>
      <c r="Z10" s="23">
        <v>43243</v>
      </c>
      <c r="AA10" s="23">
        <v>43244</v>
      </c>
      <c r="AB10" s="23">
        <v>43245</v>
      </c>
      <c r="AC10" s="23">
        <v>43246</v>
      </c>
      <c r="AD10" s="23">
        <v>43247</v>
      </c>
      <c r="AE10" s="23">
        <v>43248</v>
      </c>
      <c r="AF10" s="23">
        <v>43249</v>
      </c>
      <c r="AG10" s="23">
        <v>43250</v>
      </c>
      <c r="AH10" s="23">
        <v>43251</v>
      </c>
    </row>
    <row r="11" spans="1:34" s="1" customFormat="1" x14ac:dyDescent="0.2">
      <c r="A11" s="62"/>
      <c r="B11" s="62"/>
      <c r="C11" s="62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51"/>
      <c r="B12" s="52"/>
      <c r="C12" s="5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9"/>
      <c r="AG12" s="49"/>
      <c r="AH12" s="49"/>
    </row>
    <row r="13" spans="1:34" s="15" customFormat="1" ht="15.75" x14ac:dyDescent="0.25">
      <c r="A13" s="44">
        <v>1</v>
      </c>
      <c r="B13" s="46" t="s">
        <v>16</v>
      </c>
      <c r="C13" s="46" t="s">
        <v>17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5" customFormat="1" ht="179.25" customHeight="1" x14ac:dyDescent="0.2">
      <c r="A14" s="25"/>
      <c r="B14" s="54" t="s">
        <v>14</v>
      </c>
      <c r="C14" s="55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24"/>
      <c r="U14" s="24"/>
      <c r="V14" s="24"/>
      <c r="W14" s="24"/>
      <c r="X14" s="24"/>
      <c r="Y14" s="24"/>
      <c r="Z14" s="48"/>
      <c r="AA14" s="47"/>
      <c r="AB14" s="24"/>
      <c r="AC14" s="48"/>
      <c r="AD14" s="48"/>
      <c r="AE14" s="48"/>
      <c r="AF14" s="60"/>
      <c r="AG14" s="50"/>
      <c r="AH14" s="50"/>
    </row>
    <row r="15" spans="1:34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4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3" s="15" customFormat="1" x14ac:dyDescent="0.2">
      <c r="A17" s="65" t="s">
        <v>2</v>
      </c>
      <c r="B17" s="65" t="s">
        <v>8</v>
      </c>
      <c r="C17" s="65" t="s">
        <v>1</v>
      </c>
      <c r="D17" s="63" t="s">
        <v>6</v>
      </c>
      <c r="E17" s="64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3" s="15" customFormat="1" x14ac:dyDescent="0.2">
      <c r="A18" s="66"/>
      <c r="B18" s="66"/>
      <c r="C18" s="66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3" s="15" customFormat="1" ht="15.75" x14ac:dyDescent="0.25">
      <c r="A19" s="43">
        <v>1</v>
      </c>
      <c r="B19" s="45" t="str">
        <f>B13</f>
        <v>Link Wireless  to Megashop</v>
      </c>
      <c r="C19" s="57">
        <f>1-(((D19*3600)+(LEFT(E19,2)*60)+RIGHT(E19,2))/((60*60*24)*$C$8))</f>
        <v>1</v>
      </c>
      <c r="D19" s="28" t="str">
        <f>TEXT(SUM(D13:AG13),"[h]")</f>
        <v>0</v>
      </c>
      <c r="E19" s="28" t="str">
        <f>TEXT(SUM(D13:AG13),"mm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3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3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x14ac:dyDescent="0.2">
      <c r="B23" s="15" t="s">
        <v>19</v>
      </c>
      <c r="C23" s="38">
        <f>C19</f>
        <v>1</v>
      </c>
      <c r="H23" s="58"/>
    </row>
    <row r="28" spans="1:33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36" spans="6:33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6:33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6:33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6:33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:AF13">
    <cfRule type="cellIs" dxfId="4" priority="20" stopIfTrue="1" operator="greaterThan">
      <formula>0</formula>
    </cfRule>
  </conditionalFormatting>
  <conditionalFormatting sqref="AG13">
    <cfRule type="cellIs" dxfId="3" priority="4" stopIfTrue="1" operator="greaterThan">
      <formula>0</formula>
    </cfRule>
  </conditionalFormatting>
  <conditionalFormatting sqref="D13:X13">
    <cfRule type="cellIs" dxfId="2" priority="2" stopIfTrue="1" operator="greaterThan">
      <formula>0</formula>
    </cfRule>
  </conditionalFormatting>
  <conditionalFormatting sqref="AH13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2018-05-30T04:00:33Z</dcterms:modified>
</cp:coreProperties>
</file>