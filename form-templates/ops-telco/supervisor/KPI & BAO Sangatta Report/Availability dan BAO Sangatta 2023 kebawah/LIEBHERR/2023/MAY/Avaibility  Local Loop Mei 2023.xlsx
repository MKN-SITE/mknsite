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E26" i="11" l="1"/>
  <c r="D26" i="11"/>
  <c r="C26" i="11" l="1"/>
  <c r="C30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<sst xmlns="http://schemas.openxmlformats.org/spreadsheetml/2006/main" count="55" uniqueCount="22">
  <si>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</si>
  <si>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</si>
  <si>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</si>
  <si>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</si>
  <si>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</si>
  <si>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</si>
  <si>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</si>
  <si>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</si>
  <si>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</si>
  <si>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</si>
  <si>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</si>
  <si>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</si>
  <si>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</si>
  <si>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</si>
  <si>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</si>
  <si>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</si>
  <si>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</si>
  <si>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</si>
  <si>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</si>
  <si>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 xml:space="preserve">        Internet down (  power / UPS system Problem )</t>
  </si>
  <si>
    <t>Link NAP Info Lintas Nusa</t>
  </si>
  <si>
    <t>PT.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</si>
</sst>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2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0"/>
      <color theme="0"/>
      <name val="Tahoma"/>
      <family val="2"/>
    </font>
    <font>
      <b/>
      <i/>
      <sz val="10"/>
      <color rgb="FFFF0000"/>
      <name val="Tahoma"/>
      <family val="2"/>
    </font>
    <font>
      <b/>
      <sz val="14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 vertical="center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/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5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9" fillId="0" borderId="0" xfId="0" applyFont="1" applyAlignme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40" fillId="0" borderId="0" xfId="0" applyFont="1" applyAlignment="1"/>
    <xf numFmtId="0" fontId="9" fillId="0" borderId="0" xfId="0" applyFont="1" applyFill="1" applyAlignment="1"/>
    <xf numFmtId="0" fontId="41" fillId="0" borderId="0" xfId="0" applyFont="1" applyFill="1" applyAlignment="1"/>
    <xf numFmtId="0" fontId="41" fillId="0" borderId="0" xfId="0" applyFont="1" applyFill="1" applyAlignment="1">
      <alignment horizontal="left" vertical="top"/>
    </xf>
    <xf numFmtId="0" fontId="13" fillId="0" borderId="0" xfId="0" applyFont="1" applyFill="1" applyAlignment="1"/>
    <xf numFmtId="46" fontId="0" fillId="0" borderId="4" xfId="0" applyNumberFormat="1" applyFill="1" applyBorder="1" applyAlignment="1">
      <alignment vertical="top"/>
    </xf>
    <xf numFmtId="46" fontId="36" fillId="0" borderId="4" xfId="0" applyNumberFormat="1" applyFont="1" applyFill="1" applyBorder="1" applyAlignment="1">
      <alignment vertical="top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5" fontId="6" fillId="0" borderId="16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3"/>
  <sheetViews>
    <sheetView tabSelected="1" zoomScale="80" zoomScaleNormal="80" workbookViewId="0">
      <pane xSplit="3" ySplit="11" topLeftCell="E12" activePane="bottomRight" state="frozen"/>
      <selection pane="topRight" activeCell="D1" sqref="D1"/>
      <selection pane="bottomLeft" activeCell="A12" sqref="A12"/>
      <selection pane="bottomRight" activeCell="M28" sqref="M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57031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17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45047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4" t="s">
        <v>2</v>
      </c>
      <c r="B10" s="96" t="s">
        <v>0</v>
      </c>
      <c r="C10" s="98" t="s">
        <v>7</v>
      </c>
      <c r="D10" s="23">
        <v>44682</v>
      </c>
      <c r="E10" s="23">
        <v>44683</v>
      </c>
      <c r="F10" s="23">
        <v>44684</v>
      </c>
      <c r="G10" s="23">
        <v>44685</v>
      </c>
      <c r="H10" s="23">
        <v>44686</v>
      </c>
      <c r="I10" s="23">
        <v>44687</v>
      </c>
      <c r="J10" s="23">
        <v>44688</v>
      </c>
      <c r="K10" s="23">
        <v>44689</v>
      </c>
      <c r="L10" s="23">
        <v>44690</v>
      </c>
      <c r="M10" s="23">
        <v>44691</v>
      </c>
      <c r="N10" s="23">
        <v>44692</v>
      </c>
      <c r="O10" s="23">
        <v>44693</v>
      </c>
      <c r="P10" s="23">
        <v>44694</v>
      </c>
      <c r="Q10" s="23">
        <v>44695</v>
      </c>
      <c r="R10" s="23">
        <v>44696</v>
      </c>
      <c r="S10" s="23">
        <v>44697</v>
      </c>
      <c r="T10" s="23">
        <v>44698</v>
      </c>
      <c r="U10" s="23">
        <v>44699</v>
      </c>
      <c r="V10" s="23">
        <v>44700</v>
      </c>
      <c r="W10" s="23">
        <v>44701</v>
      </c>
      <c r="X10" s="23">
        <v>44702</v>
      </c>
      <c r="Y10" s="23">
        <v>44703</v>
      </c>
      <c r="Z10" s="23">
        <v>44704</v>
      </c>
      <c r="AA10" s="23">
        <v>44705</v>
      </c>
      <c r="AB10" s="23">
        <v>44706</v>
      </c>
      <c r="AC10" s="23">
        <v>44707</v>
      </c>
      <c r="AD10" s="23">
        <v>44708</v>
      </c>
      <c r="AE10" s="23">
        <v>44709</v>
      </c>
      <c r="AF10" s="23">
        <v>44710</v>
      </c>
      <c r="AG10" s="23">
        <v>44711</v>
      </c>
      <c r="AH10" s="86">
        <v>44712</v>
      </c>
    </row>
    <row r="11" spans="1:34" s="1" customFormat="1" x14ac:dyDescent="0.2">
      <c r="A11" s="95"/>
      <c r="B11" s="97"/>
      <c r="C11" s="9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67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4">
        <v>1</v>
      </c>
      <c r="B13" s="75" t="s">
        <v>20</v>
      </c>
      <c r="C13" s="48" t="s">
        <v>21</v>
      </c>
      <c r="D13" s="92">
        <v>0</v>
      </c>
      <c r="E13" s="92">
        <v>0</v>
      </c>
      <c r="F13" s="49">
        <v>0.28055555555555556</v>
      </c>
      <c r="G13" s="49">
        <v>0.45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0</v>
      </c>
      <c r="Q13" s="92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92">
        <v>0</v>
      </c>
      <c r="Y13" s="92">
        <v>0</v>
      </c>
      <c r="Z13" s="92">
        <v>0</v>
      </c>
      <c r="AA13" s="93">
        <v>0</v>
      </c>
      <c r="AB13" s="92">
        <v>0</v>
      </c>
      <c r="AC13" s="92">
        <v>0</v>
      </c>
      <c r="AD13" s="92">
        <v>0</v>
      </c>
      <c r="AE13" s="92">
        <v>0</v>
      </c>
      <c r="AF13" s="92">
        <v>0</v>
      </c>
      <c r="AG13" s="50">
        <v>0</v>
      </c>
      <c r="AH13" s="66">
        <v>0</v>
      </c>
    </row>
    <row r="14" spans="1:34" s="15" customFormat="1" ht="12.75" customHeight="1" x14ac:dyDescent="0.2">
      <c r="A14" s="113" t="s">
        <v>18</v>
      </c>
      <c r="B14" s="114"/>
      <c r="C14" s="102">
        <v>45049</v>
      </c>
      <c r="D14" s="105" t="s">
        <v>19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15"/>
      <c r="B15" s="116"/>
      <c r="C15" s="103"/>
      <c r="D15" s="107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15"/>
      <c r="B16" s="116"/>
      <c r="C16" s="109">
        <v>45050</v>
      </c>
      <c r="D16" s="106" t="s">
        <v>19</v>
      </c>
      <c r="E16" s="106"/>
      <c r="F16" s="106"/>
      <c r="G16" s="106"/>
      <c r="H16" s="106"/>
      <c r="I16" s="106"/>
      <c r="J16" s="106"/>
      <c r="K16" s="85"/>
      <c r="L16" s="81"/>
      <c r="M16" s="81"/>
      <c r="N16" s="81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15"/>
      <c r="B17" s="116"/>
      <c r="C17" s="110"/>
      <c r="D17" s="112"/>
      <c r="E17" s="112"/>
      <c r="F17" s="112"/>
      <c r="G17" s="112"/>
      <c r="H17" s="112"/>
      <c r="I17" s="112"/>
      <c r="J17" s="112"/>
      <c r="K17" s="84"/>
      <c r="L17" s="82"/>
      <c r="M17" s="82"/>
      <c r="N17" s="82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15"/>
      <c r="B18" s="116"/>
      <c r="C18" s="104"/>
      <c r="D18" s="107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15"/>
      <c r="B19" s="116"/>
      <c r="C19" s="103"/>
      <c r="D19" s="111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17"/>
      <c r="B20" s="118"/>
      <c r="C20" s="80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7"/>
      <c r="P20" s="77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9"/>
    </row>
    <row r="21" spans="1:34" s="15" customFormat="1" ht="25.5" x14ac:dyDescent="0.2">
      <c r="A21" s="68"/>
      <c r="B21" s="68"/>
      <c r="C21" s="69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1"/>
      <c r="P21" s="71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3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101" t="s">
        <v>2</v>
      </c>
      <c r="B24" s="101" t="s">
        <v>8</v>
      </c>
      <c r="C24" s="101" t="s">
        <v>1</v>
      </c>
      <c r="D24" s="100" t="s">
        <v>6</v>
      </c>
      <c r="E24" s="100"/>
      <c r="F24" s="19"/>
      <c r="G24" s="83"/>
      <c r="H24" s="62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101"/>
      <c r="B25" s="101"/>
      <c r="C25" s="101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15</v>
      </c>
      <c r="C26" s="40">
        <f>1-(((D26*3600)+(LEFT(E26,2)*60)+RIGHT(E26,2))/((60*60*24)*$C$8))</f>
        <v>0.97643369175627237</v>
      </c>
      <c r="D26" s="26" t="str">
        <f>TEXT(SUM(D13:AH13),"[h]")</f>
        <v>17</v>
      </c>
      <c r="E26" s="26" t="str">
        <f>TEXT(SUM(D13:AH13),"mm ss")</f>
        <v>32 00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1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14</v>
      </c>
      <c r="C29" s="25"/>
      <c r="D29" s="24"/>
      <c r="E29" s="24"/>
      <c r="F29" s="24"/>
      <c r="G29" s="24"/>
      <c r="H29" s="24"/>
      <c r="I29" s="24"/>
      <c r="J29" s="24"/>
      <c r="K29" s="60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5" t="s">
        <v>16</v>
      </c>
      <c r="C30" s="63">
        <f>C26</f>
        <v>0.97643369175627237</v>
      </c>
      <c r="G30" s="64"/>
      <c r="H30" s="43"/>
    </row>
    <row r="31" spans="1:34" x14ac:dyDescent="0.2">
      <c r="E31" s="87"/>
      <c r="F31" s="88"/>
    </row>
    <row r="32" spans="1:34" ht="18" x14ac:dyDescent="0.25">
      <c r="F32" s="38"/>
      <c r="G32" s="89"/>
      <c r="H32" s="90"/>
      <c r="I32" s="89"/>
      <c r="J32" s="91"/>
      <c r="K32" s="91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</mergeCells>
  <phoneticPr fontId="9" type="noConversion"/>
  <conditionalFormatting sqref="Y13">
    <cfRule type="cellIs" dxfId="4" priority="33" stopIfTrue="1" operator="greaterThan">
      <formula>0</formula>
    </cfRule>
  </conditionalFormatting>
  <conditionalFormatting sqref="D13:X13">
    <cfRule type="cellIs" dxfId="3" priority="15" stopIfTrue="1" operator="greaterThan">
      <formula>0</formula>
    </cfRule>
  </conditionalFormatting>
  <conditionalFormatting sqref="Z13:AE13">
    <cfRule type="cellIs" dxfId="2" priority="10" stopIfTrue="1" operator="greaterThan">
      <formula>0</formula>
    </cfRule>
  </conditionalFormatting>
  <conditionalFormatting sqref="AG13">
    <cfRule type="cellIs" dxfId="1" priority="4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2023-06-02T00:20:35Z</dcterms:modified>
</cp:coreProperties>
</file>