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600" windowWidth="15480" windowHeight="11040" tabRatio="361"/>
  </bookViews>
  <sheets>
    <sheet name="LINK Liebherr Megashop" sheetId="11" r:id="rId1"/>
  </sheets>
  <calcPr calcId="144525"/>
</workbook>
</file>

<file path=xl/calcChain.xml><?xml version="1.0" encoding="utf-8"?>
<calcChain xmlns="http://schemas.openxmlformats.org/spreadsheetml/2006/main">
  <c r="D24" i="11" l="1"/>
  <c r="E24" i="11"/>
  <c r="B24" i="11"/>
  <c r="C24" i="11" l="1"/>
  <c r="C28" i="11" s="1"/>
</calcChain>
</file>

<file path=xl/sharedStrings.xml><?xml version="1.0" encoding="utf-8"?>
<sst xmlns="http://schemas.openxmlformats.org/spreadsheetml/2006/main" count="55" uniqueCount="23">
  <si>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</si>
  <si>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</si>
  <si>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</si>
  <si>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</si>
  <si>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</si>
  <si>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</si>
  <si>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</si>
  <si>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</si>
  <si>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</si>
  <si>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</si>
  <si>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</si>
  <si>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</si>
  <si>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</si>
  <si>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</si>
  <si>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Device Availability Liebherr Megashop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</si>
  <si>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</si>
  <si>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</si>
  <si>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</si>
  <si>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</si>
  <si>
    <t>REMARK</t>
  </si>
  <si>
    <t>16 Okt 2023</t>
  </si>
  <si>
    <t xml:space="preserve">        UPS Failure at data Centre JKT</t>
  </si>
  <si>
    <t xml:space="preserve">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</si>
</sst>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8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6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91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9" fontId="13" fillId="0" borderId="14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 vertical="top"/>
    </xf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46" fontId="0" fillId="0" borderId="15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16" xfId="0" applyFont="1" applyBorder="1"/>
    <xf numFmtId="0" fontId="6" fillId="0" borderId="19" xfId="0" applyFont="1" applyBorder="1"/>
    <xf numFmtId="0" fontId="6" fillId="0" borderId="20" xfId="0" applyFont="1" applyBorder="1" applyAlignment="1"/>
    <xf numFmtId="0" fontId="6" fillId="0" borderId="20" xfId="0" applyFont="1" applyBorder="1"/>
    <xf numFmtId="0" fontId="6" fillId="0" borderId="21" xfId="0" applyFont="1" applyBorder="1" applyAlignment="1"/>
    <xf numFmtId="0" fontId="6" fillId="0" borderId="21" xfId="0" applyFont="1" applyBorder="1"/>
    <xf numFmtId="0" fontId="12" fillId="0" borderId="3" xfId="0" applyFont="1" applyBorder="1" applyAlignment="1">
      <alignment horizontal="center" vertical="center"/>
    </xf>
    <xf numFmtId="16" fontId="8" fillId="0" borderId="19" xfId="0" applyNumberFormat="1" applyFont="1" applyBorder="1" applyAlignment="1">
      <alignment horizontal="center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Border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21" fontId="6" fillId="0" borderId="22" xfId="0" applyNumberFormat="1" applyFont="1" applyBorder="1" applyAlignment="1">
      <alignment horizontal="center" vertical="top"/>
    </xf>
    <xf numFmtId="16" fontId="8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left" vertical="center"/>
    </xf>
    <xf numFmtId="10" fontId="37" fillId="0" borderId="0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5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15" fontId="8" fillId="0" borderId="2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0" fontId="8" fillId="0" borderId="14" xfId="0" applyNumberFormat="1" applyFont="1" applyBorder="1" applyAlignment="1">
      <alignment horizontal="left" vertical="center"/>
    </xf>
    <xf numFmtId="10" fontId="8" fillId="0" borderId="20" xfId="0" applyNumberFormat="1" applyFont="1" applyBorder="1" applyAlignment="1">
      <alignment horizontal="left" vertical="center"/>
    </xf>
    <xf numFmtId="10" fontId="8" fillId="0" borderId="15" xfId="0" applyNumberFormat="1" applyFont="1" applyBorder="1" applyAlignment="1">
      <alignment horizontal="left" vertical="center"/>
    </xf>
    <xf numFmtId="10" fontId="8" fillId="0" borderId="21" xfId="0" applyNumberFormat="1" applyFont="1" applyBorder="1" applyAlignment="1">
      <alignment horizontal="left" vertical="center"/>
    </xf>
    <xf numFmtId="10" fontId="6" fillId="0" borderId="14" xfId="0" applyNumberFormat="1" applyFont="1" applyBorder="1" applyAlignment="1">
      <alignment horizontal="left" vertic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15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16" fontId="8" fillId="0" borderId="3" xfId="0" applyNumberFormat="1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 vertic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4"/>
  <sheetViews>
    <sheetView tabSelected="1" zoomScale="80" zoomScaleNormal="80" workbookViewId="0">
      <selection activeCell="E35" sqref="E35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2" customWidth="1"/>
    <col min="5" max="16" width="9.140625" style="13" customWidth="1"/>
    <col min="17" max="33" width="9.140625" customWidth="1"/>
    <col min="34" max="34" width="9.85546875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14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44">
        <v>45200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1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68" t="s">
        <v>2</v>
      </c>
      <c r="B10" s="68" t="s">
        <v>0</v>
      </c>
      <c r="C10" s="68" t="s">
        <v>7</v>
      </c>
      <c r="D10" s="89">
        <v>44835</v>
      </c>
      <c r="E10" s="89">
        <v>44836</v>
      </c>
      <c r="F10" s="89">
        <v>44837</v>
      </c>
      <c r="G10" s="89">
        <v>44838</v>
      </c>
      <c r="H10" s="89">
        <v>44839</v>
      </c>
      <c r="I10" s="89">
        <v>44840</v>
      </c>
      <c r="J10" s="89">
        <v>44841</v>
      </c>
      <c r="K10" s="89">
        <v>44842</v>
      </c>
      <c r="L10" s="89">
        <v>44843</v>
      </c>
      <c r="M10" s="89">
        <v>44844</v>
      </c>
      <c r="N10" s="89">
        <v>44845</v>
      </c>
      <c r="O10" s="89">
        <v>44846</v>
      </c>
      <c r="P10" s="89">
        <v>44847</v>
      </c>
      <c r="Q10" s="89">
        <v>44848</v>
      </c>
      <c r="R10" s="89">
        <v>44849</v>
      </c>
      <c r="S10" s="89">
        <v>44850</v>
      </c>
      <c r="T10" s="89">
        <v>44851</v>
      </c>
      <c r="U10" s="89">
        <v>44852</v>
      </c>
      <c r="V10" s="89">
        <v>44853</v>
      </c>
      <c r="W10" s="89">
        <v>44854</v>
      </c>
      <c r="X10" s="89">
        <v>44855</v>
      </c>
      <c r="Y10" s="89">
        <v>44856</v>
      </c>
      <c r="Z10" s="89">
        <v>44857</v>
      </c>
      <c r="AA10" s="89">
        <v>44858</v>
      </c>
      <c r="AB10" s="89">
        <v>44859</v>
      </c>
      <c r="AC10" s="89">
        <v>44860</v>
      </c>
      <c r="AD10" s="89">
        <v>44861</v>
      </c>
      <c r="AE10" s="89">
        <v>44862</v>
      </c>
      <c r="AF10" s="89">
        <v>44863</v>
      </c>
      <c r="AG10" s="22">
        <v>44864</v>
      </c>
      <c r="AH10" s="65">
        <v>44865</v>
      </c>
    </row>
    <row r="11" spans="1:34" s="1" customFormat="1" x14ac:dyDescent="0.2">
      <c r="A11" s="69"/>
      <c r="B11" s="69"/>
      <c r="C11" s="69"/>
      <c r="D11" s="90" t="s">
        <v>6</v>
      </c>
      <c r="E11" s="90" t="s">
        <v>6</v>
      </c>
      <c r="F11" s="90" t="s">
        <v>6</v>
      </c>
      <c r="G11" s="90" t="s">
        <v>6</v>
      </c>
      <c r="H11" s="90" t="s">
        <v>6</v>
      </c>
      <c r="I11" s="90" t="s">
        <v>6</v>
      </c>
      <c r="J11" s="90" t="s">
        <v>6</v>
      </c>
      <c r="K11" s="90" t="s">
        <v>6</v>
      </c>
      <c r="L11" s="90" t="s">
        <v>6</v>
      </c>
      <c r="M11" s="90" t="s">
        <v>6</v>
      </c>
      <c r="N11" s="90" t="s">
        <v>6</v>
      </c>
      <c r="O11" s="90" t="s">
        <v>6</v>
      </c>
      <c r="P11" s="90" t="s">
        <v>6</v>
      </c>
      <c r="Q11" s="90" t="s">
        <v>6</v>
      </c>
      <c r="R11" s="90" t="s">
        <v>6</v>
      </c>
      <c r="S11" s="90" t="s">
        <v>6</v>
      </c>
      <c r="T11" s="90" t="s">
        <v>6</v>
      </c>
      <c r="U11" s="90" t="s">
        <v>6</v>
      </c>
      <c r="V11" s="90" t="s">
        <v>6</v>
      </c>
      <c r="W11" s="90" t="s">
        <v>6</v>
      </c>
      <c r="X11" s="90" t="s">
        <v>6</v>
      </c>
      <c r="Y11" s="90" t="s">
        <v>6</v>
      </c>
      <c r="Z11" s="90" t="s">
        <v>6</v>
      </c>
      <c r="AA11" s="90" t="s">
        <v>6</v>
      </c>
      <c r="AB11" s="90" t="s">
        <v>6</v>
      </c>
      <c r="AC11" s="90" t="s">
        <v>6</v>
      </c>
      <c r="AD11" s="90" t="s">
        <v>6</v>
      </c>
      <c r="AE11" s="90" t="s">
        <v>6</v>
      </c>
      <c r="AF11" s="90" t="s">
        <v>6</v>
      </c>
      <c r="AG11" s="59" t="s">
        <v>6</v>
      </c>
      <c r="AH11" s="66" t="s">
        <v>6</v>
      </c>
    </row>
    <row r="12" spans="1:34" x14ac:dyDescent="0.2">
      <c r="A12" s="40"/>
      <c r="B12" s="41"/>
      <c r="C12" s="42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47"/>
      <c r="AH12" s="42"/>
    </row>
    <row r="13" spans="1:34" s="52" customFormat="1" ht="106.5" customHeight="1" x14ac:dyDescent="0.2">
      <c r="A13" s="48">
        <v>1</v>
      </c>
      <c r="B13" s="49" t="s">
        <v>15</v>
      </c>
      <c r="C13" s="49" t="s">
        <v>16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0.28819444444444448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63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51">
        <v>0</v>
      </c>
      <c r="AH13" s="64">
        <v>0</v>
      </c>
    </row>
    <row r="14" spans="1:34" s="14" customFormat="1" ht="12.75" customHeight="1" x14ac:dyDescent="0.2">
      <c r="A14" s="72" t="s">
        <v>19</v>
      </c>
      <c r="B14" s="73"/>
      <c r="C14" s="78" t="s">
        <v>20</v>
      </c>
      <c r="D14" s="81" t="s">
        <v>21</v>
      </c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55"/>
      <c r="P14" s="55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3"/>
    </row>
    <row r="15" spans="1:34" s="14" customFormat="1" ht="12.75" customHeight="1" x14ac:dyDescent="0.2">
      <c r="A15" s="74"/>
      <c r="B15" s="75"/>
      <c r="C15" s="79"/>
      <c r="D15" s="83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57"/>
      <c r="P15" s="57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4"/>
    </row>
    <row r="16" spans="1:34" s="14" customFormat="1" ht="12.75" customHeight="1" x14ac:dyDescent="0.2">
      <c r="A16" s="74"/>
      <c r="B16" s="75"/>
      <c r="C16" s="80"/>
      <c r="D16" s="85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55"/>
      <c r="P16" s="55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3"/>
    </row>
    <row r="17" spans="1:34" s="14" customFormat="1" ht="12.75" customHeight="1" x14ac:dyDescent="0.2">
      <c r="A17" s="74"/>
      <c r="B17" s="75"/>
      <c r="C17" s="79"/>
      <c r="D17" s="87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57"/>
      <c r="P17" s="57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4"/>
    </row>
    <row r="18" spans="1:34" s="14" customFormat="1" x14ac:dyDescent="0.2">
      <c r="A18" s="74"/>
      <c r="B18" s="75"/>
      <c r="C18" s="80"/>
      <c r="D18" s="85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55"/>
      <c r="P18" s="55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3"/>
    </row>
    <row r="19" spans="1:34" s="14" customFormat="1" x14ac:dyDescent="0.2">
      <c r="A19" s="76"/>
      <c r="B19" s="77"/>
      <c r="C19" s="79"/>
      <c r="D19" s="87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57"/>
      <c r="P19" s="57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60"/>
    </row>
    <row r="20" spans="1:34" s="14" customFormat="1" x14ac:dyDescent="0.2">
      <c r="A20" s="15"/>
      <c r="D20" s="16"/>
      <c r="E20" s="17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</row>
    <row r="21" spans="1:34" s="14" customFormat="1" x14ac:dyDescent="0.2">
      <c r="A21" s="29" t="s">
        <v>11</v>
      </c>
      <c r="D21" s="16"/>
      <c r="E21" s="17"/>
      <c r="F21" s="18"/>
      <c r="G21" s="18"/>
      <c r="H21" s="18"/>
      <c r="I21" s="18"/>
      <c r="J21" s="18"/>
      <c r="K21" s="18"/>
      <c r="L21" s="18"/>
      <c r="M21" s="18"/>
      <c r="N21" s="18"/>
      <c r="P21" s="18"/>
      <c r="AC21" s="38"/>
    </row>
    <row r="22" spans="1:34" s="14" customFormat="1" x14ac:dyDescent="0.2">
      <c r="A22" s="71" t="s">
        <v>2</v>
      </c>
      <c r="B22" s="71" t="s">
        <v>8</v>
      </c>
      <c r="C22" s="71" t="s">
        <v>1</v>
      </c>
      <c r="D22" s="70" t="s">
        <v>6</v>
      </c>
      <c r="E22" s="70"/>
      <c r="F22" s="18"/>
      <c r="G22" s="18"/>
      <c r="H22" s="18"/>
      <c r="I22" s="18"/>
      <c r="J22" s="18"/>
      <c r="K22" s="18"/>
      <c r="L22" s="18"/>
      <c r="M22" s="18"/>
      <c r="N22" s="18"/>
      <c r="P22" s="18"/>
      <c r="AC22" s="38"/>
    </row>
    <row r="23" spans="1:34" s="14" customFormat="1" x14ac:dyDescent="0.2">
      <c r="A23" s="71"/>
      <c r="B23" s="71"/>
      <c r="C23" s="71"/>
      <c r="D23" s="34" t="s">
        <v>9</v>
      </c>
      <c r="E23" s="28" t="s">
        <v>10</v>
      </c>
      <c r="F23" s="18"/>
      <c r="G23" s="18"/>
      <c r="H23" s="18"/>
      <c r="I23" s="18"/>
      <c r="J23" s="18"/>
      <c r="K23" s="18"/>
      <c r="L23" s="18"/>
      <c r="M23" s="18"/>
      <c r="N23" s="18"/>
      <c r="P23" s="18"/>
      <c r="AC23" s="38"/>
    </row>
    <row r="24" spans="1:34" s="14" customFormat="1" ht="15.75" x14ac:dyDescent="0.25">
      <c r="A24" s="45">
        <v>1</v>
      </c>
      <c r="B24" s="46" t="str">
        <f>B13</f>
        <v>Link Wireless  to Megashop</v>
      </c>
      <c r="C24" s="39">
        <f>1-(((D24*3600)+(LEFT(E24,2)*60)+RIGHT(E24,2))/((60*60*24)*$C$8))</f>
        <v>0.9907034050179212</v>
      </c>
      <c r="D24" s="25" t="str">
        <f>TEXT(SUM(D13:AF13),"[h]")</f>
        <v>6</v>
      </c>
      <c r="E24" s="25" t="str">
        <f>TEXT(SUM(D13:AF13),"mm ss")</f>
        <v>55 00</v>
      </c>
      <c r="F24" s="26"/>
      <c r="G24" s="18"/>
      <c r="H24" s="27"/>
      <c r="I24" s="18"/>
      <c r="J24" s="18"/>
      <c r="K24" s="18"/>
      <c r="L24" s="18"/>
      <c r="M24" s="18"/>
      <c r="N24" s="18"/>
      <c r="P24" s="18"/>
      <c r="AC24" s="38"/>
    </row>
    <row r="25" spans="1:34" s="14" customFormat="1" x14ac:dyDescent="0.2">
      <c r="A25" s="15"/>
      <c r="C25" s="33"/>
      <c r="D25" s="31"/>
      <c r="E25" s="32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</row>
    <row r="26" spans="1:34" s="19" customFormat="1" x14ac:dyDescent="0.2">
      <c r="A26" s="15"/>
      <c r="B26" s="14"/>
      <c r="C26" s="14"/>
      <c r="D26" s="16"/>
      <c r="E26" s="17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</row>
    <row r="27" spans="1:34" ht="19.5" x14ac:dyDescent="0.25">
      <c r="A27" s="17"/>
      <c r="B27" s="30" t="s">
        <v>17</v>
      </c>
      <c r="C27" s="24"/>
      <c r="D27" s="23"/>
      <c r="E27" s="23"/>
      <c r="F27" s="16" t="s">
        <v>22</v>
      </c>
      <c r="G27" s="23"/>
      <c r="H27" s="67"/>
      <c r="I27" s="23"/>
      <c r="J27" s="23"/>
      <c r="K27" s="62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19"/>
    </row>
    <row r="28" spans="1:34" x14ac:dyDescent="0.2">
      <c r="B28" s="14" t="s">
        <v>18</v>
      </c>
      <c r="C28" s="34">
        <f>C24</f>
        <v>0.9907034050179212</v>
      </c>
      <c r="H28" s="43"/>
    </row>
    <row r="30" spans="1:34" x14ac:dyDescent="0.2">
      <c r="H30" s="61"/>
    </row>
    <row r="33" spans="6:32" x14ac:dyDescent="0.2"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</row>
    <row r="41" spans="6:32" x14ac:dyDescent="0.2">
      <c r="F41" s="35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</row>
    <row r="42" spans="6:32" x14ac:dyDescent="0.2">
      <c r="F42" s="35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</row>
    <row r="43" spans="6:32" x14ac:dyDescent="0.2">
      <c r="F43" s="35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</row>
    <row r="44" spans="6:32" x14ac:dyDescent="0.2">
      <c r="F44" s="35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</row>
  </sheetData>
  <mergeCells count="14">
    <mergeCell ref="A10:A11"/>
    <mergeCell ref="B10:B11"/>
    <mergeCell ref="C10:C11"/>
    <mergeCell ref="D22:E22"/>
    <mergeCell ref="A22:A23"/>
    <mergeCell ref="B22:B23"/>
    <mergeCell ref="C22:C23"/>
    <mergeCell ref="A14:B19"/>
    <mergeCell ref="C14:C15"/>
    <mergeCell ref="C16:C17"/>
    <mergeCell ref="C18:C19"/>
    <mergeCell ref="D14:N15"/>
    <mergeCell ref="D16:N17"/>
    <mergeCell ref="D18:N19"/>
  </mergeCells>
  <phoneticPr fontId="9" type="noConversion"/>
  <conditionalFormatting sqref="Y13">
    <cfRule type="cellIs" dxfId="7" priority="39" stopIfTrue="1" operator="greaterThan">
      <formula>0</formula>
    </cfRule>
  </conditionalFormatting>
  <conditionalFormatting sqref="D13:X13">
    <cfRule type="cellIs" dxfId="6" priority="21" stopIfTrue="1" operator="greaterThan">
      <formula>0</formula>
    </cfRule>
  </conditionalFormatting>
  <conditionalFormatting sqref="AA13:AC13">
    <cfRule type="cellIs" dxfId="5" priority="16" stopIfTrue="1" operator="greaterThan">
      <formula>0</formula>
    </cfRule>
  </conditionalFormatting>
  <conditionalFormatting sqref="AG13">
    <cfRule type="cellIs" dxfId="4" priority="10" stopIfTrue="1" operator="greaterThan">
      <formula>0</formula>
    </cfRule>
  </conditionalFormatting>
  <conditionalFormatting sqref="AF13">
    <cfRule type="cellIs" dxfId="3" priority="7" stopIfTrue="1" operator="greaterThan">
      <formula>0</formula>
    </cfRule>
  </conditionalFormatting>
  <conditionalFormatting sqref="AE13">
    <cfRule type="cellIs" dxfId="2" priority="5" stopIfTrue="1" operator="greaterThan">
      <formula>0</formula>
    </cfRule>
  </conditionalFormatting>
  <conditionalFormatting sqref="AD13">
    <cfRule type="cellIs" dxfId="1" priority="3" stopIfTrue="1" operator="greaterThan">
      <formula>0</formula>
    </cfRule>
  </conditionalFormatting>
  <conditionalFormatting sqref="Z13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Liebherr Megashop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2023-11-01T03:56:12Z</dcterms:modified>
</cp:coreProperties>
</file>