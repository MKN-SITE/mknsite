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60" windowWidth="15480" windowHeight="1098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4525" concurrentCalc="0"/>
</workbook>
</file>

<file path=xl/calcChain.xml><?xml version="1.0" encoding="utf-8"?>
<calcChain xmlns="http://schemas.openxmlformats.org/spreadsheetml/2006/main">
  <c r="E22" i="11" l="1"/>
  <c r="D22" i="11"/>
  <c r="B22" i="11"/>
  <c r="C22" i="11"/>
  <c r="C26" i="11"/>
</calcChain>
</file>

<file path=xl/sharedStrings.xml><?xml version="1.0" encoding="utf-8"?>
<sst xmlns="http://schemas.openxmlformats.org/spreadsheetml/2006/main" count="51" uniqueCount="19">
  <si>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</si>
  <si>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</si>
  <si>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</si>
  <si>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</si>
  <si>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</si>
  <si>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</si>
  <si>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</si>
  <si>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</si>
  <si>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</si>
  <si>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</si>
  <si>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</si>
  <si>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</si>
  <si>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</si>
  <si>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</si>
  <si>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</si>
  <si>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NAP INFO LINTAS NUSA</t>
  </si>
  <si>
    <t>Link MRC Local Loop PT NAP Info Lintas Nusa</t>
  </si>
  <si>
    <t>PT NAP Info Lintas Nusa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</si>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</sst>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9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6" fontId="9" fillId="0" borderId="4" xfId="0" applyNumberFormat="1" applyFont="1" applyBorder="1" applyAlignment="1">
      <alignment horizont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top"/>
    </xf>
    <xf numFmtId="0" fontId="35" fillId="0" borderId="17" xfId="0" applyFont="1" applyBorder="1" applyAlignment="1">
      <alignment vertical="top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0" xfId="0" applyFill="1"/>
    <xf numFmtId="15" fontId="9" fillId="0" borderId="16" xfId="0" applyNumberFormat="1" applyFont="1" applyBorder="1" applyAlignment="1">
      <alignment horizontal="center" vertical="center"/>
    </xf>
    <xf numFmtId="0" fontId="7" fillId="33" borderId="0" xfId="0" applyFont="1" applyFill="1"/>
    <xf numFmtId="16" fontId="9" fillId="0" borderId="1" xfId="0" applyNumberFormat="1" applyFont="1" applyBorder="1" applyAlignment="1">
      <alignment horizontal="center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16" fontId="9" fillId="0" borderId="4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23" sqref="G23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3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45078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70" t="s">
        <v>2</v>
      </c>
      <c r="B10" s="70" t="s">
        <v>0</v>
      </c>
      <c r="C10" s="70" t="s">
        <v>7</v>
      </c>
      <c r="D10" s="77">
        <v>44713</v>
      </c>
      <c r="E10" s="77">
        <v>44714</v>
      </c>
      <c r="F10" s="77">
        <v>44715</v>
      </c>
      <c r="G10" s="77">
        <v>44716</v>
      </c>
      <c r="H10" s="77">
        <v>44717</v>
      </c>
      <c r="I10" s="77">
        <v>44718</v>
      </c>
      <c r="J10" s="77">
        <v>44719</v>
      </c>
      <c r="K10" s="77">
        <v>44720</v>
      </c>
      <c r="L10" s="77">
        <v>44721</v>
      </c>
      <c r="M10" s="77">
        <v>44722</v>
      </c>
      <c r="N10" s="77">
        <v>44723</v>
      </c>
      <c r="O10" s="23">
        <v>44724</v>
      </c>
      <c r="P10" s="23">
        <v>44725</v>
      </c>
      <c r="Q10" s="23">
        <v>44726</v>
      </c>
      <c r="R10" s="23">
        <v>44727</v>
      </c>
      <c r="S10" s="23">
        <v>44728</v>
      </c>
      <c r="T10" s="23">
        <v>44729</v>
      </c>
      <c r="U10" s="23">
        <v>44730</v>
      </c>
      <c r="V10" s="23">
        <v>44731</v>
      </c>
      <c r="W10" s="23">
        <v>44732</v>
      </c>
      <c r="X10" s="23">
        <v>44733</v>
      </c>
      <c r="Y10" s="23">
        <v>44734</v>
      </c>
      <c r="Z10" s="23">
        <v>44735</v>
      </c>
      <c r="AA10" s="23">
        <v>44736</v>
      </c>
      <c r="AB10" s="23">
        <v>44737</v>
      </c>
      <c r="AC10" s="23">
        <v>44738</v>
      </c>
      <c r="AD10" s="23">
        <v>44739</v>
      </c>
      <c r="AE10" s="23">
        <v>44740</v>
      </c>
      <c r="AF10" s="23">
        <v>44741</v>
      </c>
      <c r="AG10" s="67">
        <v>44742</v>
      </c>
    </row>
    <row r="11" spans="1:33" s="1" customFormat="1" x14ac:dyDescent="0.2">
      <c r="A11" s="71"/>
      <c r="B11" s="71"/>
      <c r="C11" s="71"/>
      <c r="D11" s="78" t="s">
        <v>6</v>
      </c>
      <c r="E11" s="78" t="s">
        <v>6</v>
      </c>
      <c r="F11" s="78" t="s">
        <v>6</v>
      </c>
      <c r="G11" s="78" t="s">
        <v>6</v>
      </c>
      <c r="H11" s="78" t="s">
        <v>6</v>
      </c>
      <c r="I11" s="78" t="s">
        <v>6</v>
      </c>
      <c r="J11" s="78" t="s">
        <v>6</v>
      </c>
      <c r="K11" s="78" t="s">
        <v>6</v>
      </c>
      <c r="L11" s="78" t="s">
        <v>6</v>
      </c>
      <c r="M11" s="78" t="s">
        <v>6</v>
      </c>
      <c r="N11" s="78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9" customFormat="1" ht="108.75" customHeight="1" x14ac:dyDescent="0.2">
      <c r="A13" s="60">
        <v>1</v>
      </c>
      <c r="B13" s="61" t="s">
        <v>16</v>
      </c>
      <c r="C13" s="51" t="s">
        <v>17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</row>
    <row r="14" spans="1:33" s="15" customFormat="1" ht="30.75" customHeight="1" x14ac:dyDescent="0.2">
      <c r="A14" s="62"/>
      <c r="B14" s="74" t="s">
        <v>18</v>
      </c>
      <c r="C14" s="65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9"/>
    </row>
    <row r="15" spans="1:33" s="57" customFormat="1" ht="30.75" customHeight="1" x14ac:dyDescent="0.2">
      <c r="A15" s="55"/>
      <c r="B15" s="75"/>
      <c r="C15" s="58"/>
      <c r="D15" s="59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2"/>
    </row>
    <row r="16" spans="1:33" s="57" customFormat="1" ht="30.75" customHeight="1" x14ac:dyDescent="0.2">
      <c r="A16" s="55"/>
      <c r="B16" s="75"/>
      <c r="C16" s="5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9"/>
    </row>
    <row r="17" spans="1:33" s="15" customFormat="1" ht="27.75" customHeight="1" x14ac:dyDescent="0.2">
      <c r="A17" s="63"/>
      <c r="B17" s="76"/>
      <c r="C17" s="5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9"/>
    </row>
    <row r="18" spans="1:33" s="57" customFormat="1" ht="27.75" customHeight="1" x14ac:dyDescent="0.2">
      <c r="A18" s="55"/>
      <c r="B18" s="55"/>
      <c r="C18" s="56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spans="1:33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3" s="15" customFormat="1" x14ac:dyDescent="0.2">
      <c r="A20" s="73" t="s">
        <v>2</v>
      </c>
      <c r="B20" s="73" t="s">
        <v>8</v>
      </c>
      <c r="C20" s="73" t="s">
        <v>1</v>
      </c>
      <c r="D20" s="72" t="s">
        <v>6</v>
      </c>
      <c r="E20" s="72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3" s="15" customFormat="1" x14ac:dyDescent="0.2">
      <c r="A21" s="73"/>
      <c r="B21" s="73"/>
      <c r="C21" s="73"/>
      <c r="D21" s="35" t="s">
        <v>9</v>
      </c>
      <c r="E21" s="29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3" s="15" customFormat="1" ht="15.75" x14ac:dyDescent="0.25">
      <c r="A22" s="46">
        <v>1</v>
      </c>
      <c r="B22" s="47" t="str">
        <f>B13</f>
        <v>Link MRC Local Loop PT NAP Info Lintas Nusa</v>
      </c>
      <c r="C22" s="40">
        <f>1-(((D22*3600)+(LEFT(E22,2)*60)+RIGHT(E22,2))/((60*60*24)*$C$8))</f>
        <v>1</v>
      </c>
      <c r="D22" s="26" t="str">
        <f>TEXT(SUM(D13:AG13),"[h]")</f>
        <v>0</v>
      </c>
      <c r="E22" s="26" t="str">
        <f>TEXT(SUM(D13:AG13),"mm ss")</f>
        <v>00 00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39"/>
    </row>
    <row r="23" spans="1:33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3" ht="15.75" x14ac:dyDescent="0.25">
      <c r="B26" s="47" t="s">
        <v>16</v>
      </c>
      <c r="C26" s="48">
        <f>C22</f>
        <v>1</v>
      </c>
      <c r="H26" s="44"/>
    </row>
    <row r="29" spans="1:33" x14ac:dyDescent="0.2">
      <c r="B29" s="66"/>
    </row>
    <row r="30" spans="1:33" x14ac:dyDescent="0.2">
      <c r="B30" s="64"/>
    </row>
    <row r="31" spans="1:33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12">
    <mergeCell ref="D17:AG17"/>
    <mergeCell ref="A10:A11"/>
    <mergeCell ref="B10:B11"/>
    <mergeCell ref="C10:C11"/>
    <mergeCell ref="D20:E20"/>
    <mergeCell ref="A20:A21"/>
    <mergeCell ref="B20:B21"/>
    <mergeCell ref="C20:C21"/>
    <mergeCell ref="D14:AG14"/>
    <mergeCell ref="D16:AG16"/>
    <mergeCell ref="E15:O15"/>
    <mergeCell ref="B14:B17"/>
  </mergeCells>
  <phoneticPr fontId="10" type="noConversion"/>
  <conditionalFormatting sqref="Y13">
    <cfRule type="cellIs" dxfId="6" priority="36" stopIfTrue="1" operator="greaterThan">
      <formula>0</formula>
    </cfRule>
  </conditionalFormatting>
  <conditionalFormatting sqref="N13:X13 D13:K13">
    <cfRule type="cellIs" dxfId="5" priority="18" stopIfTrue="1" operator="greaterThan">
      <formula>0</formula>
    </cfRule>
  </conditionalFormatting>
  <conditionalFormatting sqref="AF13">
    <cfRule type="cellIs" dxfId="4" priority="14" stopIfTrue="1" operator="greaterThan">
      <formula>0</formula>
    </cfRule>
  </conditionalFormatting>
  <conditionalFormatting sqref="Z13:AC13 AE13">
    <cfRule type="cellIs" dxfId="3" priority="13" stopIfTrue="1" operator="greaterThan">
      <formula>0</formula>
    </cfRule>
  </conditionalFormatting>
  <conditionalFormatting sqref="AG13">
    <cfRule type="cellIs" dxfId="2" priority="7" stopIfTrue="1" operator="greaterThan">
      <formula>0</formula>
    </cfRule>
  </conditionalFormatting>
  <conditionalFormatting sqref="L13:M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2021-12-01T09:02:04Z</cp:lastPrinted>
  <dcterms:created xsi:type="dcterms:W3CDTF">2006-10-16T02:50:45Z</dcterms:created>
  <dcterms:modified xsi:type="dcterms:W3CDTF">2023-07-02T23:27:52Z</dcterms:modified>
</cp:coreProperties>
</file>