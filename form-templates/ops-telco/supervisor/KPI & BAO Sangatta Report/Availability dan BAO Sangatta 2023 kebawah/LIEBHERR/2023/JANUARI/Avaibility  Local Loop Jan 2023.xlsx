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<sst xmlns="http://schemas.openxmlformats.org/spreadsheetml/2006/main" count="56" uniqueCount="22">
  <si>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</si>
  <si>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</si>
  <si>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</si>
  <si>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</si>
  <si>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</si>
  <si>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</si>
  <si>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</si>
  <si>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</si>
  <si>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</si>
  <si>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</si>
  <si>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</si>
  <si>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</si>
  <si>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</si>
  <si>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</si>
  <si>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</si>
  <si>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</si>
  <si>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</si>
  <si>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</si>
  <si>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</si>
  <si>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</si>
  <si>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</si>
  <si>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 xml:space="preserve">      Problem Link dari sisi Liebherr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</si>
</sst>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4"/>
      <name val="Tahoma"/>
      <family val="2"/>
    </font>
    <font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8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0" fontId="39" fillId="0" borderId="0" xfId="0" applyFont="1"/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35" sqref="B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44927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5" t="s">
        <v>2</v>
      </c>
      <c r="B10" s="87" t="s">
        <v>0</v>
      </c>
      <c r="C10" s="89" t="s">
        <v>7</v>
      </c>
      <c r="D10" s="23">
        <v>44562</v>
      </c>
      <c r="E10" s="23">
        <v>44563</v>
      </c>
      <c r="F10" s="23">
        <v>44564</v>
      </c>
      <c r="G10" s="23">
        <v>44565</v>
      </c>
      <c r="H10" s="23">
        <v>44566</v>
      </c>
      <c r="I10" s="23">
        <v>44567</v>
      </c>
      <c r="J10" s="23">
        <v>44568</v>
      </c>
      <c r="K10" s="23">
        <v>44569</v>
      </c>
      <c r="L10" s="23">
        <v>44570</v>
      </c>
      <c r="M10" s="23">
        <v>44571</v>
      </c>
      <c r="N10" s="23">
        <v>44572</v>
      </c>
      <c r="O10" s="23">
        <v>44573</v>
      </c>
      <c r="P10" s="23">
        <v>44574</v>
      </c>
      <c r="Q10" s="23">
        <v>44575</v>
      </c>
      <c r="R10" s="23">
        <v>44576</v>
      </c>
      <c r="S10" s="23">
        <v>44577</v>
      </c>
      <c r="T10" s="23">
        <v>44578</v>
      </c>
      <c r="U10" s="23">
        <v>44579</v>
      </c>
      <c r="V10" s="23">
        <v>44580</v>
      </c>
      <c r="W10" s="23">
        <v>44581</v>
      </c>
      <c r="X10" s="23">
        <v>44582</v>
      </c>
      <c r="Y10" s="23">
        <v>44583</v>
      </c>
      <c r="Z10" s="23">
        <v>44584</v>
      </c>
      <c r="AA10" s="23">
        <v>44585</v>
      </c>
      <c r="AB10" s="23">
        <v>44586</v>
      </c>
      <c r="AC10" s="23">
        <v>44587</v>
      </c>
      <c r="AD10" s="23">
        <v>44588</v>
      </c>
      <c r="AE10" s="23">
        <v>44589</v>
      </c>
      <c r="AF10" s="23">
        <v>44590</v>
      </c>
      <c r="AG10" s="23">
        <v>44591</v>
      </c>
      <c r="AH10" s="69">
        <v>44592</v>
      </c>
    </row>
    <row r="11" spans="1:34" s="1" customFormat="1" x14ac:dyDescent="0.2">
      <c r="A11" s="86"/>
      <c r="B11" s="88"/>
      <c r="C11" s="9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0</v>
      </c>
      <c r="F13" s="49">
        <v>0</v>
      </c>
      <c r="G13" s="62">
        <v>0</v>
      </c>
      <c r="H13" s="62">
        <v>7.0254629629629634E-3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5.6319444444444443E-2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6.9444444444444441E-3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8">
        <v>0</v>
      </c>
    </row>
    <row r="14" spans="1:34" s="15" customFormat="1" ht="12.75" customHeight="1" x14ac:dyDescent="0.2">
      <c r="A14" s="101" t="s">
        <v>20</v>
      </c>
      <c r="B14" s="102"/>
      <c r="C14" s="93">
        <v>44931</v>
      </c>
      <c r="D14" s="95" t="s">
        <v>21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03"/>
      <c r="B15" s="104"/>
      <c r="C15" s="94"/>
      <c r="D15" s="97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03"/>
      <c r="B16" s="104"/>
      <c r="C16" s="99">
        <v>44940</v>
      </c>
      <c r="D16" s="95" t="s">
        <v>21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03"/>
      <c r="B17" s="104"/>
      <c r="C17" s="100"/>
      <c r="D17" s="97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03"/>
      <c r="B18" s="104"/>
      <c r="C18" s="93">
        <v>44948</v>
      </c>
      <c r="D18" s="95" t="s">
        <v>21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03"/>
      <c r="B19" s="104"/>
      <c r="C19" s="94"/>
      <c r="D19" s="97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05"/>
      <c r="B20" s="106"/>
      <c r="C20" s="83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80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2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92" t="s">
        <v>2</v>
      </c>
      <c r="B24" s="92" t="s">
        <v>8</v>
      </c>
      <c r="C24" s="92" t="s">
        <v>1</v>
      </c>
      <c r="D24" s="91" t="s">
        <v>6</v>
      </c>
      <c r="E24" s="91"/>
      <c r="F24" s="19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AC24" s="39"/>
    </row>
    <row r="25" spans="1:34" s="15" customFormat="1" x14ac:dyDescent="0.2">
      <c r="A25" s="92"/>
      <c r="B25" s="92"/>
      <c r="C25" s="92"/>
      <c r="D25" s="35" t="s">
        <v>9</v>
      </c>
      <c r="E25" s="29" t="s">
        <v>10</v>
      </c>
      <c r="F25" s="19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0.99773260155316612</v>
      </c>
      <c r="D26" s="26" t="str">
        <f>TEXT(SUM(D13:AF13),"[h]")</f>
        <v>1</v>
      </c>
      <c r="E26" s="26" t="str">
        <f>TEXT(SUM(D13:AF13),"mm ss")</f>
        <v>41 13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7" t="s">
        <v>18</v>
      </c>
      <c r="C30" s="64">
        <f>C26</f>
        <v>0.99773260155316612</v>
      </c>
      <c r="G30" s="66"/>
      <c r="H30" s="43"/>
    </row>
    <row r="32" spans="1:34" x14ac:dyDescent="0.2">
      <c r="H32" s="60"/>
      <c r="I32" s="19"/>
    </row>
    <row r="33" spans="2:32" x14ac:dyDescent="0.2">
      <c r="B33" s="84"/>
    </row>
    <row r="35" spans="2:32" ht="18" x14ac:dyDescent="0.25">
      <c r="B35" s="65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N17"/>
    <mergeCell ref="G24:Q25"/>
  </mergeCells>
  <phoneticPr fontId="9" type="noConversion"/>
  <conditionalFormatting sqref="Y13">
    <cfRule type="cellIs" dxfId="5" priority="33" stopIfTrue="1" operator="greaterThan">
      <formula>0</formula>
    </cfRule>
  </conditionalFormatting>
  <conditionalFormatting sqref="D13:X13">
    <cfRule type="cellIs" dxfId="4" priority="15" stopIfTrue="1" operator="greaterThan">
      <formula>0</formula>
    </cfRule>
  </conditionalFormatting>
  <conditionalFormatting sqref="AF13">
    <cfRule type="cellIs" dxfId="3" priority="11" stopIfTrue="1" operator="greaterThan">
      <formula>0</formula>
    </cfRule>
  </conditionalFormatting>
  <conditionalFormatting sqref="Z13 AB13:AE13">
    <cfRule type="cellIs" dxfId="2" priority="10" stopIfTrue="1" operator="greaterThan">
      <formula>0</formula>
    </cfRule>
  </conditionalFormatting>
  <conditionalFormatting sqref="AG13">
    <cfRule type="cellIs" dxfId="1" priority="4" stopIfTrue="1" operator="greaterThan">
      <formula>0</formula>
    </cfRule>
  </conditionalFormatting>
  <conditionalFormatting sqref="AA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2023-02-01T08:50:59Z</dcterms:modified>
</cp:coreProperties>
</file>