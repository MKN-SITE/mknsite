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0" defaultThemeVersion="124226"/>
  <bookViews>
    <workbookView xWindow="0" yWindow="540" windowWidth="15480" windowHeight="11100"/>
  </bookViews>
  <sheets>
    <sheet name="LINK Liebherr Megashop" sheetId="11" r:id="rId1"/>
  </sheets>
  <calcPr calcId="144525"/>
</workbook>
</file>

<file path=xl/calcChain.xml><?xml version="1.0" encoding="utf-8"?>
<calcChain xmlns="http://schemas.openxmlformats.org/spreadsheetml/2006/main">
  <c r="E26" i="11" l="1"/>
  <c r="D26" i="11"/>
  <c r="C26" i="11" l="1"/>
  <c r="C30" i="11" s="1"/>
</calcChain>
</file>

<file path=xl/sharedStrings.xml><?xml version="1.0" encoding="utf-8"?>
<sst xmlns="http://schemas.openxmlformats.org/spreadsheetml/2006/main" count="51" uniqueCount="22">
  <si>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</si>
  <si>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</si>
  <si>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</si>
  <si>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</si>
  <si>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</si>
  <si>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</si>
  <si>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</si>
  <si>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</si>
  <si>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</si>
  <si>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</si>
  <si>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</si>
  <si>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</si>
  <si>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</si>
  <si>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</si>
  <si>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Link Wireless  to Megashop</t>
  </si>
  <si>
    <t>LIEBHERR MEGASHOP</t>
  </si>
  <si>
    <r>
      <t>Availability</t>
    </r>
    <r>
      <rPr>
        <b/>
        <sz val="10"/>
        <rFont val="Tahoma"/>
        <family val="2"/>
      </rPr>
      <t xml:space="preserve"> </t>
    </r>
  </si>
  <si>
    <t>Link MRC Local Loop PT NAP Info Lintas Nusa</t>
  </si>
  <si>
    <t>LINK MRC Local Loop PT NAP Info Lintas Nusa</t>
  </si>
  <si>
    <t xml:space="preserve">Device Availability MRC Local Loop PT NAP INFO LINTAS NUSA </t>
  </si>
  <si>
    <t>Remaks</t>
  </si>
  <si>
    <t xml:space="preserve">                Problem Network Looping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</si>
</sst>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41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9"/>
      <name val="Tahoma"/>
      <family val="2"/>
    </font>
    <font>
      <sz val="11"/>
      <name val="Tahoma"/>
      <family val="2"/>
    </font>
    <font>
      <sz val="14"/>
      <name val="Tahoma"/>
      <family val="2"/>
    </font>
    <font>
      <sz val="10"/>
      <color theme="0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8" applyNumberFormat="0" applyAlignment="0" applyProtection="0"/>
    <xf numFmtId="0" fontId="26" fillId="6" borderId="9" applyNumberFormat="0" applyAlignment="0" applyProtection="0"/>
    <xf numFmtId="0" fontId="27" fillId="6" borderId="8" applyNumberFormat="0" applyAlignment="0" applyProtection="0"/>
    <xf numFmtId="0" fontId="28" fillId="0" borderId="10" applyNumberFormat="0" applyFill="0" applyAlignment="0" applyProtection="0"/>
    <xf numFmtId="0" fontId="29" fillId="7" borderId="11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119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Border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5" fillId="0" borderId="0" xfId="0" applyFont="1"/>
    <xf numFmtId="9" fontId="13" fillId="0" borderId="2" xfId="0" applyNumberFormat="1" applyFont="1" applyBorder="1" applyAlignment="1">
      <alignment horizontal="center"/>
    </xf>
    <xf numFmtId="0" fontId="8" fillId="0" borderId="0" xfId="0" applyNumberFormat="1" applyFont="1" applyBorder="1" applyAlignment="1">
      <alignment horizontal="left" vertical="center"/>
    </xf>
    <xf numFmtId="16" fontId="8" fillId="0" borderId="3" xfId="0" applyNumberFormat="1" applyFont="1" applyBorder="1" applyAlignment="1">
      <alignment horizont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0" fontId="6" fillId="0" borderId="0" xfId="0" applyNumberFormat="1" applyFont="1" applyAlignment="1"/>
    <xf numFmtId="9" fontId="6" fillId="0" borderId="0" xfId="1" applyFont="1" applyAlignment="1"/>
    <xf numFmtId="0" fontId="8" fillId="0" borderId="1" xfId="0" applyFont="1" applyBorder="1" applyAlignment="1">
      <alignment horizontal="center"/>
    </xf>
    <xf numFmtId="0" fontId="8" fillId="0" borderId="0" xfId="0" applyFont="1" applyBorder="1" applyAlignment="1">
      <alignment horizontal="left"/>
    </xf>
    <xf numFmtId="0" fontId="8" fillId="0" borderId="0" xfId="0" applyFont="1" applyBorder="1"/>
    <xf numFmtId="0" fontId="6" fillId="0" borderId="0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0" fontId="9" fillId="0" borderId="0" xfId="0" applyFont="1" applyAlignme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0" fontId="34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16" xfId="0" applyFont="1" applyBorder="1"/>
    <xf numFmtId="0" fontId="6" fillId="0" borderId="19" xfId="0" applyFont="1" applyBorder="1"/>
    <xf numFmtId="0" fontId="6" fillId="0" borderId="20" xfId="0" applyFont="1" applyBorder="1" applyAlignment="1"/>
    <xf numFmtId="0" fontId="6" fillId="0" borderId="20" xfId="0" applyFont="1" applyBorder="1"/>
    <xf numFmtId="0" fontId="6" fillId="0" borderId="21" xfId="0" applyFont="1" applyBorder="1" applyAlignment="1"/>
    <xf numFmtId="0" fontId="6" fillId="0" borderId="21" xfId="0" applyFont="1" applyBorder="1"/>
    <xf numFmtId="0" fontId="13" fillId="0" borderId="0" xfId="0" applyFont="1" applyAlignment="1">
      <alignment horizontal="left" vertical="top"/>
    </xf>
    <xf numFmtId="10" fontId="11" fillId="0" borderId="0" xfId="0" applyNumberFormat="1" applyFont="1" applyBorder="1" applyAlignment="1">
      <alignment horizontal="center" vertical="center"/>
    </xf>
    <xf numFmtId="46" fontId="36" fillId="0" borderId="4" xfId="0" applyNumberFormat="1" applyFont="1" applyBorder="1" applyAlignment="1">
      <alignment vertical="top"/>
    </xf>
    <xf numFmtId="0" fontId="37" fillId="0" borderId="0" xfId="0" applyFont="1" applyAlignment="1"/>
    <xf numFmtId="0" fontId="38" fillId="0" borderId="0" xfId="0" applyFont="1" applyAlignment="1"/>
    <xf numFmtId="10" fontId="10" fillId="0" borderId="1" xfId="0" applyNumberFormat="1" applyFont="1" applyBorder="1" applyAlignment="1">
      <alignment horizontal="center"/>
    </xf>
    <xf numFmtId="0" fontId="39" fillId="0" borderId="0" xfId="0" applyFont="1"/>
    <xf numFmtId="0" fontId="12" fillId="0" borderId="0" xfId="0" applyFont="1" applyAlignment="1"/>
    <xf numFmtId="0" fontId="8" fillId="0" borderId="3" xfId="0" applyFont="1" applyBorder="1"/>
    <xf numFmtId="0" fontId="0" fillId="0" borderId="17" xfId="0" applyBorder="1"/>
    <xf numFmtId="0" fontId="35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0" fontId="6" fillId="0" borderId="0" xfId="0" applyNumberFormat="1" applyFont="1" applyBorder="1" applyAlignment="1">
      <alignment horizontal="left" vertical="center"/>
    </xf>
    <xf numFmtId="0" fontId="6" fillId="0" borderId="0" xfId="0" applyFont="1" applyBorder="1" applyAlignment="1"/>
    <xf numFmtId="0" fontId="6" fillId="0" borderId="0" xfId="0" applyFont="1" applyBorder="1"/>
    <xf numFmtId="16" fontId="8" fillId="0" borderId="0" xfId="0" applyNumberFormat="1" applyFont="1" applyBorder="1" applyAlignment="1">
      <alignment horizontal="center"/>
    </xf>
    <xf numFmtId="0" fontId="6" fillId="0" borderId="22" xfId="0" applyFont="1" applyBorder="1" applyAlignment="1">
      <alignment horizontal="center" vertical="top"/>
    </xf>
    <xf numFmtId="0" fontId="34" fillId="0" borderId="22" xfId="0" applyFont="1" applyBorder="1" applyAlignment="1">
      <alignment vertical="top"/>
    </xf>
    <xf numFmtId="10" fontId="6" fillId="0" borderId="23" xfId="0" applyNumberFormat="1" applyFont="1" applyBorder="1" applyAlignment="1">
      <alignment horizontal="left" vertical="center"/>
    </xf>
    <xf numFmtId="0" fontId="6" fillId="0" borderId="23" xfId="0" applyFont="1" applyBorder="1" applyAlignment="1"/>
    <xf numFmtId="0" fontId="6" fillId="0" borderId="23" xfId="0" applyFont="1" applyBorder="1"/>
    <xf numFmtId="15" fontId="6" fillId="0" borderId="3" xfId="0" applyNumberFormat="1" applyFont="1" applyBorder="1" applyAlignment="1">
      <alignment horizontal="center" vertical="center"/>
    </xf>
    <xf numFmtId="10" fontId="6" fillId="0" borderId="20" xfId="0" applyNumberFormat="1" applyFont="1" applyBorder="1" applyAlignment="1">
      <alignment horizontal="left" vertical="center"/>
    </xf>
    <xf numFmtId="10" fontId="6" fillId="0" borderId="21" xfId="0" applyNumberFormat="1" applyFont="1" applyBorder="1" applyAlignment="1">
      <alignment horizontal="left" vertical="center"/>
    </xf>
    <xf numFmtId="0" fontId="40" fillId="0" borderId="0" xfId="0" applyFont="1" applyAlignment="1"/>
    <xf numFmtId="15" fontId="6" fillId="0" borderId="21" xfId="0" applyNumberFormat="1" applyFont="1" applyBorder="1" applyAlignment="1">
      <alignment horizontal="center" vertical="center"/>
    </xf>
    <xf numFmtId="15" fontId="6" fillId="0" borderId="20" xfId="0" applyNumberFormat="1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9" fontId="13" fillId="0" borderId="0" xfId="0" applyNumberFormat="1" applyFont="1" applyBorder="1" applyAlignment="1">
      <alignment horizontal="center"/>
    </xf>
    <xf numFmtId="0" fontId="0" fillId="0" borderId="0" xfId="0" applyBorder="1"/>
    <xf numFmtId="46" fontId="0" fillId="0" borderId="0" xfId="0" applyNumberFormat="1" applyBorder="1" applyAlignment="1">
      <alignment vertical="top"/>
    </xf>
    <xf numFmtId="21" fontId="6" fillId="0" borderId="0" xfId="0" applyNumberFormat="1" applyFont="1" applyBorder="1" applyAlignment="1">
      <alignment horizontal="center" vertical="top"/>
    </xf>
    <xf numFmtId="0" fontId="6" fillId="0" borderId="24" xfId="0" applyFont="1" applyBorder="1"/>
    <xf numFmtId="16" fontId="8" fillId="0" borderId="1" xfId="0" applyNumberFormat="1" applyFont="1" applyBorder="1" applyAlignment="1">
      <alignment horizont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5" fontId="6" fillId="0" borderId="16" xfId="0" applyNumberFormat="1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10" fontId="6" fillId="0" borderId="20" xfId="0" applyNumberFormat="1" applyFont="1" applyBorder="1" applyAlignment="1">
      <alignment horizontal="left" vertical="center"/>
    </xf>
    <xf numFmtId="10" fontId="6" fillId="0" borderId="17" xfId="0" applyNumberFormat="1" applyFont="1" applyBorder="1" applyAlignment="1">
      <alignment horizontal="left" vertical="center"/>
    </xf>
    <xf numFmtId="10" fontId="6" fillId="0" borderId="0" xfId="0" applyNumberFormat="1" applyFont="1" applyBorder="1" applyAlignment="1">
      <alignment horizontal="left" vertical="center"/>
    </xf>
    <xf numFmtId="15" fontId="6" fillId="0" borderId="14" xfId="0" applyNumberFormat="1" applyFont="1" applyBorder="1" applyAlignment="1">
      <alignment horizontal="center" vertical="center"/>
    </xf>
    <xf numFmtId="15" fontId="6" fillId="0" borderId="15" xfId="0" applyNumberFormat="1" applyFont="1" applyBorder="1" applyAlignment="1">
      <alignment horizontal="center" vertical="center"/>
    </xf>
    <xf numFmtId="10" fontId="6" fillId="0" borderId="15" xfId="0" applyNumberFormat="1" applyFont="1" applyBorder="1" applyAlignment="1">
      <alignment horizontal="left" vertical="center"/>
    </xf>
    <xf numFmtId="10" fontId="6" fillId="0" borderId="21" xfId="0" applyNumberFormat="1" applyFont="1" applyBorder="1" applyAlignment="1">
      <alignment horizontal="left" vertical="center"/>
    </xf>
    <xf numFmtId="0" fontId="35" fillId="0" borderId="14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 vertical="center"/>
    </xf>
    <xf numFmtId="0" fontId="35" fillId="0" borderId="17" xfId="0" applyFont="1" applyBorder="1" applyAlignment="1">
      <alignment horizontal="center" vertical="center"/>
    </xf>
    <xf numFmtId="0" fontId="35" fillId="0" borderId="18" xfId="0" applyFont="1" applyBorder="1" applyAlignment="1">
      <alignment horizontal="center" vertical="center"/>
    </xf>
    <xf numFmtId="0" fontId="35" fillId="0" borderId="15" xfId="0" applyFont="1" applyBorder="1" applyAlignment="1">
      <alignment horizontal="center" vertical="center"/>
    </xf>
    <xf numFmtId="0" fontId="35" fillId="0" borderId="19" xfId="0" applyFont="1" applyBorder="1" applyAlignment="1">
      <alignment horizontal="center" vertical="center"/>
    </xf>
    <xf numFmtId="15" fontId="8" fillId="0" borderId="16" xfId="0" applyNumberFormat="1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10" fontId="8" fillId="0" borderId="14" xfId="0" applyNumberFormat="1" applyFont="1" applyBorder="1" applyAlignment="1">
      <alignment horizontal="left" vertical="center"/>
    </xf>
    <xf numFmtId="10" fontId="8" fillId="0" borderId="20" xfId="0" applyNumberFormat="1" applyFont="1" applyBorder="1" applyAlignment="1">
      <alignment horizontal="left" vertical="center"/>
    </xf>
    <xf numFmtId="10" fontId="8" fillId="0" borderId="17" xfId="0" applyNumberFormat="1" applyFont="1" applyBorder="1" applyAlignment="1">
      <alignment horizontal="left" vertical="center"/>
    </xf>
    <xf numFmtId="10" fontId="8" fillId="0" borderId="0" xfId="0" applyNumberFormat="1" applyFont="1" applyBorder="1" applyAlignment="1">
      <alignment horizontal="left" vertical="center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46"/>
  <sheetViews>
    <sheetView tabSelected="1" zoomScale="80" zoomScaleNormal="80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H28" sqref="H28:I29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2" customWidth="1"/>
    <col min="5" max="16" width="9.140625" style="14" customWidth="1"/>
    <col min="17" max="30" width="9.140625" customWidth="1"/>
    <col min="31" max="31" width="9.7109375" customWidth="1"/>
    <col min="32" max="33" width="9.140625" customWidth="1"/>
    <col min="34" max="34" width="9.85546875" customWidth="1"/>
  </cols>
  <sheetData>
    <row r="1" spans="1:34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4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4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4" s="3" customFormat="1" x14ac:dyDescent="0.2">
      <c r="A4" s="5" t="s">
        <v>19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4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4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4" s="3" customFormat="1" x14ac:dyDescent="0.2">
      <c r="A7" s="5" t="s">
        <v>4</v>
      </c>
      <c r="B7" s="6"/>
      <c r="C7" s="44">
        <v>44593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4" s="3" customFormat="1" x14ac:dyDescent="0.2">
      <c r="A8" s="5" t="s">
        <v>5</v>
      </c>
      <c r="B8" s="8"/>
      <c r="C8" s="22">
        <v>28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4" s="3" customFormat="1" x14ac:dyDescent="0.2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4" s="3" customFormat="1" x14ac:dyDescent="0.2">
      <c r="A10" s="90" t="s">
        <v>2</v>
      </c>
      <c r="B10" s="92" t="s">
        <v>0</v>
      </c>
      <c r="C10" s="94" t="s">
        <v>7</v>
      </c>
      <c r="D10" s="23">
        <v>44593</v>
      </c>
      <c r="E10" s="23">
        <v>44594</v>
      </c>
      <c r="F10" s="23">
        <v>44595</v>
      </c>
      <c r="G10" s="23">
        <v>44596</v>
      </c>
      <c r="H10" s="23">
        <v>44597</v>
      </c>
      <c r="I10" s="23">
        <v>44598</v>
      </c>
      <c r="J10" s="23">
        <v>44599</v>
      </c>
      <c r="K10" s="23">
        <v>44600</v>
      </c>
      <c r="L10" s="23">
        <v>44601</v>
      </c>
      <c r="M10" s="23">
        <v>44602</v>
      </c>
      <c r="N10" s="23">
        <v>44603</v>
      </c>
      <c r="O10" s="23">
        <v>44604</v>
      </c>
      <c r="P10" s="23">
        <v>44605</v>
      </c>
      <c r="Q10" s="23">
        <v>44606</v>
      </c>
      <c r="R10" s="23">
        <v>44607</v>
      </c>
      <c r="S10" s="23">
        <v>44608</v>
      </c>
      <c r="T10" s="23">
        <v>44609</v>
      </c>
      <c r="U10" s="23">
        <v>44610</v>
      </c>
      <c r="V10" s="23">
        <v>44611</v>
      </c>
      <c r="W10" s="23">
        <v>44612</v>
      </c>
      <c r="X10" s="23">
        <v>44613</v>
      </c>
      <c r="Y10" s="23">
        <v>44614</v>
      </c>
      <c r="Z10" s="23">
        <v>44615</v>
      </c>
      <c r="AA10" s="23">
        <v>44616</v>
      </c>
      <c r="AB10" s="23">
        <v>44617</v>
      </c>
      <c r="AC10" s="23">
        <v>44618</v>
      </c>
      <c r="AD10" s="23">
        <v>44619</v>
      </c>
      <c r="AE10" s="89">
        <v>44620</v>
      </c>
      <c r="AF10" s="71"/>
      <c r="AG10" s="71"/>
      <c r="AH10" s="71"/>
    </row>
    <row r="11" spans="1:34" s="1" customFormat="1" x14ac:dyDescent="0.2">
      <c r="A11" s="91"/>
      <c r="B11" s="93"/>
      <c r="C11" s="95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  <c r="AF11" s="83"/>
      <c r="AG11" s="83"/>
      <c r="AH11" s="83"/>
    </row>
    <row r="12" spans="1:34" x14ac:dyDescent="0.2">
      <c r="A12" s="41"/>
      <c r="B12" s="65"/>
      <c r="C12" s="42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84"/>
      <c r="AG12" s="84"/>
      <c r="AH12" s="85"/>
    </row>
    <row r="13" spans="1:34" s="49" customFormat="1" ht="106.5" customHeight="1" x14ac:dyDescent="0.2">
      <c r="A13" s="72">
        <v>1</v>
      </c>
      <c r="B13" s="73" t="s">
        <v>14</v>
      </c>
      <c r="C13" s="47" t="s">
        <v>15</v>
      </c>
      <c r="D13" s="48">
        <v>0</v>
      </c>
      <c r="E13" s="48">
        <v>2.101851851851852E-2</v>
      </c>
      <c r="F13" s="48">
        <v>0</v>
      </c>
      <c r="G13" s="58">
        <v>0</v>
      </c>
      <c r="H13" s="58">
        <v>0</v>
      </c>
      <c r="I13" s="48">
        <v>0</v>
      </c>
      <c r="J13" s="48">
        <v>0</v>
      </c>
      <c r="K13" s="48">
        <v>0</v>
      </c>
      <c r="L13" s="48">
        <v>0</v>
      </c>
      <c r="M13" s="48">
        <v>0</v>
      </c>
      <c r="N13" s="48">
        <v>0</v>
      </c>
      <c r="O13" s="48">
        <v>0</v>
      </c>
      <c r="P13" s="48">
        <v>0</v>
      </c>
      <c r="Q13" s="48">
        <v>0</v>
      </c>
      <c r="R13" s="48">
        <v>0</v>
      </c>
      <c r="S13" s="48">
        <v>0</v>
      </c>
      <c r="T13" s="48">
        <v>0</v>
      </c>
      <c r="U13" s="48">
        <v>0</v>
      </c>
      <c r="V13" s="48">
        <v>0</v>
      </c>
      <c r="W13" s="48">
        <v>0</v>
      </c>
      <c r="X13" s="48">
        <v>0</v>
      </c>
      <c r="Y13" s="48">
        <v>0</v>
      </c>
      <c r="Z13" s="48">
        <v>0</v>
      </c>
      <c r="AA13" s="58">
        <v>0</v>
      </c>
      <c r="AB13" s="48">
        <v>0</v>
      </c>
      <c r="AC13" s="48">
        <v>0</v>
      </c>
      <c r="AD13" s="48">
        <v>0</v>
      </c>
      <c r="AE13" s="48">
        <v>0</v>
      </c>
      <c r="AF13" s="86"/>
      <c r="AG13" s="86"/>
      <c r="AH13" s="87"/>
    </row>
    <row r="14" spans="1:34" s="15" customFormat="1" ht="12.75" customHeight="1" x14ac:dyDescent="0.2">
      <c r="A14" s="107" t="s">
        <v>20</v>
      </c>
      <c r="B14" s="108"/>
      <c r="C14" s="113">
        <v>44959</v>
      </c>
      <c r="D14" s="115" t="s">
        <v>21</v>
      </c>
      <c r="E14" s="116"/>
      <c r="F14" s="116"/>
      <c r="G14" s="116"/>
      <c r="H14" s="116"/>
      <c r="I14" s="116"/>
      <c r="J14" s="116"/>
      <c r="K14" s="116"/>
      <c r="L14" s="116"/>
      <c r="M14" s="116"/>
      <c r="N14" s="116"/>
      <c r="O14" s="52"/>
      <c r="P14" s="52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0"/>
      <c r="AF14" s="70"/>
      <c r="AG14" s="70"/>
      <c r="AH14" s="70"/>
    </row>
    <row r="15" spans="1:34" s="15" customFormat="1" ht="12.75" customHeight="1" x14ac:dyDescent="0.2">
      <c r="A15" s="109"/>
      <c r="B15" s="110"/>
      <c r="C15" s="114"/>
      <c r="D15" s="117"/>
      <c r="E15" s="118"/>
      <c r="F15" s="118"/>
      <c r="G15" s="118"/>
      <c r="H15" s="118"/>
      <c r="I15" s="118"/>
      <c r="J15" s="118"/>
      <c r="K15" s="118"/>
      <c r="L15" s="118"/>
      <c r="M15" s="118"/>
      <c r="N15" s="118"/>
      <c r="O15" s="54"/>
      <c r="P15" s="54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1"/>
      <c r="AF15" s="70"/>
      <c r="AG15" s="70"/>
      <c r="AH15" s="70"/>
    </row>
    <row r="16" spans="1:34" s="15" customFormat="1" ht="12.75" customHeight="1" x14ac:dyDescent="0.2">
      <c r="A16" s="109"/>
      <c r="B16" s="110"/>
      <c r="C16" s="103"/>
      <c r="D16" s="100"/>
      <c r="E16" s="100"/>
      <c r="F16" s="100"/>
      <c r="G16" s="100"/>
      <c r="H16" s="100"/>
      <c r="I16" s="100"/>
      <c r="J16" s="100"/>
      <c r="K16" s="82"/>
      <c r="L16" s="78"/>
      <c r="M16" s="78"/>
      <c r="N16" s="78"/>
      <c r="O16" s="52"/>
      <c r="P16" s="52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0"/>
      <c r="AF16" s="70"/>
      <c r="AG16" s="70"/>
      <c r="AH16" s="70"/>
    </row>
    <row r="17" spans="1:34" s="15" customFormat="1" ht="12.75" customHeight="1" x14ac:dyDescent="0.2">
      <c r="A17" s="109"/>
      <c r="B17" s="110"/>
      <c r="C17" s="104"/>
      <c r="D17" s="106"/>
      <c r="E17" s="106"/>
      <c r="F17" s="106"/>
      <c r="G17" s="106"/>
      <c r="H17" s="106"/>
      <c r="I17" s="106"/>
      <c r="J17" s="106"/>
      <c r="K17" s="81"/>
      <c r="L17" s="79"/>
      <c r="M17" s="79"/>
      <c r="N17" s="79"/>
      <c r="O17" s="54"/>
      <c r="P17" s="54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1"/>
      <c r="AF17" s="70"/>
      <c r="AG17" s="70"/>
      <c r="AH17" s="70"/>
    </row>
    <row r="18" spans="1:34" s="15" customFormat="1" ht="12.75" customHeight="1" x14ac:dyDescent="0.2">
      <c r="A18" s="109"/>
      <c r="B18" s="110"/>
      <c r="C18" s="98"/>
      <c r="D18" s="101"/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52"/>
      <c r="P18" s="52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0"/>
      <c r="AF18" s="70"/>
      <c r="AG18" s="70"/>
      <c r="AH18" s="70"/>
    </row>
    <row r="19" spans="1:34" s="15" customFormat="1" ht="12.75" customHeight="1" x14ac:dyDescent="0.2">
      <c r="A19" s="109"/>
      <c r="B19" s="110"/>
      <c r="C19" s="99"/>
      <c r="D19" s="105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54"/>
      <c r="P19" s="54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1"/>
      <c r="AF19" s="70"/>
      <c r="AG19" s="70"/>
      <c r="AH19" s="71"/>
    </row>
    <row r="20" spans="1:34" s="15" customFormat="1" ht="25.5" customHeight="1" x14ac:dyDescent="0.2">
      <c r="A20" s="111"/>
      <c r="B20" s="112"/>
      <c r="C20" s="77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5"/>
      <c r="P20" s="75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6"/>
      <c r="AC20" s="76"/>
      <c r="AD20" s="76"/>
      <c r="AE20" s="88"/>
      <c r="AF20" s="70"/>
      <c r="AG20" s="70"/>
      <c r="AH20" s="71"/>
    </row>
    <row r="21" spans="1:34" s="15" customFormat="1" ht="25.5" x14ac:dyDescent="0.2">
      <c r="A21" s="66"/>
      <c r="B21" s="66"/>
      <c r="C21" s="67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9"/>
      <c r="P21" s="69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1"/>
    </row>
    <row r="22" spans="1:34" s="15" customFormat="1" x14ac:dyDescent="0.2">
      <c r="A22" s="16"/>
      <c r="D22" s="17"/>
      <c r="E22" s="18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</row>
    <row r="23" spans="1:34" s="15" customFormat="1" x14ac:dyDescent="0.2">
      <c r="A23" s="30" t="s">
        <v>11</v>
      </c>
      <c r="D23" s="17"/>
      <c r="E23" s="18"/>
      <c r="F23" s="19"/>
      <c r="G23" s="19"/>
      <c r="H23" s="19"/>
      <c r="I23" s="19"/>
      <c r="J23" s="19"/>
      <c r="K23" s="19"/>
      <c r="L23" s="19"/>
      <c r="M23" s="19"/>
      <c r="N23" s="19"/>
      <c r="P23" s="19"/>
      <c r="AC23" s="39"/>
    </row>
    <row r="24" spans="1:34" s="15" customFormat="1" ht="14.25" x14ac:dyDescent="0.2">
      <c r="A24" s="97" t="s">
        <v>2</v>
      </c>
      <c r="B24" s="97" t="s">
        <v>8</v>
      </c>
      <c r="C24" s="97" t="s">
        <v>1</v>
      </c>
      <c r="D24" s="96" t="s">
        <v>6</v>
      </c>
      <c r="E24" s="96"/>
      <c r="F24" s="19"/>
      <c r="G24" s="80"/>
      <c r="H24" s="60"/>
      <c r="I24" s="19"/>
      <c r="J24" s="19"/>
      <c r="K24" s="19"/>
      <c r="L24" s="19"/>
      <c r="M24" s="19"/>
      <c r="N24" s="19"/>
      <c r="P24" s="19"/>
      <c r="AC24" s="39"/>
    </row>
    <row r="25" spans="1:34" s="15" customFormat="1" x14ac:dyDescent="0.2">
      <c r="A25" s="97"/>
      <c r="B25" s="97"/>
      <c r="C25" s="97"/>
      <c r="D25" s="35" t="s">
        <v>9</v>
      </c>
      <c r="E25" s="29" t="s">
        <v>10</v>
      </c>
      <c r="F25" s="19"/>
      <c r="G25" s="19"/>
      <c r="H25" s="19"/>
      <c r="I25" s="19"/>
      <c r="J25" s="19"/>
      <c r="K25" s="19"/>
      <c r="L25" s="19"/>
      <c r="M25" s="19"/>
      <c r="N25" s="19"/>
      <c r="P25" s="19"/>
      <c r="AC25" s="39"/>
    </row>
    <row r="26" spans="1:34" s="20" customFormat="1" ht="15.75" x14ac:dyDescent="0.25">
      <c r="A26" s="45">
        <v>1</v>
      </c>
      <c r="B26" s="46" t="s">
        <v>17</v>
      </c>
      <c r="C26" s="40">
        <f>1-(((D26*3600)+(LEFT(E26,2)*60)+RIGHT(E26,2))/((60*60*24)*$C$8))</f>
        <v>0.99924933862433862</v>
      </c>
      <c r="D26" s="26" t="str">
        <f>TEXT(SUM(D13:AE13),"[h]")</f>
        <v>0</v>
      </c>
      <c r="E26" s="26" t="str">
        <f>TEXT(SUM(D13:AE13),"mm ss")</f>
        <v>30 16</v>
      </c>
      <c r="F26" s="27"/>
      <c r="G26" s="19"/>
      <c r="H26" s="28"/>
      <c r="I26" s="19"/>
      <c r="J26" s="19"/>
      <c r="K26" s="19"/>
      <c r="L26" s="19"/>
      <c r="M26" s="19"/>
      <c r="N26" s="19"/>
      <c r="O26" s="15"/>
      <c r="P26" s="19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39"/>
      <c r="AD26" s="15"/>
      <c r="AE26" s="15"/>
      <c r="AF26" s="15"/>
      <c r="AG26" s="15"/>
      <c r="AH26" s="15"/>
    </row>
    <row r="27" spans="1:34" x14ac:dyDescent="0.2">
      <c r="A27" s="16"/>
      <c r="B27" s="15"/>
      <c r="C27" s="34"/>
      <c r="D27" s="32"/>
      <c r="E27" s="33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</row>
    <row r="28" spans="1:34" x14ac:dyDescent="0.2">
      <c r="A28" s="16"/>
      <c r="B28" s="15"/>
      <c r="C28" s="15"/>
      <c r="D28" s="17"/>
      <c r="E28" s="18"/>
      <c r="F28" s="19"/>
      <c r="G28" s="19"/>
      <c r="H28" s="19"/>
      <c r="I28" s="59"/>
      <c r="J28" s="19"/>
      <c r="K28" s="19"/>
      <c r="L28" s="19"/>
      <c r="M28" s="19"/>
      <c r="N28" s="19"/>
      <c r="O28" s="19"/>
      <c r="P28" s="19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20"/>
    </row>
    <row r="29" spans="1:34" x14ac:dyDescent="0.2">
      <c r="A29" s="18"/>
      <c r="B29" s="31" t="s">
        <v>16</v>
      </c>
      <c r="C29" s="25"/>
      <c r="D29" s="24"/>
      <c r="E29" s="24"/>
      <c r="F29" s="24"/>
      <c r="G29" s="24"/>
      <c r="H29" s="24"/>
      <c r="I29" s="24"/>
      <c r="J29" s="24"/>
      <c r="K29" s="57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0"/>
    </row>
    <row r="30" spans="1:34" ht="14.25" x14ac:dyDescent="0.2">
      <c r="B30" s="64" t="s">
        <v>18</v>
      </c>
      <c r="C30" s="61">
        <f>C26</f>
        <v>0.99924933862433862</v>
      </c>
      <c r="G30" s="63"/>
      <c r="H30" s="43"/>
    </row>
    <row r="32" spans="1:34" x14ac:dyDescent="0.2">
      <c r="H32" s="56"/>
      <c r="I32" s="19"/>
    </row>
    <row r="35" spans="2:32" ht="18" x14ac:dyDescent="0.25">
      <c r="B35" s="62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</row>
    <row r="43" spans="2:32" x14ac:dyDescent="0.2">
      <c r="F43" s="36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</row>
    <row r="44" spans="2:32" x14ac:dyDescent="0.2">
      <c r="F44" s="36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</row>
    <row r="45" spans="2:32" x14ac:dyDescent="0.2">
      <c r="F45" s="36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</row>
    <row r="46" spans="2:32" x14ac:dyDescent="0.2">
      <c r="F46" s="36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</row>
  </sheetData>
  <mergeCells count="14">
    <mergeCell ref="A10:A11"/>
    <mergeCell ref="B10:B11"/>
    <mergeCell ref="C10:C11"/>
    <mergeCell ref="D24:E24"/>
    <mergeCell ref="A24:A25"/>
    <mergeCell ref="B24:B25"/>
    <mergeCell ref="C24:C25"/>
    <mergeCell ref="C14:C15"/>
    <mergeCell ref="C18:C19"/>
    <mergeCell ref="D14:N15"/>
    <mergeCell ref="C16:C17"/>
    <mergeCell ref="D18:N19"/>
    <mergeCell ref="A14:B20"/>
    <mergeCell ref="D16:J17"/>
  </mergeCells>
  <phoneticPr fontId="9" type="noConversion"/>
  <conditionalFormatting sqref="Y13">
    <cfRule type="cellIs" dxfId="4" priority="31" stopIfTrue="1" operator="greaterThan">
      <formula>0</formula>
    </cfRule>
  </conditionalFormatting>
  <conditionalFormatting sqref="D13:X13">
    <cfRule type="cellIs" dxfId="3" priority="13" stopIfTrue="1" operator="greaterThan">
      <formula>0</formula>
    </cfRule>
  </conditionalFormatting>
  <conditionalFormatting sqref="AF13">
    <cfRule type="cellIs" dxfId="2" priority="9" stopIfTrue="1" operator="greaterThan">
      <formula>0</formula>
    </cfRule>
  </conditionalFormatting>
  <conditionalFormatting sqref="Z13:AE13">
    <cfRule type="cellIs" dxfId="1" priority="8" stopIfTrue="1" operator="greaterThan">
      <formula>0</formula>
    </cfRule>
  </conditionalFormatting>
  <conditionalFormatting sqref="AG13">
    <cfRule type="cellIs" dxfId="0" priority="2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 Liebherr Megashop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2007-08-03T02:53:39Z</cp:lastPrinted>
  <dcterms:created xsi:type="dcterms:W3CDTF">2006-10-16T02:50:45Z</dcterms:created>
  <dcterms:modified xsi:type="dcterms:W3CDTF">2023-03-01T07:01:43Z</dcterms:modified>
</cp:coreProperties>
</file>