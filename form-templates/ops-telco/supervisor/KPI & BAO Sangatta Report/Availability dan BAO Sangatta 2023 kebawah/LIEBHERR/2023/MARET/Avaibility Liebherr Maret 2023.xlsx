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B26" i="11"/>
  <c r="C26" i="11" l="1"/>
  <c r="C30" i="11" s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<sst xmlns="http://schemas.openxmlformats.org/spreadsheetml/2006/main" count="55" uniqueCount="23">
  <si>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</si>
  <si>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</si>
  <si>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</si>
  <si>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</si>
  <si>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</si>
  <si>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</si>
  <si>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</si>
  <si>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</si>
  <si>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</si>
  <si>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</si>
  <si>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</si>
  <si>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</si>
  <si>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</si>
  <si>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</si>
  <si>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</si>
  <si>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</si>
  <si>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</si>
  <si>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</si>
  <si>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</si>
  <si>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</si>
  <si>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Maret 2022</t>
  </si>
  <si>
    <t>19 Maret 2023</t>
  </si>
  <si>
    <t xml:space="preserve">        Pemadaman Listrik KPC terkait pemeliharaan Jaringan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</si>
</sst>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1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21" fontId="6" fillId="0" borderId="22" xfId="0" applyNumberFormat="1" applyFont="1" applyBorder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/>
    <xf numFmtId="0" fontId="6" fillId="0" borderId="4" xfId="0" applyFont="1" applyBorder="1"/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6" fillId="0" borderId="14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/>
    </xf>
    <xf numFmtId="10" fontId="6" fillId="0" borderId="15" xfId="0" applyNumberFormat="1" applyFont="1" applyBorder="1" applyAlignment="1">
      <alignment horizontal="center"/>
    </xf>
    <xf numFmtId="10" fontId="6" fillId="0" borderId="2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selection activeCell="H29" sqref="H29"/>
    </sheetView>
  </sheetViews>
  <sheetFormatPr defaultColWidth="7.7109375"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285156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5" t="s">
        <v>20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9" t="s">
        <v>2</v>
      </c>
      <c r="B10" s="69" t="s">
        <v>0</v>
      </c>
      <c r="C10" s="69" t="s">
        <v>7</v>
      </c>
      <c r="D10" s="23">
        <v>44621</v>
      </c>
      <c r="E10" s="23">
        <v>44622</v>
      </c>
      <c r="F10" s="23">
        <v>44623</v>
      </c>
      <c r="G10" s="23">
        <v>44624</v>
      </c>
      <c r="H10" s="23">
        <v>44625</v>
      </c>
      <c r="I10" s="23">
        <v>44626</v>
      </c>
      <c r="J10" s="23">
        <v>44627</v>
      </c>
      <c r="K10" s="23">
        <v>44628</v>
      </c>
      <c r="L10" s="23">
        <v>44629</v>
      </c>
      <c r="M10" s="23">
        <v>44630</v>
      </c>
      <c r="N10" s="23">
        <v>44631</v>
      </c>
      <c r="O10" s="23">
        <v>44632</v>
      </c>
      <c r="P10" s="23">
        <v>44633</v>
      </c>
      <c r="Q10" s="23">
        <v>44634</v>
      </c>
      <c r="R10" s="23">
        <v>44635</v>
      </c>
      <c r="S10" s="23">
        <v>44636</v>
      </c>
      <c r="T10" s="23">
        <v>44637</v>
      </c>
      <c r="U10" s="23">
        <v>44638</v>
      </c>
      <c r="V10" s="23">
        <v>44639</v>
      </c>
      <c r="W10" s="23">
        <v>44640</v>
      </c>
      <c r="X10" s="23">
        <v>44641</v>
      </c>
      <c r="Y10" s="23">
        <v>44642</v>
      </c>
      <c r="Z10" s="23">
        <v>44643</v>
      </c>
      <c r="AA10" s="23">
        <v>44644</v>
      </c>
      <c r="AB10" s="23">
        <v>44645</v>
      </c>
      <c r="AC10" s="23">
        <v>44646</v>
      </c>
      <c r="AD10" s="23">
        <v>44647</v>
      </c>
      <c r="AE10" s="23">
        <v>44648</v>
      </c>
      <c r="AF10" s="23">
        <v>44649</v>
      </c>
      <c r="AG10" s="23">
        <v>44650</v>
      </c>
      <c r="AH10" s="66">
        <v>44651</v>
      </c>
    </row>
    <row r="11" spans="1:34" s="1" customFormat="1" x14ac:dyDescent="0.2">
      <c r="A11" s="70"/>
      <c r="B11" s="70"/>
      <c r="C11" s="70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60" t="s">
        <v>6</v>
      </c>
      <c r="AH11" s="13" t="s">
        <v>6</v>
      </c>
    </row>
    <row r="12" spans="1:34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8"/>
      <c r="AH12" s="43"/>
    </row>
    <row r="13" spans="1:34" s="53" customFormat="1" ht="106.5" customHeight="1" x14ac:dyDescent="0.2">
      <c r="A13" s="49">
        <v>1</v>
      </c>
      <c r="B13" s="50" t="s">
        <v>15</v>
      </c>
      <c r="C13" s="50" t="s">
        <v>16</v>
      </c>
      <c r="D13" s="51">
        <v>0</v>
      </c>
      <c r="E13" s="51">
        <v>0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3.472222222222222E-3</v>
      </c>
      <c r="W13" s="51">
        <v>0</v>
      </c>
      <c r="X13" s="51">
        <v>0</v>
      </c>
      <c r="Y13" s="51">
        <v>0</v>
      </c>
      <c r="Z13" s="51">
        <v>0</v>
      </c>
      <c r="AA13" s="64">
        <v>0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52">
        <v>0</v>
      </c>
      <c r="AH13" s="65">
        <v>0</v>
      </c>
    </row>
    <row r="14" spans="1:34" s="15" customFormat="1" x14ac:dyDescent="0.2">
      <c r="A14" s="73" t="s">
        <v>19</v>
      </c>
      <c r="B14" s="74"/>
      <c r="C14" s="79" t="s">
        <v>21</v>
      </c>
      <c r="D14" s="83" t="s">
        <v>22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56"/>
      <c r="P14" s="56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4"/>
    </row>
    <row r="15" spans="1:34" s="15" customFormat="1" x14ac:dyDescent="0.2">
      <c r="A15" s="75"/>
      <c r="B15" s="76"/>
      <c r="C15" s="80"/>
      <c r="D15" s="85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58"/>
      <c r="P15" s="58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5"/>
    </row>
    <row r="16" spans="1:34" s="15" customFormat="1" ht="12.75" customHeight="1" x14ac:dyDescent="0.2">
      <c r="A16" s="75"/>
      <c r="B16" s="76"/>
      <c r="C16" s="79"/>
      <c r="D16" s="83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56"/>
      <c r="P16" s="56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4"/>
    </row>
    <row r="17" spans="1:34" s="15" customFormat="1" ht="12.75" customHeight="1" x14ac:dyDescent="0.2">
      <c r="A17" s="75"/>
      <c r="B17" s="76"/>
      <c r="C17" s="80"/>
      <c r="D17" s="85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58"/>
      <c r="P17" s="58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5"/>
    </row>
    <row r="18" spans="1:34" s="15" customFormat="1" x14ac:dyDescent="0.2">
      <c r="A18" s="75"/>
      <c r="B18" s="76"/>
      <c r="C18" s="79"/>
      <c r="D18" s="83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56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4"/>
    </row>
    <row r="19" spans="1:34" s="15" customFormat="1" x14ac:dyDescent="0.2">
      <c r="A19" s="75"/>
      <c r="B19" s="76"/>
      <c r="C19" s="80"/>
      <c r="D19" s="85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58"/>
      <c r="P19" s="58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5"/>
    </row>
    <row r="20" spans="1:34" s="15" customFormat="1" x14ac:dyDescent="0.2">
      <c r="A20" s="75"/>
      <c r="B20" s="76"/>
      <c r="C20" s="81"/>
      <c r="D20" s="87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56"/>
      <c r="P20" s="56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4"/>
    </row>
    <row r="21" spans="1:34" s="15" customFormat="1" x14ac:dyDescent="0.2">
      <c r="A21" s="77"/>
      <c r="B21" s="78"/>
      <c r="C21" s="82"/>
      <c r="D21" s="89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58"/>
      <c r="P21" s="58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61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72"/>
      <c r="B25" s="72"/>
      <c r="C25" s="72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15" customFormat="1" ht="15.75" x14ac:dyDescent="0.25">
      <c r="A26" s="46">
        <v>1</v>
      </c>
      <c r="B26" s="47" t="str">
        <f>B13</f>
        <v>Link Wireless  to Megashop</v>
      </c>
      <c r="C26" s="40">
        <f>1-(((D26*3600)+(LEFT(E26,2)*60)+RIGHT(E26,2))/((60*60*24)*$C$8))</f>
        <v>0.99988799283154117</v>
      </c>
      <c r="D26" s="26" t="str">
        <f>TEXT(SUM(D13:AF13),"[h]")</f>
        <v>0</v>
      </c>
      <c r="E26" s="26" t="str">
        <f>TEXT(SUM(D13:AF13),"mm ss")</f>
        <v>05 00</v>
      </c>
      <c r="F26" s="27"/>
      <c r="G26" s="19"/>
      <c r="H26" s="28"/>
      <c r="I26" s="19"/>
      <c r="J26" s="19"/>
      <c r="K26" s="19"/>
      <c r="L26" s="19"/>
      <c r="M26" s="19"/>
      <c r="N26" s="19"/>
      <c r="P26" s="19"/>
      <c r="AC26" s="39"/>
    </row>
    <row r="27" spans="1:34" s="15" customFormat="1" x14ac:dyDescent="0.2">
      <c r="A27" s="16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34" s="20" customFormat="1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1:34" x14ac:dyDescent="0.2">
      <c r="A29" s="18"/>
      <c r="B29" s="31" t="s">
        <v>17</v>
      </c>
      <c r="C29" s="25"/>
      <c r="D29" s="24"/>
      <c r="E29" s="24"/>
      <c r="F29" s="24"/>
      <c r="G29" s="24"/>
      <c r="H29" s="24"/>
      <c r="I29" s="24"/>
      <c r="J29" s="24"/>
      <c r="K29" s="63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x14ac:dyDescent="0.2">
      <c r="B30" s="15" t="s">
        <v>18</v>
      </c>
      <c r="C30" s="35">
        <f>C26</f>
        <v>0.99988799283154117</v>
      </c>
      <c r="H30" s="44"/>
    </row>
    <row r="32" spans="1:34" x14ac:dyDescent="0.2">
      <c r="A32" s="67"/>
      <c r="H32" s="62"/>
    </row>
    <row r="33" spans="2:32" x14ac:dyDescent="0.2">
      <c r="B33" s="68"/>
    </row>
    <row r="35" spans="2:32" x14ac:dyDescent="0.2"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2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2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2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2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6">
    <mergeCell ref="A10:A11"/>
    <mergeCell ref="B10:B11"/>
    <mergeCell ref="C10:C11"/>
    <mergeCell ref="D24:E24"/>
    <mergeCell ref="A24:A25"/>
    <mergeCell ref="B24:B25"/>
    <mergeCell ref="C24:C25"/>
    <mergeCell ref="A14:B21"/>
    <mergeCell ref="C14:C15"/>
    <mergeCell ref="C16:C17"/>
    <mergeCell ref="C20:C21"/>
    <mergeCell ref="D14:N15"/>
    <mergeCell ref="D16:N17"/>
    <mergeCell ref="C18:C19"/>
    <mergeCell ref="D18:N19"/>
    <mergeCell ref="D20:N21"/>
  </mergeCells>
  <phoneticPr fontId="9" type="noConversion"/>
  <conditionalFormatting sqref="Y13">
    <cfRule type="cellIs" dxfId="4" priority="32" stopIfTrue="1" operator="greaterThan">
      <formula>0</formula>
    </cfRule>
  </conditionalFormatting>
  <conditionalFormatting sqref="D13:X13">
    <cfRule type="cellIs" dxfId="3" priority="14" stopIfTrue="1" operator="greaterThan">
      <formula>0</formula>
    </cfRule>
  </conditionalFormatting>
  <conditionalFormatting sqref="Z13:AE13">
    <cfRule type="cellIs" dxfId="2" priority="9" stopIfTrue="1" operator="greaterThan">
      <formula>0</formula>
    </cfRule>
  </conditionalFormatting>
  <conditionalFormatting sqref="AG13">
    <cfRule type="cellIs" dxfId="1" priority="3" stopIfTrue="1" operator="greaterThan">
      <formula>0</formula>
    </cfRule>
  </conditionalFormatting>
  <conditionalFormatting sqref="AF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2023-04-01T02:53:44Z</dcterms:modified>
</cp:coreProperties>
</file>