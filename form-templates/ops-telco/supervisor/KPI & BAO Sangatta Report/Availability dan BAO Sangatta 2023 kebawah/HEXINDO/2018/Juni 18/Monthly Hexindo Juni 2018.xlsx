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5621"/>
</workbook>
</file>

<file path=xl/calcChain.xml><?xml version="1.0" encoding="utf-8"?>
<calcChain xmlns="http://schemas.openxmlformats.org/spreadsheetml/2006/main">
  <c r="D20" i="11" l="1"/>
  <c r="E20" i="11"/>
  <c r="E21" i="11"/>
  <c r="D21" i="11"/>
  <c r="C21" i="11" l="1"/>
  <c r="B21" i="11"/>
  <c r="B20" i="11"/>
  <c r="C20" i="11" l="1"/>
  <c r="C24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<sst xmlns="http://schemas.openxmlformats.org/spreadsheetml/2006/main" count="53" uniqueCount="21">
  <si>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</si>
  <si>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</si>
  <si>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</si>
  <si>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</si>
  <si>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</si>
  <si>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</si>
  <si>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</si>
  <si>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</si>
  <si>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</si>
  <si>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</si>
  <si>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</si>
  <si>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</si>
  <si>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</si>
  <si>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</si>
  <si>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</si>
  <si>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</si>
  <si>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</si>
  <si>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Link Wireless  Surya to Hexindo</t>
  </si>
  <si>
    <t>Link Wireless  Surya to Pama Soulmate</t>
  </si>
  <si>
    <t>Hexindo site KPC</t>
  </si>
  <si>
    <t>Radio Link &amp; Voip Gateway Hexindo - pama Shoulmate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</si>
</sst>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0"/>
  <sheetViews>
    <sheetView tabSelected="1" zoomScale="80" zoomScaleNormal="80" workbookViewId="0">
      <selection activeCell="N28" sqref="N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2" width="10" bestFit="1" customWidth="1"/>
    <col min="33" max="33" width="10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51">
        <v>43252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58" t="s">
        <v>2</v>
      </c>
      <c r="B10" s="58" t="s">
        <v>0</v>
      </c>
      <c r="C10" s="58" t="s">
        <v>7</v>
      </c>
      <c r="D10" s="23">
        <v>43252</v>
      </c>
      <c r="E10" s="23">
        <v>43253</v>
      </c>
      <c r="F10" s="23">
        <v>43254</v>
      </c>
      <c r="G10" s="23">
        <v>43255</v>
      </c>
      <c r="H10" s="23">
        <v>43256</v>
      </c>
      <c r="I10" s="23">
        <v>43257</v>
      </c>
      <c r="J10" s="23">
        <v>43258</v>
      </c>
      <c r="K10" s="23">
        <v>43259</v>
      </c>
      <c r="L10" s="23">
        <v>43260</v>
      </c>
      <c r="M10" s="23">
        <v>43261</v>
      </c>
      <c r="N10" s="23">
        <v>43262</v>
      </c>
      <c r="O10" s="23">
        <v>43263</v>
      </c>
      <c r="P10" s="23">
        <v>43264</v>
      </c>
      <c r="Q10" s="23">
        <v>43265</v>
      </c>
      <c r="R10" s="23">
        <v>43266</v>
      </c>
      <c r="S10" s="23">
        <v>43267</v>
      </c>
      <c r="T10" s="23">
        <v>43268</v>
      </c>
      <c r="U10" s="23">
        <v>43269</v>
      </c>
      <c r="V10" s="23">
        <v>43270</v>
      </c>
      <c r="W10" s="23">
        <v>43271</v>
      </c>
      <c r="X10" s="23">
        <v>43272</v>
      </c>
      <c r="Y10" s="23">
        <v>43273</v>
      </c>
      <c r="Z10" s="23">
        <v>43274</v>
      </c>
      <c r="AA10" s="23">
        <v>43275</v>
      </c>
      <c r="AB10" s="23">
        <v>43276</v>
      </c>
      <c r="AC10" s="23">
        <v>43277</v>
      </c>
      <c r="AD10" s="23">
        <v>43278</v>
      </c>
      <c r="AE10" s="23">
        <v>43279</v>
      </c>
      <c r="AF10" s="23">
        <v>43280</v>
      </c>
      <c r="AG10" s="64">
        <v>43281</v>
      </c>
    </row>
    <row r="11" spans="1:33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4"/>
      <c r="B12" s="45"/>
      <c r="C12" s="4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3"/>
      <c r="AG12" s="43"/>
    </row>
    <row r="13" spans="1:33" s="15" customFormat="1" ht="15.75" x14ac:dyDescent="0.25">
      <c r="A13" s="39">
        <v>1</v>
      </c>
      <c r="B13" s="40" t="s">
        <v>17</v>
      </c>
      <c r="C13" s="40" t="s">
        <v>19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</row>
    <row r="14" spans="1:33" s="15" customFormat="1" ht="15.75" x14ac:dyDescent="0.25">
      <c r="A14" s="39">
        <v>2</v>
      </c>
      <c r="B14" s="40" t="s">
        <v>18</v>
      </c>
      <c r="C14" s="40" t="s">
        <v>19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49">
        <v>0</v>
      </c>
      <c r="AD14" s="49">
        <v>0</v>
      </c>
      <c r="AE14" s="49">
        <v>0</v>
      </c>
      <c r="AF14" s="49">
        <v>0</v>
      </c>
      <c r="AG14" s="49">
        <v>0</v>
      </c>
    </row>
    <row r="15" spans="1:33" s="15" customFormat="1" ht="179.25" customHeight="1" x14ac:dyDescent="0.2">
      <c r="A15" s="25"/>
      <c r="B15" s="47" t="s">
        <v>14</v>
      </c>
      <c r="C15" s="48"/>
      <c r="D15" s="42"/>
      <c r="E15" s="24"/>
      <c r="F15" s="24"/>
      <c r="G15" s="42"/>
      <c r="H15" s="42"/>
      <c r="I15" s="42"/>
      <c r="J15" s="24"/>
      <c r="K15" s="41"/>
      <c r="L15" s="42"/>
      <c r="M15" s="24"/>
      <c r="N15" s="42"/>
      <c r="O15" s="42"/>
      <c r="P15" s="42"/>
      <c r="Q15" s="42"/>
      <c r="R15" s="42"/>
      <c r="S15" s="42"/>
      <c r="T15" s="24"/>
      <c r="U15" s="24"/>
      <c r="V15" s="24"/>
      <c r="W15" s="24"/>
      <c r="X15" s="24"/>
      <c r="Y15" s="24"/>
      <c r="Z15" s="42"/>
      <c r="AA15" s="41"/>
      <c r="AB15" s="24"/>
      <c r="AC15" s="42"/>
      <c r="AD15" s="42"/>
      <c r="AE15" s="42"/>
      <c r="AF15" s="52"/>
      <c r="AG15" s="52"/>
    </row>
    <row r="16" spans="1:33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3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3" s="15" customFormat="1" x14ac:dyDescent="0.2">
      <c r="A18" s="62" t="s">
        <v>2</v>
      </c>
      <c r="B18" s="62" t="s">
        <v>8</v>
      </c>
      <c r="C18" s="62" t="s">
        <v>1</v>
      </c>
      <c r="D18" s="60" t="s">
        <v>6</v>
      </c>
      <c r="E18" s="61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3" s="15" customFormat="1" x14ac:dyDescent="0.2">
      <c r="A19" s="63"/>
      <c r="B19" s="63"/>
      <c r="C19" s="63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5.75" x14ac:dyDescent="0.25">
      <c r="A20" s="54">
        <v>1</v>
      </c>
      <c r="B20" s="53" t="str">
        <f>B13</f>
        <v>Link Wireless  Surya to Hexindo</v>
      </c>
      <c r="C20" s="55">
        <f>1-(((D20*3600)+(LEFT(E20,2)*60)+RIGHT(E20,2))/((60*60*24)*$C$8))</f>
        <v>1</v>
      </c>
      <c r="D20" s="56" t="str">
        <f>TEXT(SUM(D13:AG13),"[h]")</f>
        <v>0</v>
      </c>
      <c r="E20" s="56" t="str">
        <f>TEXT(SUM(D13:AG13),"mm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3" s="15" customFormat="1" ht="15.75" x14ac:dyDescent="0.25">
      <c r="A21" s="54">
        <v>2</v>
      </c>
      <c r="B21" s="57" t="str">
        <f>B14</f>
        <v>Link Wireless  Surya to Pama Soulmate</v>
      </c>
      <c r="C21" s="55">
        <f>1-(((D21*3600)+(LEFT(E21,2)*60)+RIGHT(E21,2))/((60*60*24)*$C$8))</f>
        <v>1</v>
      </c>
      <c r="D21" s="56" t="str">
        <f>TEXT(SUM(D14:AG14),"[h]")</f>
        <v>0</v>
      </c>
      <c r="E21" s="56" t="str">
        <f>TEXT(SUM(D14:AG14),"mm ss")</f>
        <v>00 00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15" t="s">
        <v>20</v>
      </c>
      <c r="C24" s="34">
        <f>(SUM(C20:C21))/(100%*2)</f>
        <v>1</v>
      </c>
      <c r="H24" s="50"/>
    </row>
    <row r="29" spans="1:33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7" spans="6:33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6:33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6:33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6:33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Y14:AF14">
    <cfRule type="cellIs" dxfId="8" priority="27" stopIfTrue="1" operator="greaterThan">
      <formula>0</formula>
    </cfRule>
  </conditionalFormatting>
  <conditionalFormatting sqref="T14:X14">
    <cfRule type="cellIs" dxfId="7" priority="9" stopIfTrue="1" operator="greaterThan">
      <formula>0</formula>
    </cfRule>
  </conditionalFormatting>
  <conditionalFormatting sqref="Y13:AF13">
    <cfRule type="cellIs" dxfId="6" priority="8" stopIfTrue="1" operator="greaterThan">
      <formula>0</formula>
    </cfRule>
  </conditionalFormatting>
  <conditionalFormatting sqref="D13:X13">
    <cfRule type="cellIs" dxfId="4" priority="6" stopIfTrue="1" operator="greaterThan">
      <formula>0</formula>
    </cfRule>
  </conditionalFormatting>
  <conditionalFormatting sqref="AG13">
    <cfRule type="cellIs" dxfId="3" priority="4" stopIfTrue="1" operator="greaterThan">
      <formula>0</formula>
    </cfRule>
  </conditionalFormatting>
  <conditionalFormatting sqref="S14">
    <cfRule type="cellIs" dxfId="2" priority="3" stopIfTrue="1" operator="greaterThan">
      <formula>0</formula>
    </cfRule>
  </conditionalFormatting>
  <conditionalFormatting sqref="AG14">
    <cfRule type="cellIs" dxfId="1" priority="2" stopIfTrue="1" operator="greaterThan">
      <formula>0</formula>
    </cfRule>
  </conditionalFormatting>
  <conditionalFormatting sqref="D14:R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2018-07-02T02:19:58Z</dcterms:modified>
</cp:coreProperties>
</file>