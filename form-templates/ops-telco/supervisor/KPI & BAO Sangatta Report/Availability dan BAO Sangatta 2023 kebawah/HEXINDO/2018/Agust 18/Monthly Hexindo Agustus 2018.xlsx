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<sst xmlns="http://schemas.openxmlformats.org/spreadsheetml/2006/main" count="56" uniqueCount="22">
  <si>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</si>
  <si>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</si>
  <si>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</si>
  <si>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</si>
  <si>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</si>
  <si>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</si>
  <si>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</si>
  <si>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</si>
  <si>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</si>
  <si>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</si>
  <si>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</si>
  <si>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</si>
  <si>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</si>
  <si>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</si>
  <si>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</si>
  <si>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</si>
  <si>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</si>
  <si>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</si>
  <si>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</si>
  <si>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Modem Vcoice Gateway error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</si>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</sst>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zoomScale="98" zoomScaleNormal="98" workbookViewId="0">
      <selection activeCell="B15" sqref="B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1">
        <v>43313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43313</v>
      </c>
      <c r="E10" s="23">
        <v>43314</v>
      </c>
      <c r="F10" s="23">
        <v>43315</v>
      </c>
      <c r="G10" s="23">
        <v>43316</v>
      </c>
      <c r="H10" s="23">
        <v>43317</v>
      </c>
      <c r="I10" s="23">
        <v>43318</v>
      </c>
      <c r="J10" s="23">
        <v>43319</v>
      </c>
      <c r="K10" s="23">
        <v>43320</v>
      </c>
      <c r="L10" s="23">
        <v>43321</v>
      </c>
      <c r="M10" s="23">
        <v>43322</v>
      </c>
      <c r="N10" s="23">
        <v>43323</v>
      </c>
      <c r="O10" s="23">
        <v>43324</v>
      </c>
      <c r="P10" s="23">
        <v>43325</v>
      </c>
      <c r="Q10" s="23">
        <v>43326</v>
      </c>
      <c r="R10" s="23">
        <v>43327</v>
      </c>
      <c r="S10" s="23">
        <v>43328</v>
      </c>
      <c r="T10" s="23">
        <v>43329</v>
      </c>
      <c r="U10" s="23">
        <v>43330</v>
      </c>
      <c r="V10" s="23">
        <v>43331</v>
      </c>
      <c r="W10" s="23">
        <v>43332</v>
      </c>
      <c r="X10" s="23">
        <v>43333</v>
      </c>
      <c r="Y10" s="23">
        <v>43334</v>
      </c>
      <c r="Z10" s="23">
        <v>43335</v>
      </c>
      <c r="AA10" s="23">
        <v>43336</v>
      </c>
      <c r="AB10" s="23">
        <v>43337</v>
      </c>
      <c r="AC10" s="23">
        <v>43338</v>
      </c>
      <c r="AD10" s="23">
        <v>43339</v>
      </c>
      <c r="AE10" s="23">
        <v>43340</v>
      </c>
      <c r="AF10" s="23">
        <v>43341</v>
      </c>
      <c r="AG10" s="23">
        <v>43342</v>
      </c>
      <c r="AH10" s="23">
        <v>43343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4"/>
      <c r="B12" s="45"/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3"/>
      <c r="AH12" s="43"/>
    </row>
    <row r="13" spans="1:34" s="15" customFormat="1" ht="15.75" x14ac:dyDescent="0.25">
      <c r="A13" s="39">
        <v>1</v>
      </c>
      <c r="B13" s="40" t="s">
        <v>21</v>
      </c>
      <c r="C13" s="40" t="s">
        <v>17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</row>
    <row r="14" spans="1:34" s="15" customFormat="1" ht="15.75" x14ac:dyDescent="0.25">
      <c r="A14" s="39">
        <v>2</v>
      </c>
      <c r="B14" s="40" t="s">
        <v>20</v>
      </c>
      <c r="C14" s="40" t="s">
        <v>17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0.66666666666666663</v>
      </c>
      <c r="AE14" s="49">
        <v>0.375</v>
      </c>
      <c r="AF14" s="49">
        <v>0</v>
      </c>
      <c r="AG14" s="49">
        <v>0</v>
      </c>
      <c r="AH14" s="49">
        <v>0</v>
      </c>
    </row>
    <row r="15" spans="1:34" s="15" customFormat="1" ht="179.25" customHeight="1" x14ac:dyDescent="0.2">
      <c r="A15" s="25"/>
      <c r="B15" s="47" t="s">
        <v>14</v>
      </c>
      <c r="C15" s="48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 t="s">
        <v>19</v>
      </c>
      <c r="AE15" s="42" t="s">
        <v>19</v>
      </c>
      <c r="AF15" s="42"/>
      <c r="AG15" s="52"/>
      <c r="AH15" s="5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4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4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4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4" s="15" customFormat="1" ht="15.75" x14ac:dyDescent="0.25">
      <c r="A20" s="54">
        <v>1</v>
      </c>
      <c r="B20" s="53" t="str">
        <f>B13</f>
        <v>Link Wireless   Hexindo to Pama Soulmate</v>
      </c>
      <c r="C20" s="55">
        <f>1-(((D20*3600)+(LEFT(E20,2)*60)+RIGHT(E20,2))/((60*60*24)*$C$8))</f>
        <v>1</v>
      </c>
      <c r="D20" s="56" t="str">
        <f>TEXT(SUM(D13:AH13),"[h]")</f>
        <v>0</v>
      </c>
      <c r="E20" s="56" t="str">
        <f>TEXT(SUM(D13:AH13),"mm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4" s="15" customFormat="1" ht="15.75" x14ac:dyDescent="0.25">
      <c r="A21" s="54">
        <v>2</v>
      </c>
      <c r="B21" s="57" t="str">
        <f>B14</f>
        <v>Voip Gateway ( Link Telephone )</v>
      </c>
      <c r="C21" s="55">
        <f>1-(((D21*3600)+(LEFT(E21,2)*60)+RIGHT(E21,2))/((60*60*24)*$C$8))</f>
        <v>0.96639784946236562</v>
      </c>
      <c r="D21" s="56" t="str">
        <f>TEXT(SUM(D14:AH14),"[h]")</f>
        <v>25</v>
      </c>
      <c r="E21" s="56" t="str">
        <f>TEXT(SUM(D14:AH14),"mm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2">
      <c r="A24" s="15" t="s">
        <v>18</v>
      </c>
      <c r="C24" s="34">
        <f>(SUM(C20:C21))/(100%*2)</f>
        <v>0.98319892473118276</v>
      </c>
      <c r="H24" s="50"/>
    </row>
    <row r="29" spans="1:34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7" spans="6:34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6:34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6:34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6:34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E14 AG14">
    <cfRule type="cellIs" dxfId="9" priority="29" stopIfTrue="1" operator="greaterThan">
      <formula>0</formula>
    </cfRule>
  </conditionalFormatting>
  <conditionalFormatting sqref="T14:X14">
    <cfRule type="cellIs" dxfId="8" priority="11" stopIfTrue="1" operator="greaterThan">
      <formula>0</formula>
    </cfRule>
  </conditionalFormatting>
  <conditionalFormatting sqref="Y13:AE13 AG13">
    <cfRule type="cellIs" dxfId="7" priority="10" stopIfTrue="1" operator="greaterThan">
      <formula>0</formula>
    </cfRule>
  </conditionalFormatting>
  <conditionalFormatting sqref="D13:X13">
    <cfRule type="cellIs" dxfId="6" priority="8" stopIfTrue="1" operator="greaterThan">
      <formula>0</formula>
    </cfRule>
  </conditionalFormatting>
  <conditionalFormatting sqref="AH13">
    <cfRule type="cellIs" dxfId="5" priority="6" stopIfTrue="1" operator="greaterThan">
      <formula>0</formula>
    </cfRule>
  </conditionalFormatting>
  <conditionalFormatting sqref="S14">
    <cfRule type="cellIs" dxfId="4" priority="5" stopIfTrue="1" operator="greaterThan">
      <formula>0</formula>
    </cfRule>
  </conditionalFormatting>
  <conditionalFormatting sqref="AH14">
    <cfRule type="cellIs" dxfId="3" priority="4" stopIfTrue="1" operator="greaterThan">
      <formula>0</formula>
    </cfRule>
  </conditionalFormatting>
  <conditionalFormatting sqref="D14:R14">
    <cfRule type="cellIs" dxfId="2" priority="3" stopIfTrue="1" operator="greaterThan">
      <formula>0</formula>
    </cfRule>
  </conditionalFormatting>
  <conditionalFormatting sqref="AF14">
    <cfRule type="cellIs" dxfId="1" priority="2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2018-09-05T08:13:14Z</dcterms:modified>
</cp:coreProperties>
</file>