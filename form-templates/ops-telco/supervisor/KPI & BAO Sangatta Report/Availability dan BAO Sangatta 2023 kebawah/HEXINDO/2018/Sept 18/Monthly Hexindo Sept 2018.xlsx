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Downtime LINK Hexindo - Pama So" sheetId="11" r:id="rId1"/>
  </sheets>
  <calcPr calcId="145621"/>
</workbook>
</file>

<file path=xl/calcChain.xml><?xml version="1.0" encoding="utf-8"?>
<calcChain xmlns="http://schemas.openxmlformats.org/spreadsheetml/2006/main">
  <c r="D20" i="11" l="1"/>
  <c r="E20" i="11"/>
  <c r="E21" i="11"/>
  <c r="D21" i="11"/>
  <c r="C21" i="11" l="1"/>
  <c r="B21" i="11"/>
  <c r="B20" i="11"/>
  <c r="C20" i="11" l="1"/>
  <c r="C24" i="11" s="1"/>
</calcChain>
</file>

<file path=xl/sharedStrings.xml><?xml version="1.0" encoding="utf-8"?>
<sst xmlns="http://schemas.openxmlformats.org/spreadsheetml/2006/main" count="55" uniqueCount="22">
  <si>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</si>
  <si>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</si>
  <si>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</si>
  <si>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</si>
  <si>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</si>
  <si>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</si>
  <si>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</si>
  <si>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</si>
  <si>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</si>
  <si>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</si>
  <si>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</si>
  <si>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</si>
  <si>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</si>
  <si>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</si>
  <si>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</si>
  <si>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</si>
  <si>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</si>
  <si>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</si>
  <si>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</si>
  <si>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Modem Vcoice Gateway error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</si>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</sst>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0"/>
  <sheetViews>
    <sheetView tabSelected="1" topLeftCell="B1" zoomScale="98" zoomScaleNormal="98" workbookViewId="0">
      <selection activeCell="X23" sqref="X23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29" width="10" bestFit="1" customWidth="1"/>
    <col min="30" max="30" width="9.7109375" customWidth="1"/>
    <col min="31" max="31" width="10" bestFit="1" customWidth="1"/>
    <col min="32" max="32" width="10" customWidth="1"/>
    <col min="33" max="33" width="10" bestFit="1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51">
        <v>43344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58" t="s">
        <v>2</v>
      </c>
      <c r="B10" s="58" t="s">
        <v>0</v>
      </c>
      <c r="C10" s="58" t="s">
        <v>7</v>
      </c>
      <c r="D10" s="23">
        <v>43313</v>
      </c>
      <c r="E10" s="23">
        <v>43314</v>
      </c>
      <c r="F10" s="23">
        <v>43315</v>
      </c>
      <c r="G10" s="23">
        <v>43316</v>
      </c>
      <c r="H10" s="23">
        <v>43317</v>
      </c>
      <c r="I10" s="23">
        <v>43318</v>
      </c>
      <c r="J10" s="23">
        <v>43319</v>
      </c>
      <c r="K10" s="23">
        <v>43320</v>
      </c>
      <c r="L10" s="23">
        <v>43321</v>
      </c>
      <c r="M10" s="23">
        <v>43322</v>
      </c>
      <c r="N10" s="23">
        <v>43323</v>
      </c>
      <c r="O10" s="23">
        <v>43324</v>
      </c>
      <c r="P10" s="23">
        <v>43325</v>
      </c>
      <c r="Q10" s="23">
        <v>43326</v>
      </c>
      <c r="R10" s="23">
        <v>43327</v>
      </c>
      <c r="S10" s="23">
        <v>43328</v>
      </c>
      <c r="T10" s="23">
        <v>43329</v>
      </c>
      <c r="U10" s="23">
        <v>43330</v>
      </c>
      <c r="V10" s="23">
        <v>43331</v>
      </c>
      <c r="W10" s="23">
        <v>43332</v>
      </c>
      <c r="X10" s="23">
        <v>43333</v>
      </c>
      <c r="Y10" s="23">
        <v>43334</v>
      </c>
      <c r="Z10" s="23">
        <v>43335</v>
      </c>
      <c r="AA10" s="23">
        <v>43336</v>
      </c>
      <c r="AB10" s="23">
        <v>43337</v>
      </c>
      <c r="AC10" s="23">
        <v>43338</v>
      </c>
      <c r="AD10" s="23">
        <v>43339</v>
      </c>
      <c r="AE10" s="23">
        <v>43340</v>
      </c>
      <c r="AF10" s="23">
        <v>43341</v>
      </c>
      <c r="AG10" s="64">
        <v>43342</v>
      </c>
    </row>
    <row r="11" spans="1:33" s="1" customFormat="1" x14ac:dyDescent="0.2">
      <c r="A11" s="59"/>
      <c r="B11" s="59"/>
      <c r="C11" s="5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4"/>
      <c r="B12" s="45"/>
      <c r="C12" s="46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3"/>
    </row>
    <row r="13" spans="1:33" s="15" customFormat="1" ht="15.75" x14ac:dyDescent="0.25">
      <c r="A13" s="39">
        <v>1</v>
      </c>
      <c r="B13" s="40" t="s">
        <v>21</v>
      </c>
      <c r="C13" s="40" t="s">
        <v>17</v>
      </c>
      <c r="D13" s="49">
        <v>0</v>
      </c>
      <c r="E13" s="49"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49">
        <v>0</v>
      </c>
      <c r="Z13" s="49">
        <v>0</v>
      </c>
      <c r="AA13" s="49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49">
        <v>0</v>
      </c>
    </row>
    <row r="14" spans="1:33" s="15" customFormat="1" ht="15.75" x14ac:dyDescent="0.25">
      <c r="A14" s="39">
        <v>2</v>
      </c>
      <c r="B14" s="40" t="s">
        <v>20</v>
      </c>
      <c r="C14" s="40" t="s">
        <v>17</v>
      </c>
      <c r="D14" s="49">
        <v>0</v>
      </c>
      <c r="E14" s="49">
        <v>0</v>
      </c>
      <c r="F14" s="49">
        <v>0</v>
      </c>
      <c r="G14" s="49">
        <v>0</v>
      </c>
      <c r="H14" s="49">
        <v>0</v>
      </c>
      <c r="I14" s="49">
        <v>0</v>
      </c>
      <c r="J14" s="49">
        <v>0</v>
      </c>
      <c r="K14" s="49">
        <v>0</v>
      </c>
      <c r="L14" s="49">
        <v>0</v>
      </c>
      <c r="M14" s="49">
        <v>0</v>
      </c>
      <c r="N14" s="49">
        <v>0</v>
      </c>
      <c r="O14" s="49">
        <v>0</v>
      </c>
      <c r="P14" s="49">
        <v>0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0</v>
      </c>
      <c r="X14" s="49">
        <v>0</v>
      </c>
      <c r="Y14" s="49">
        <v>0</v>
      </c>
      <c r="Z14" s="49">
        <v>0</v>
      </c>
      <c r="AA14" s="49">
        <v>0</v>
      </c>
      <c r="AB14" s="49">
        <v>0</v>
      </c>
      <c r="AC14" s="49">
        <v>0</v>
      </c>
      <c r="AD14" s="49">
        <v>0.89033564814814825</v>
      </c>
      <c r="AE14" s="49">
        <v>0.57893518518518516</v>
      </c>
      <c r="AF14" s="49">
        <v>0</v>
      </c>
      <c r="AG14" s="49">
        <v>0</v>
      </c>
    </row>
    <row r="15" spans="1:33" s="15" customFormat="1" ht="179.25" customHeight="1" x14ac:dyDescent="0.2">
      <c r="A15" s="25"/>
      <c r="B15" s="47" t="s">
        <v>14</v>
      </c>
      <c r="C15" s="48"/>
      <c r="D15" s="42"/>
      <c r="E15" s="24"/>
      <c r="F15" s="24"/>
      <c r="G15" s="42"/>
      <c r="H15" s="42"/>
      <c r="I15" s="42"/>
      <c r="J15" s="24"/>
      <c r="K15" s="41"/>
      <c r="L15" s="42"/>
      <c r="M15" s="24"/>
      <c r="N15" s="42"/>
      <c r="O15" s="42"/>
      <c r="P15" s="42"/>
      <c r="Q15" s="42"/>
      <c r="R15" s="42"/>
      <c r="S15" s="42"/>
      <c r="T15" s="24"/>
      <c r="U15" s="24"/>
      <c r="V15" s="24"/>
      <c r="W15" s="24"/>
      <c r="X15" s="24"/>
      <c r="Y15" s="24"/>
      <c r="Z15" s="42"/>
      <c r="AA15" s="41"/>
      <c r="AB15" s="24"/>
      <c r="AC15" s="42"/>
      <c r="AD15" s="42" t="s">
        <v>19</v>
      </c>
      <c r="AE15" s="42" t="s">
        <v>19</v>
      </c>
      <c r="AF15" s="42"/>
      <c r="AG15" s="52"/>
    </row>
    <row r="16" spans="1:33" s="15" customFormat="1" x14ac:dyDescent="0.2">
      <c r="A16" s="16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33" s="15" customFormat="1" x14ac:dyDescent="0.2">
      <c r="A17" s="32" t="s">
        <v>11</v>
      </c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38"/>
    </row>
    <row r="18" spans="1:33" s="15" customFormat="1" x14ac:dyDescent="0.2">
      <c r="A18" s="62" t="s">
        <v>2</v>
      </c>
      <c r="B18" s="62" t="s">
        <v>8</v>
      </c>
      <c r="C18" s="62" t="s">
        <v>1</v>
      </c>
      <c r="D18" s="60" t="s">
        <v>6</v>
      </c>
      <c r="E18" s="61"/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38"/>
    </row>
    <row r="19" spans="1:33" s="15" customFormat="1" x14ac:dyDescent="0.2">
      <c r="A19" s="63"/>
      <c r="B19" s="63"/>
      <c r="C19" s="63"/>
      <c r="D19" s="30" t="s">
        <v>9</v>
      </c>
      <c r="E19" s="31" t="s">
        <v>10</v>
      </c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3" s="15" customFormat="1" ht="15.75" x14ac:dyDescent="0.25">
      <c r="A20" s="54">
        <v>1</v>
      </c>
      <c r="B20" s="53" t="str">
        <f>B13</f>
        <v>Link Wireless   Hexindo to Pama Soulmate</v>
      </c>
      <c r="C20" s="55">
        <f>1-(((D20*3600)+(LEFT(E20,2)*60)+RIGHT(E20,2))/((60*60*24)*$C$8))</f>
        <v>1</v>
      </c>
      <c r="D20" s="56" t="str">
        <f>TEXT(SUM(D13:AG13),"[h]")</f>
        <v>0</v>
      </c>
      <c r="E20" s="56" t="str">
        <f>TEXT(SUM(D13:AG13),"mm ss")</f>
        <v>00 00</v>
      </c>
      <c r="F20" s="28"/>
      <c r="G20" s="19"/>
      <c r="H20" s="29"/>
      <c r="I20" s="19"/>
      <c r="J20" s="19"/>
      <c r="K20" s="19"/>
      <c r="L20" s="19"/>
      <c r="M20" s="19"/>
      <c r="N20" s="19"/>
      <c r="P20" s="19"/>
      <c r="AC20" s="38"/>
    </row>
    <row r="21" spans="1:33" s="15" customFormat="1" ht="15.75" x14ac:dyDescent="0.25">
      <c r="A21" s="54">
        <v>2</v>
      </c>
      <c r="B21" s="57" t="str">
        <f>B14</f>
        <v>Voip Gateway ( Link Telephone )</v>
      </c>
      <c r="C21" s="55">
        <f>1-(((D21*3600)+(LEFT(E21,2)*60)+RIGHT(E21,2))/((60*60*24)*$C$8))</f>
        <v>0.9510243055555555</v>
      </c>
      <c r="D21" s="56" t="str">
        <f>TEXT(SUM(D14:AG14),"[h]")</f>
        <v>35</v>
      </c>
      <c r="E21" s="56" t="str">
        <f>TEXT(SUM(D14:AG14),"mm ss")</f>
        <v>15 45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3" s="20" customFormat="1" x14ac:dyDescent="0.2">
      <c r="A23" s="33" t="s">
        <v>15</v>
      </c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</row>
    <row r="24" spans="1:33" x14ac:dyDescent="0.2">
      <c r="A24" s="15" t="s">
        <v>18</v>
      </c>
      <c r="C24" s="34">
        <f>(SUM(C20:C21))/(100%*2)</f>
        <v>0.9755121527777777</v>
      </c>
      <c r="H24" s="50"/>
    </row>
    <row r="29" spans="1:33" x14ac:dyDescent="0.2"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</row>
    <row r="37" spans="6:33" x14ac:dyDescent="0.2">
      <c r="F37" s="35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spans="6:33" x14ac:dyDescent="0.2">
      <c r="F38" s="35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 spans="6:33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 spans="6:33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</sheetData>
  <mergeCells count="7">
    <mergeCell ref="A10:A11"/>
    <mergeCell ref="B10:B11"/>
    <mergeCell ref="C10:C11"/>
    <mergeCell ref="D18:E18"/>
    <mergeCell ref="A18:A19"/>
    <mergeCell ref="B18:B19"/>
    <mergeCell ref="C18:C19"/>
  </mergeCells>
  <phoneticPr fontId="9" type="noConversion"/>
  <conditionalFormatting sqref="AG14 Y14:AB14 AD14:AE14">
    <cfRule type="cellIs" dxfId="11" priority="30" stopIfTrue="1" operator="greaterThan">
      <formula>0</formula>
    </cfRule>
  </conditionalFormatting>
  <conditionalFormatting sqref="T14:X14">
    <cfRule type="cellIs" dxfId="10" priority="12" stopIfTrue="1" operator="greaterThan">
      <formula>0</formula>
    </cfRule>
  </conditionalFormatting>
  <conditionalFormatting sqref="Y13:AE13 AG13">
    <cfRule type="cellIs" dxfId="9" priority="11" stopIfTrue="1" operator="greaterThan">
      <formula>0</formula>
    </cfRule>
  </conditionalFormatting>
  <conditionalFormatting sqref="D13:X13">
    <cfRule type="cellIs" dxfId="8" priority="9" stopIfTrue="1" operator="greaterThan">
      <formula>0</formula>
    </cfRule>
  </conditionalFormatting>
  <conditionalFormatting sqref="S14">
    <cfRule type="cellIs" dxfId="7" priority="6" stopIfTrue="1" operator="greaterThan">
      <formula>0</formula>
    </cfRule>
  </conditionalFormatting>
  <conditionalFormatting sqref="D14:R14">
    <cfRule type="cellIs" dxfId="6" priority="4" stopIfTrue="1" operator="greaterThan">
      <formula>0</formula>
    </cfRule>
  </conditionalFormatting>
  <conditionalFormatting sqref="AF14">
    <cfRule type="cellIs" dxfId="5" priority="3" stopIfTrue="1" operator="greaterThan">
      <formula>0</formula>
    </cfRule>
  </conditionalFormatting>
  <conditionalFormatting sqref="AF13">
    <cfRule type="cellIs" dxfId="4" priority="2" stopIfTrue="1" operator="greaterThan">
      <formula>0</formula>
    </cfRule>
  </conditionalFormatting>
  <conditionalFormatting sqref="AC14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2018-10-04T04:08:46Z</dcterms:modified>
</cp:coreProperties>
</file>