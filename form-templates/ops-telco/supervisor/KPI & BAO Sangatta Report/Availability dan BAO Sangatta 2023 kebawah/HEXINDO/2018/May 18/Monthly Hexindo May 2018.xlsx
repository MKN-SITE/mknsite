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 l="1"/>
  <c r="B21" i="11"/>
  <c r="B20" i="11"/>
  <c r="C20" i="11" l="1"/>
  <c r="C24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<sst xmlns="http://schemas.openxmlformats.org/spreadsheetml/2006/main" count="54" uniqueCount="21">
  <si>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</si>
  <si>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</si>
  <si>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</si>
  <si>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</si>
  <si>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</si>
  <si>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</si>
  <si>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</si>
  <si>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</si>
  <si>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</si>
  <si>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</si>
  <si>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</si>
  <si>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</si>
  <si>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</si>
  <si>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</si>
  <si>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</si>
  <si>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</si>
  <si>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</si>
  <si>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Link Wireless  Surya to Hexindo</t>
  </si>
  <si>
    <t>Link Wireless  Surya to Pama Soulmate</t>
  </si>
  <si>
    <t>Hexindo site KPC</t>
  </si>
  <si>
    <t>Radio Link &amp; Voip Gateway Hexindo - pama Shoulmate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</si>
</sst>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46" fontId="0" fillId="33" borderId="1" xfId="0" applyNumberFormat="1" applyFill="1" applyBorder="1"/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zoomScale="80" zoomScaleNormal="80" workbookViewId="0">
      <selection activeCell="L26" sqref="L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2" width="10" bestFit="1" customWidth="1"/>
    <col min="33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2">
        <v>43221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4" t="s">
        <v>2</v>
      </c>
      <c r="B10" s="54" t="s">
        <v>0</v>
      </c>
      <c r="C10" s="54" t="s">
        <v>7</v>
      </c>
      <c r="D10" s="23">
        <v>43221</v>
      </c>
      <c r="E10" s="23">
        <v>43222</v>
      </c>
      <c r="F10" s="23">
        <v>43223</v>
      </c>
      <c r="G10" s="23">
        <v>43224</v>
      </c>
      <c r="H10" s="23">
        <v>43225</v>
      </c>
      <c r="I10" s="23">
        <v>43226</v>
      </c>
      <c r="J10" s="23">
        <v>43227</v>
      </c>
      <c r="K10" s="23">
        <v>43228</v>
      </c>
      <c r="L10" s="23">
        <v>43229</v>
      </c>
      <c r="M10" s="23">
        <v>43230</v>
      </c>
      <c r="N10" s="23">
        <v>43231</v>
      </c>
      <c r="O10" s="23">
        <v>43232</v>
      </c>
      <c r="P10" s="23">
        <v>43233</v>
      </c>
      <c r="Q10" s="23">
        <v>43234</v>
      </c>
      <c r="R10" s="23">
        <v>43235</v>
      </c>
      <c r="S10" s="23">
        <v>43236</v>
      </c>
      <c r="T10" s="23">
        <v>43237</v>
      </c>
      <c r="U10" s="23">
        <v>43238</v>
      </c>
      <c r="V10" s="23">
        <v>43239</v>
      </c>
      <c r="W10" s="23">
        <v>43240</v>
      </c>
      <c r="X10" s="23">
        <v>43241</v>
      </c>
      <c r="Y10" s="23">
        <v>43242</v>
      </c>
      <c r="Z10" s="23">
        <v>43243</v>
      </c>
      <c r="AA10" s="23">
        <v>43244</v>
      </c>
      <c r="AB10" s="23">
        <v>43245</v>
      </c>
      <c r="AC10" s="23">
        <v>43246</v>
      </c>
      <c r="AD10" s="23">
        <v>43247</v>
      </c>
      <c r="AE10" s="23">
        <v>43248</v>
      </c>
      <c r="AF10" s="23">
        <v>43249</v>
      </c>
      <c r="AG10" s="23">
        <v>43250</v>
      </c>
      <c r="AH10" s="23">
        <v>43251</v>
      </c>
    </row>
    <row r="11" spans="1:34" s="1" customFormat="1" x14ac:dyDescent="0.2">
      <c r="A11" s="55"/>
      <c r="B11" s="55"/>
      <c r="C11" s="5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5"/>
      <c r="B12" s="46"/>
      <c r="C12" s="47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3"/>
      <c r="AG12" s="43"/>
      <c r="AH12" s="43"/>
    </row>
    <row r="13" spans="1:34" s="15" customFormat="1" ht="15.75" x14ac:dyDescent="0.25">
      <c r="A13" s="39">
        <v>1</v>
      </c>
      <c r="B13" s="40" t="s">
        <v>17</v>
      </c>
      <c r="C13" s="40" t="s">
        <v>19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</row>
    <row r="14" spans="1:34" s="15" customFormat="1" ht="15.75" x14ac:dyDescent="0.25">
      <c r="A14" s="39">
        <v>2</v>
      </c>
      <c r="B14" s="40" t="s">
        <v>18</v>
      </c>
      <c r="C14" s="40" t="s">
        <v>19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</row>
    <row r="15" spans="1:34" s="15" customFormat="1" ht="179.25" customHeight="1" x14ac:dyDescent="0.2">
      <c r="A15" s="25"/>
      <c r="B15" s="48" t="s">
        <v>14</v>
      </c>
      <c r="C15" s="49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/>
      <c r="AF15" s="53"/>
      <c r="AG15" s="53"/>
      <c r="AH15" s="44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4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4" s="15" customFormat="1" x14ac:dyDescent="0.2">
      <c r="A18" s="58" t="s">
        <v>2</v>
      </c>
      <c r="B18" s="58" t="s">
        <v>8</v>
      </c>
      <c r="C18" s="58" t="s">
        <v>1</v>
      </c>
      <c r="D18" s="56" t="s">
        <v>6</v>
      </c>
      <c r="E18" s="57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4" s="15" customFormat="1" x14ac:dyDescent="0.2">
      <c r="A19" s="59"/>
      <c r="B19" s="59"/>
      <c r="C19" s="59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4" s="15" customFormat="1" ht="15.75" x14ac:dyDescent="0.25">
      <c r="A20" s="61">
        <v>1</v>
      </c>
      <c r="B20" s="60" t="str">
        <f>B13</f>
        <v>Link Wireless  Surya to Hexindo</v>
      </c>
      <c r="C20" s="62">
        <f>1-(((D20*3600)+(LEFT(E20,2)*60)+RIGHT(E20,2))/((60*60*24)*$C$8))</f>
        <v>1</v>
      </c>
      <c r="D20" s="63" t="str">
        <f>TEXT(SUM(D13:AH13),"[h]")</f>
        <v>0</v>
      </c>
      <c r="E20" s="63" t="str">
        <f>TEXT(SUM(D13:AH13),"mm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4" s="15" customFormat="1" ht="15.75" x14ac:dyDescent="0.25">
      <c r="A21" s="61">
        <v>2</v>
      </c>
      <c r="B21" s="64" t="str">
        <f>B14</f>
        <v>Link Wireless  Surya to Pama Soulmate</v>
      </c>
      <c r="C21" s="62">
        <f>1-(((D21*3600)+(LEFT(E21,2)*60)+RIGHT(E21,2))/((60*60*24)*$C$8))</f>
        <v>1</v>
      </c>
      <c r="D21" s="63" t="str">
        <f>TEXT(SUM(D14:AH14),"[h]")</f>
        <v>0</v>
      </c>
      <c r="E21" s="63" t="str">
        <f>TEXT(SUM(D14:AH14),"mm ss")</f>
        <v>00 00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2">
      <c r="A24" s="15" t="s">
        <v>20</v>
      </c>
      <c r="C24" s="34">
        <f>(SUM(C20:C21))/(100%*2)</f>
        <v>1</v>
      </c>
      <c r="H24" s="51"/>
    </row>
    <row r="29" spans="1:34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7" spans="6:34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spans="6:34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spans="6:34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spans="6:34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F14">
    <cfRule type="cellIs" dxfId="13" priority="26" stopIfTrue="1" operator="greaterThan">
      <formula>0</formula>
    </cfRule>
  </conditionalFormatting>
  <conditionalFormatting sqref="D14:R14 T14:X14">
    <cfRule type="cellIs" dxfId="6" priority="8" stopIfTrue="1" operator="greaterThan">
      <formula>0</formula>
    </cfRule>
  </conditionalFormatting>
  <conditionalFormatting sqref="Y13:AF13">
    <cfRule type="cellIs" dxfId="11" priority="7" stopIfTrue="1" operator="greaterThan">
      <formula>0</formula>
    </cfRule>
  </conditionalFormatting>
  <conditionalFormatting sqref="AH13">
    <cfRule type="cellIs" dxfId="10" priority="6" stopIfTrue="1" operator="greaterThan">
      <formula>0</formula>
    </cfRule>
  </conditionalFormatting>
  <conditionalFormatting sqref="D13:X13">
    <cfRule type="cellIs" dxfId="9" priority="5" stopIfTrue="1" operator="greaterThan">
      <formula>0</formula>
    </cfRule>
  </conditionalFormatting>
  <conditionalFormatting sqref="AG13">
    <cfRule type="cellIs" dxfId="7" priority="3" stopIfTrue="1" operator="greaterThan">
      <formula>0</formula>
    </cfRule>
  </conditionalFormatting>
  <conditionalFormatting sqref="S14">
    <cfRule type="cellIs" dxfId="3" priority="2" stopIfTrue="1" operator="greaterThan">
      <formula>0</formula>
    </cfRule>
  </conditionalFormatting>
  <conditionalFormatting sqref="AG14:AH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2018-05-15T01:45:30Z</dcterms:modified>
</cp:coreProperties>
</file>