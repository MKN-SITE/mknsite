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TELCO CREW\# MONTHLY REPORT AVAIBILITY\HEXINDO\2024\Februari\"/>
    </mc:Choice>
  </mc:AlternateContent>
  <xr:revisionPtr revIDLastSave="0" documentId="13_ncr:1_{92FFE5C4-D377-4B92-8295-38FFE729F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E27" i="11"/>
  <c r="D26" i="11"/>
  <c r="D27" i="11" l="1"/>
  <c r="B27" i="11"/>
  <c r="B26" i="11"/>
  <c r="C26" i="11" l="1"/>
  <c r="C27" i="11"/>
  <c r="C30" i="11" l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<sst xmlns="http://schemas.openxmlformats.org/spreadsheetml/2006/main" count="52" uniqueCount="21">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</sst>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16" fontId="8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46" fontId="6" fillId="0" borderId="4" xfId="0" applyNumberFormat="1" applyFont="1" applyBorder="1" applyAlignment="1">
      <alignment horizontal="center"/>
    </xf>
    <xf numFmtId="46" fontId="6" fillId="0" borderId="17" xfId="0" applyNumberFormat="1" applyFont="1" applyBorder="1" applyAlignment="1">
      <alignment horizontal="center"/>
    </xf>
    <xf numFmtId="46" fontId="6" fillId="0" borderId="2" xfId="0" applyNumberFormat="1" applyFont="1" applyBorder="1" applyAlignment="1">
      <alignment horizont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0" fontId="6" fillId="0" borderId="0" xfId="0" applyFont="1" applyFill="1"/>
    <xf numFmtId="10" fontId="11" fillId="0" borderId="0" xfId="0" applyNumberFormat="1" applyFont="1" applyFill="1" applyAlignment="1">
      <alignment horizontal="center"/>
    </xf>
    <xf numFmtId="10" fontId="6" fillId="0" borderId="0" xfId="0" applyNumberFormat="1" applyFont="1" applyFill="1" applyAlignment="1">
      <alignment horizontal="center"/>
    </xf>
    <xf numFmtId="0" fontId="13" fillId="0" borderId="0" xfId="0" applyFont="1" applyFill="1"/>
    <xf numFmtId="9" fontId="13" fillId="0" borderId="0" xfId="0" applyNumberFormat="1" applyFont="1" applyFill="1"/>
    <xf numFmtId="16" fontId="8" fillId="0" borderId="4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20" sqref="D20:U20"/>
    </sheetView>
  </sheetViews>
  <sheetFormatPr defaultRowHeight="13.2" x14ac:dyDescent="0.25"/>
  <cols>
    <col min="1" max="1" width="5.6640625" style="2" customWidth="1"/>
    <col min="2" max="2" width="45.5546875" customWidth="1"/>
    <col min="3" max="3" width="23.332031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6640625" customWidth="1"/>
    <col min="31" max="31" width="10" bestFit="1" customWidth="1"/>
    <col min="32" max="32" width="9.88671875" customWidth="1"/>
  </cols>
  <sheetData>
    <row r="1" spans="1:32" s="3" customFormat="1" ht="13.8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2" s="3" customFormat="1" ht="13.8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2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2" s="3" customFormat="1" x14ac:dyDescent="0.25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2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2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2" s="3" customFormat="1" x14ac:dyDescent="0.25">
      <c r="A7" s="5" t="s">
        <v>4</v>
      </c>
      <c r="B7" s="6"/>
      <c r="C7" s="38">
        <v>45323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2" s="3" customFormat="1" x14ac:dyDescent="0.25">
      <c r="A8" s="5" t="s">
        <v>5</v>
      </c>
      <c r="B8" s="7"/>
      <c r="C8" s="19">
        <v>29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2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2" s="3" customFormat="1" x14ac:dyDescent="0.25">
      <c r="A10" s="63" t="s">
        <v>2</v>
      </c>
      <c r="B10" s="63" t="s">
        <v>0</v>
      </c>
      <c r="C10" s="63" t="s">
        <v>7</v>
      </c>
      <c r="D10" s="80">
        <v>45323</v>
      </c>
      <c r="E10" s="80">
        <v>45324</v>
      </c>
      <c r="F10" s="80">
        <v>45325</v>
      </c>
      <c r="G10" s="80">
        <v>45326</v>
      </c>
      <c r="H10" s="80">
        <v>45327</v>
      </c>
      <c r="I10" s="80">
        <v>45328</v>
      </c>
      <c r="J10" s="80">
        <v>45329</v>
      </c>
      <c r="K10" s="80">
        <v>45330</v>
      </c>
      <c r="L10" s="80">
        <v>45331</v>
      </c>
      <c r="M10" s="80">
        <v>45332</v>
      </c>
      <c r="N10" s="80">
        <v>45333</v>
      </c>
      <c r="O10" s="80">
        <v>45334</v>
      </c>
      <c r="P10" s="80">
        <v>45335</v>
      </c>
      <c r="Q10" s="80">
        <v>45336</v>
      </c>
      <c r="R10" s="80">
        <v>45337</v>
      </c>
      <c r="S10" s="20">
        <v>45338</v>
      </c>
      <c r="T10" s="20">
        <v>45339</v>
      </c>
      <c r="U10" s="20">
        <v>45340</v>
      </c>
      <c r="V10" s="20">
        <v>45341</v>
      </c>
      <c r="W10" s="20">
        <v>45342</v>
      </c>
      <c r="X10" s="20">
        <v>45343</v>
      </c>
      <c r="Y10" s="20">
        <v>45344</v>
      </c>
      <c r="Z10" s="20">
        <v>45345</v>
      </c>
      <c r="AA10" s="20">
        <v>45346</v>
      </c>
      <c r="AB10" s="20">
        <v>45347</v>
      </c>
      <c r="AC10" s="20">
        <v>45348</v>
      </c>
      <c r="AD10" s="20">
        <v>45349</v>
      </c>
      <c r="AE10" s="20">
        <v>45350</v>
      </c>
      <c r="AF10" s="44">
        <v>45351</v>
      </c>
    </row>
    <row r="11" spans="1:32" s="1" customFormat="1" x14ac:dyDescent="0.25">
      <c r="A11" s="64"/>
      <c r="B11" s="64"/>
      <c r="C11" s="6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</row>
    <row r="12" spans="1:32" x14ac:dyDescent="0.25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51"/>
    </row>
    <row r="13" spans="1:32" s="14" customFormat="1" ht="15.75" customHeight="1" x14ac:dyDescent="0.3">
      <c r="A13" s="32">
        <v>1</v>
      </c>
      <c r="B13" s="33" t="s">
        <v>20</v>
      </c>
      <c r="C13" s="33" t="s">
        <v>17</v>
      </c>
      <c r="D13" s="4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4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</row>
    <row r="14" spans="1:32" s="14" customFormat="1" ht="15.6" x14ac:dyDescent="0.3">
      <c r="A14" s="45">
        <v>2</v>
      </c>
      <c r="B14" s="46" t="s">
        <v>19</v>
      </c>
      <c r="C14" s="46" t="s">
        <v>17</v>
      </c>
      <c r="D14" s="47">
        <v>0</v>
      </c>
      <c r="E14" s="3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37">
        <v>0</v>
      </c>
    </row>
    <row r="15" spans="1:32" s="14" customFormat="1" ht="15.6" x14ac:dyDescent="0.3">
      <c r="A15" s="48"/>
      <c r="B15" s="49"/>
      <c r="C15" s="49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</row>
    <row r="16" spans="1:32" s="14" customFormat="1" ht="15.6" x14ac:dyDescent="0.25">
      <c r="A16" s="69"/>
      <c r="B16" s="72" t="s">
        <v>14</v>
      </c>
      <c r="C16" s="50"/>
      <c r="D16" s="54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6"/>
      <c r="V16" s="53"/>
      <c r="W16" s="53"/>
      <c r="X16" s="53"/>
      <c r="Y16" s="53"/>
      <c r="Z16" s="53"/>
      <c r="AA16" s="53"/>
      <c r="AB16" s="53"/>
      <c r="AC16" s="53"/>
      <c r="AD16" s="53"/>
      <c r="AE16" s="53"/>
    </row>
    <row r="17" spans="1:31" s="14" customFormat="1" ht="15.6" x14ac:dyDescent="0.25">
      <c r="A17" s="70"/>
      <c r="B17" s="73"/>
      <c r="C17" s="50"/>
      <c r="D17" s="60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2"/>
      <c r="V17" s="53"/>
      <c r="W17" s="53"/>
      <c r="X17" s="53"/>
      <c r="Y17" s="53"/>
      <c r="Z17" s="53"/>
      <c r="AA17" s="53"/>
      <c r="AB17" s="53"/>
      <c r="AC17" s="53"/>
      <c r="AD17" s="53"/>
      <c r="AE17" s="53"/>
    </row>
    <row r="18" spans="1:31" s="14" customFormat="1" ht="15.6" x14ac:dyDescent="0.25">
      <c r="A18" s="70"/>
      <c r="B18" s="73"/>
      <c r="C18" s="50"/>
      <c r="D18" s="57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53"/>
      <c r="W18" s="53"/>
      <c r="X18" s="53"/>
      <c r="Y18" s="53"/>
      <c r="Z18" s="53"/>
      <c r="AA18" s="53"/>
      <c r="AB18" s="53"/>
      <c r="AC18" s="53"/>
      <c r="AD18" s="53"/>
      <c r="AE18" s="53"/>
    </row>
    <row r="19" spans="1:31" s="14" customFormat="1" ht="15.6" x14ac:dyDescent="0.25">
      <c r="A19" s="70"/>
      <c r="B19" s="73"/>
      <c r="C19" s="50"/>
      <c r="D19" s="57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9"/>
      <c r="V19" s="53"/>
      <c r="W19" s="53"/>
      <c r="X19" s="53"/>
      <c r="Y19" s="53"/>
      <c r="Z19" s="53"/>
      <c r="AA19" s="53"/>
      <c r="AB19" s="53"/>
      <c r="AC19" s="53"/>
      <c r="AD19" s="53"/>
      <c r="AE19" s="53"/>
    </row>
    <row r="20" spans="1:31" s="14" customFormat="1" ht="15.6" x14ac:dyDescent="0.25">
      <c r="A20" s="70"/>
      <c r="B20" s="73"/>
      <c r="C20" s="50"/>
      <c r="D20" s="57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9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spans="1:31" s="14" customFormat="1" ht="15.6" x14ac:dyDescent="0.25">
      <c r="A21" s="71"/>
      <c r="B21" s="74"/>
      <c r="C21" s="50"/>
      <c r="D21" s="57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9"/>
      <c r="V21" s="53"/>
      <c r="W21" s="53"/>
      <c r="X21" s="53"/>
      <c r="Y21" s="53"/>
      <c r="Z21" s="53"/>
      <c r="AA21" s="53"/>
      <c r="AB21" s="53"/>
      <c r="AC21" s="53"/>
      <c r="AD21" s="53"/>
      <c r="AE21" s="53"/>
    </row>
    <row r="22" spans="1:31" s="14" customFormat="1" x14ac:dyDescent="0.25">
      <c r="A22" s="15"/>
      <c r="D22" s="16"/>
      <c r="E22" s="15"/>
    </row>
    <row r="23" spans="1:31" s="14" customFormat="1" x14ac:dyDescent="0.25">
      <c r="A23" s="26" t="s">
        <v>11</v>
      </c>
      <c r="D23" s="16"/>
      <c r="E23" s="15"/>
      <c r="AC23" s="31"/>
    </row>
    <row r="24" spans="1:31" s="14" customFormat="1" x14ac:dyDescent="0.25">
      <c r="A24" s="67" t="s">
        <v>2</v>
      </c>
      <c r="B24" s="67" t="s">
        <v>8</v>
      </c>
      <c r="C24" s="67" t="s">
        <v>1</v>
      </c>
      <c r="D24" s="65" t="s">
        <v>6</v>
      </c>
      <c r="E24" s="66"/>
      <c r="AC24" s="31"/>
    </row>
    <row r="25" spans="1:31" s="14" customFormat="1" x14ac:dyDescent="0.25">
      <c r="A25" s="68"/>
      <c r="B25" s="68"/>
      <c r="C25" s="68"/>
      <c r="D25" s="24" t="s">
        <v>9</v>
      </c>
      <c r="E25" s="25" t="s">
        <v>10</v>
      </c>
      <c r="AC25" s="31"/>
    </row>
    <row r="26" spans="1:31" s="14" customFormat="1" ht="15.6" x14ac:dyDescent="0.3">
      <c r="A26" s="40">
        <v>1</v>
      </c>
      <c r="B26" s="39" t="str">
        <f>B13</f>
        <v>Link Wireless   Hexindo to Pama Soulmate</v>
      </c>
      <c r="C26" s="41">
        <f>1-(((D26*3600)+(LEFT(E26,2)*60)+RIGHT(E26,2))/((60*60*24)*$C$8))</f>
        <v>1</v>
      </c>
      <c r="D26" s="42" t="str">
        <f>TEXT(SUM(D13:AE13),"[h]")</f>
        <v>0</v>
      </c>
      <c r="E26" s="42" t="str">
        <f>TEXT(SUM(D13:AE13),"mm ss")</f>
        <v>00 00</v>
      </c>
      <c r="H26" s="23"/>
      <c r="AC26" s="31"/>
    </row>
    <row r="27" spans="1:31" s="14" customFormat="1" ht="15.6" x14ac:dyDescent="0.3">
      <c r="A27" s="40">
        <v>2</v>
      </c>
      <c r="B27" s="43" t="str">
        <f>B14</f>
        <v>Voip Gateway ( Link Telephone )</v>
      </c>
      <c r="C27" s="41">
        <f>1-(((D27*3600)+(LEFT(E27,2)*60)+RIGHT(E27,2))/((60*60*24)*$C$8))</f>
        <v>1</v>
      </c>
      <c r="D27" s="42" t="str">
        <f>TEXT(SUM(D14:AE14),"[h]")</f>
        <v>0</v>
      </c>
      <c r="E27" s="42" t="str">
        <f>TEXT(SUM(D14:AE14),"mm ss")</f>
        <v>00 00</v>
      </c>
      <c r="F27" s="75"/>
      <c r="G27" s="75"/>
      <c r="H27" s="75"/>
      <c r="I27" s="75"/>
    </row>
    <row r="28" spans="1:31" s="14" customFormat="1" x14ac:dyDescent="0.25">
      <c r="A28" s="15"/>
      <c r="D28" s="16"/>
      <c r="E28" s="15"/>
      <c r="F28" s="75"/>
      <c r="G28" s="75"/>
      <c r="H28" s="75"/>
      <c r="I28" s="75"/>
    </row>
    <row r="29" spans="1:31" s="17" customFormat="1" x14ac:dyDescent="0.25">
      <c r="A29" s="27" t="s">
        <v>15</v>
      </c>
      <c r="C29" s="22"/>
      <c r="D29" s="21"/>
      <c r="E29" s="21"/>
      <c r="F29" s="76"/>
      <c r="G29" s="76"/>
      <c r="H29" s="77"/>
      <c r="I29" s="76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 x14ac:dyDescent="0.25">
      <c r="A30" s="14" t="s">
        <v>18</v>
      </c>
      <c r="C30" s="24">
        <f>(SUM(C26:C27))/(100%*2)</f>
        <v>1</v>
      </c>
      <c r="F30" s="78"/>
      <c r="G30" s="78"/>
      <c r="H30" s="79"/>
      <c r="I30" s="78"/>
    </row>
    <row r="31" spans="1:31" x14ac:dyDescent="0.25">
      <c r="F31" s="78"/>
      <c r="G31" s="78"/>
      <c r="H31" s="78"/>
      <c r="I31" s="78"/>
    </row>
    <row r="35" spans="6:31" x14ac:dyDescent="0.25"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43" spans="6:31" x14ac:dyDescent="0.25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6:31" x14ac:dyDescent="0.25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6:31" x14ac:dyDescent="0.25"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spans="6:31" x14ac:dyDescent="0.25"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E14">
    <cfRule type="cellIs" dxfId="7" priority="7" stopIfTrue="1" operator="greaterThan">
      <formula>0</formula>
    </cfRule>
  </conditionalFormatting>
  <conditionalFormatting sqref="F14:I14 D15:I15 D18:D21">
    <cfRule type="cellIs" dxfId="6" priority="28" stopIfTrue="1" operator="greaterThan">
      <formula>0</formula>
    </cfRule>
  </conditionalFormatting>
  <conditionalFormatting sqref="F13:N13">
    <cfRule type="cellIs" dxfId="5" priority="33" stopIfTrue="1" operator="greaterThan">
      <formula>0</formula>
    </cfRule>
  </conditionalFormatting>
  <conditionalFormatting sqref="J14:N15">
    <cfRule type="cellIs" dxfId="4" priority="14" stopIfTrue="1" operator="greaterThan">
      <formula>0</formula>
    </cfRule>
  </conditionalFormatting>
  <conditionalFormatting sqref="O13:X15">
    <cfRule type="cellIs" dxfId="3" priority="5" stopIfTrue="1" operator="greaterThan">
      <formula>0</formula>
    </cfRule>
  </conditionalFormatting>
  <conditionalFormatting sqref="V16:X21">
    <cfRule type="cellIs" dxfId="2" priority="36" stopIfTrue="1" operator="greaterThan">
      <formula>0</formula>
    </cfRule>
  </conditionalFormatting>
  <conditionalFormatting sqref="Y13:AE21">
    <cfRule type="cellIs" dxfId="1" priority="15" stopIfTrue="1" operator="greaterThan">
      <formula>0</formula>
    </cfRule>
  </conditionalFormatting>
  <conditionalFormatting sqref="AF13:AF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2024-03-02T07:27:45Z</dcterms:modified>
</cp:coreProperties>
</file>