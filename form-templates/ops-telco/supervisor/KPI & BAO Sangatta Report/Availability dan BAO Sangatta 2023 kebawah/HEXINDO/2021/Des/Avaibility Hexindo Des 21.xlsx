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5621"/>
</workbook>
</file>

<file path=xl/calcChain.xml><?xml version="1.0" encoding="utf-8"?>
<calcChain xmlns="http://schemas.openxmlformats.org/spreadsheetml/2006/main">
  <c r="D26" i="11" l="1"/>
  <c r="D25" i="11"/>
  <c r="E25" i="11" l="1"/>
  <c r="C25" i="11" s="1"/>
  <c r="E26" i="11"/>
  <c r="B26" i="11"/>
  <c r="B25" i="11"/>
  <c r="C26" i="11" l="1"/>
  <c r="C29" i="11" l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<sst xmlns="http://schemas.openxmlformats.org/spreadsheetml/2006/main" count="54" uniqueCount="21">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</sst>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36" fillId="0" borderId="28" xfId="0" applyFont="1" applyBorder="1"/>
    <xf numFmtId="10" fontId="36" fillId="0" borderId="28" xfId="0" applyNumberFormat="1" applyFont="1" applyBorder="1" applyAlignment="1">
      <alignment horizontal="center"/>
    </xf>
    <xf numFmtId="46" fontId="36" fillId="0" borderId="28" xfId="0" applyNumberFormat="1" applyFont="1" applyBorder="1" applyAlignment="1">
      <alignment horizontal="center"/>
    </xf>
    <xf numFmtId="46" fontId="36" fillId="0" borderId="29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2" xfId="0" applyNumberFormat="1" applyFont="1" applyBorder="1" applyAlignment="1">
      <alignment horizontal="left" vertical="center" wrapText="1"/>
    </xf>
    <xf numFmtId="0" fontId="0" fillId="0" borderId="1" xfId="0" applyBorder="1"/>
    <xf numFmtId="0" fontId="6" fillId="0" borderId="34" xfId="0" applyFont="1" applyBorder="1"/>
    <xf numFmtId="0" fontId="6" fillId="0" borderId="35" xfId="0" applyFont="1" applyBorder="1"/>
    <xf numFmtId="0" fontId="12" fillId="0" borderId="4" xfId="0" applyFont="1" applyBorder="1" applyAlignment="1">
      <alignment horizontal="center" vertical="center"/>
    </xf>
    <xf numFmtId="0" fontId="6" fillId="0" borderId="36" xfId="0" applyFont="1" applyBorder="1"/>
    <xf numFmtId="10" fontId="6" fillId="0" borderId="4" xfId="0" applyNumberFormat="1" applyFont="1" applyBorder="1" applyAlignment="1">
      <alignment horizontal="left" vertical="center" wrapText="1"/>
    </xf>
    <xf numFmtId="10" fontId="6" fillId="0" borderId="0" xfId="0" applyNumberFormat="1" applyFont="1" applyBorder="1" applyAlignment="1">
      <alignment horizontal="left" vertical="center" wrapText="1"/>
    </xf>
    <xf numFmtId="15" fontId="6" fillId="0" borderId="2" xfId="0" applyNumberFormat="1" applyFont="1" applyBorder="1" applyAlignment="1">
      <alignment horizontal="left" vertical="center" wrapText="1" indent="2"/>
    </xf>
    <xf numFmtId="15" fontId="6" fillId="0" borderId="1" xfId="0" applyNumberFormat="1" applyFont="1" applyBorder="1" applyAlignment="1">
      <alignment horizontal="left" vertical="center" wrapText="1" indent="2"/>
    </xf>
    <xf numFmtId="10" fontId="6" fillId="0" borderId="1" xfId="0" applyNumberFormat="1" applyFont="1" applyBorder="1" applyAlignment="1">
      <alignment horizontal="left" vertical="center" wrapText="1"/>
    </xf>
    <xf numFmtId="46" fontId="6" fillId="0" borderId="33" xfId="0" applyNumberFormat="1" applyFont="1" applyBorder="1"/>
    <xf numFmtId="46" fontId="6" fillId="0" borderId="0" xfId="0" applyNumberFormat="1" applyFont="1" applyBorder="1"/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6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6" fontId="0" fillId="0" borderId="0" xfId="0" applyNumberFormat="1" applyBorder="1"/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topLeftCell="M1" zoomScale="80" zoomScaleNormal="80" workbookViewId="0">
      <selection activeCell="H34" sqref="H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7">
        <v>44562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2" t="s">
        <v>2</v>
      </c>
      <c r="B10" s="74" t="s">
        <v>0</v>
      </c>
      <c r="C10" s="76" t="s">
        <v>7</v>
      </c>
      <c r="D10" s="54">
        <v>44562</v>
      </c>
      <c r="E10" s="54">
        <v>44563</v>
      </c>
      <c r="F10" s="54">
        <v>44564</v>
      </c>
      <c r="G10" s="54">
        <v>44565</v>
      </c>
      <c r="H10" s="54">
        <v>44566</v>
      </c>
      <c r="I10" s="54">
        <v>44567</v>
      </c>
      <c r="J10" s="54">
        <v>44568</v>
      </c>
      <c r="K10" s="54">
        <v>44569</v>
      </c>
      <c r="L10" s="54">
        <v>44570</v>
      </c>
      <c r="M10" s="54">
        <v>44571</v>
      </c>
      <c r="N10" s="54">
        <v>44572</v>
      </c>
      <c r="O10" s="54">
        <v>44573</v>
      </c>
      <c r="P10" s="54">
        <v>44574</v>
      </c>
      <c r="Q10" s="54">
        <v>44575</v>
      </c>
      <c r="R10" s="54">
        <v>44576</v>
      </c>
      <c r="S10" s="54">
        <v>44577</v>
      </c>
      <c r="T10" s="54">
        <v>44578</v>
      </c>
      <c r="U10" s="54">
        <v>44579</v>
      </c>
      <c r="V10" s="54">
        <v>44580</v>
      </c>
      <c r="W10" s="54">
        <v>44581</v>
      </c>
      <c r="X10" s="54">
        <v>44582</v>
      </c>
      <c r="Y10" s="54">
        <v>44583</v>
      </c>
      <c r="Z10" s="54">
        <v>44584</v>
      </c>
      <c r="AA10" s="54">
        <v>44585</v>
      </c>
      <c r="AB10" s="54">
        <v>44586</v>
      </c>
      <c r="AC10" s="54">
        <v>44587</v>
      </c>
      <c r="AD10" s="54">
        <v>44588</v>
      </c>
      <c r="AE10" s="54">
        <v>44589</v>
      </c>
      <c r="AF10" s="54">
        <v>44590</v>
      </c>
      <c r="AG10" s="54">
        <v>44591</v>
      </c>
      <c r="AH10" s="55">
        <v>44592</v>
      </c>
    </row>
    <row r="11" spans="1:34" s="1" customFormat="1" x14ac:dyDescent="0.2">
      <c r="A11" s="73"/>
      <c r="B11" s="75"/>
      <c r="C11" s="7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63" t="s">
        <v>6</v>
      </c>
    </row>
    <row r="12" spans="1:34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  <c r="AH12" s="60"/>
    </row>
    <row r="13" spans="1:34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</row>
    <row r="14" spans="1:34" s="15" customFormat="1" ht="15" x14ac:dyDescent="0.25">
      <c r="A14" s="44">
        <v>2</v>
      </c>
      <c r="B14" s="53" t="s">
        <v>17</v>
      </c>
      <c r="C14" s="57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</row>
    <row r="15" spans="1:34" s="15" customFormat="1" ht="18" customHeight="1" x14ac:dyDescent="0.2">
      <c r="A15" s="90">
        <v>3</v>
      </c>
      <c r="B15" s="87" t="s">
        <v>20</v>
      </c>
      <c r="C15" s="67"/>
      <c r="D15" s="78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80"/>
      <c r="P15" s="58"/>
      <c r="Q15" s="58"/>
      <c r="R15" s="58"/>
      <c r="S15" s="70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61"/>
    </row>
    <row r="16" spans="1:34" s="15" customFormat="1" ht="19.5" customHeight="1" x14ac:dyDescent="0.2">
      <c r="A16" s="91"/>
      <c r="B16" s="88"/>
      <c r="C16" s="68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2"/>
    </row>
    <row r="17" spans="1:34" s="15" customFormat="1" ht="19.5" customHeight="1" x14ac:dyDescent="0.2">
      <c r="A17" s="91"/>
      <c r="B17" s="88"/>
      <c r="C17" s="69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66"/>
      <c r="AG17" s="66"/>
      <c r="AH17" s="64"/>
    </row>
    <row r="18" spans="1:34" s="15" customFormat="1" ht="21.75" customHeight="1" x14ac:dyDescent="0.2">
      <c r="A18" s="91"/>
      <c r="B18" s="88"/>
      <c r="C18" s="65"/>
      <c r="D18" s="78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8"/>
      <c r="AG18" s="58"/>
      <c r="AH18" s="61"/>
    </row>
    <row r="19" spans="1:34" s="15" customFormat="1" ht="21.75" customHeight="1" x14ac:dyDescent="0.2">
      <c r="A19" s="91"/>
      <c r="B19" s="88"/>
      <c r="C19" s="69"/>
      <c r="D19" s="78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4"/>
    </row>
    <row r="20" spans="1:34" s="15" customFormat="1" ht="21.75" customHeight="1" thickBot="1" x14ac:dyDescent="0.25">
      <c r="A20" s="92"/>
      <c r="B20" s="89"/>
      <c r="C20" s="65"/>
      <c r="D20" s="78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61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ht="13.5" thickBot="1" x14ac:dyDescent="0.25">
      <c r="A22" s="27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3"/>
    </row>
    <row r="23" spans="1:34" s="15" customFormat="1" x14ac:dyDescent="0.2">
      <c r="A23" s="83" t="s">
        <v>2</v>
      </c>
      <c r="B23" s="85" t="s">
        <v>8</v>
      </c>
      <c r="C23" s="85" t="s">
        <v>1</v>
      </c>
      <c r="D23" s="81" t="s">
        <v>6</v>
      </c>
      <c r="E23" s="82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3"/>
    </row>
    <row r="24" spans="1:34" s="15" customFormat="1" x14ac:dyDescent="0.2">
      <c r="A24" s="84"/>
      <c r="B24" s="86"/>
      <c r="C24" s="86"/>
      <c r="D24" s="29" t="s">
        <v>9</v>
      </c>
      <c r="E24" s="45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3"/>
    </row>
    <row r="25" spans="1:34" s="15" customFormat="1" ht="15.75" x14ac:dyDescent="0.25">
      <c r="A25" s="46">
        <v>1</v>
      </c>
      <c r="B25" s="39" t="str">
        <f>B13</f>
        <v>Link Wireless   Hexindo to Pama Soulmate</v>
      </c>
      <c r="C25" s="40">
        <f>1-(((D25*3600)+(LEFT(E25,2)*60)+RIGHT(E25,2))/((60*60*24)*$C$8))</f>
        <v>1</v>
      </c>
      <c r="D25" s="41" t="str">
        <f>TEXT(SUM(D13:AG13),"[h]")</f>
        <v>0</v>
      </c>
      <c r="E25" s="47" t="str">
        <f>TEXT(SUM(D13:AF13),"mm ss")</f>
        <v>00 00</v>
      </c>
      <c r="F25" s="25"/>
      <c r="G25" s="19"/>
      <c r="H25" s="26"/>
      <c r="I25" s="19"/>
      <c r="J25" s="19"/>
      <c r="K25" s="19"/>
      <c r="L25" s="19"/>
      <c r="M25" s="19"/>
      <c r="N25" s="19"/>
      <c r="P25" s="19"/>
      <c r="AC25" s="33"/>
    </row>
    <row r="26" spans="1:34" s="15" customFormat="1" ht="16.5" thickBot="1" x14ac:dyDescent="0.3">
      <c r="A26" s="48">
        <v>2</v>
      </c>
      <c r="B26" s="49" t="str">
        <f>B14</f>
        <v>Voip Gateway ( Link Telephone )</v>
      </c>
      <c r="C26" s="50">
        <f>1-(((D26*3600)+(LEFT(E26,2)*60)+RIGHT(E26,2))/((60*60*24)*$C$8))</f>
        <v>1</v>
      </c>
      <c r="D26" s="51" t="str">
        <f>TEXT(SUM(D14:AG14),"[h]")</f>
        <v>0</v>
      </c>
      <c r="E26" s="52" t="str">
        <f>TEXT(SUM(D14:AF14),"mm ss")</f>
        <v>00 00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T26" s="93"/>
    </row>
    <row r="27" spans="1:34" s="15" customFormat="1" x14ac:dyDescent="0.2">
      <c r="A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28" t="s">
        <v>14</v>
      </c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71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4" x14ac:dyDescent="0.2">
      <c r="A29" s="38" t="s">
        <v>19</v>
      </c>
      <c r="C29" s="29">
        <f>(SUM(C25:C26))/(100%*2)</f>
        <v>1</v>
      </c>
      <c r="H29" s="36"/>
    </row>
    <row r="34" spans="6:32" x14ac:dyDescent="0.2"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6" spans="6:32" x14ac:dyDescent="0.2">
      <c r="J36" s="32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6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6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6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</sheetData>
  <mergeCells count="15">
    <mergeCell ref="D23:E23"/>
    <mergeCell ref="A23:A24"/>
    <mergeCell ref="B23:B24"/>
    <mergeCell ref="C23:C24"/>
    <mergeCell ref="B15:B20"/>
    <mergeCell ref="A15:A20"/>
    <mergeCell ref="D17:O17"/>
    <mergeCell ref="D18:O18"/>
    <mergeCell ref="D19:O19"/>
    <mergeCell ref="D20:O20"/>
    <mergeCell ref="A10:A11"/>
    <mergeCell ref="B10:B11"/>
    <mergeCell ref="C10:C11"/>
    <mergeCell ref="D15:O15"/>
    <mergeCell ref="D16:O16"/>
  </mergeCells>
  <phoneticPr fontId="9" type="noConversion"/>
  <conditionalFormatting sqref="Z14">
    <cfRule type="cellIs" dxfId="51" priority="128" stopIfTrue="1" operator="greaterThan">
      <formula>0</formula>
    </cfRule>
  </conditionalFormatting>
  <conditionalFormatting sqref="X14">
    <cfRule type="cellIs" dxfId="50" priority="110" stopIfTrue="1" operator="greaterThan">
      <formula>0</formula>
    </cfRule>
  </conditionalFormatting>
  <conditionalFormatting sqref="Y13:AA13 AC13">
    <cfRule type="cellIs" dxfId="49" priority="109" stopIfTrue="1" operator="greaterThan">
      <formula>0</formula>
    </cfRule>
  </conditionalFormatting>
  <conditionalFormatting sqref="P13 E13:G13 X13 I13:K13">
    <cfRule type="cellIs" dxfId="48" priority="107" stopIfTrue="1" operator="greaterThan">
      <formula>0</formula>
    </cfRule>
  </conditionalFormatting>
  <conditionalFormatting sqref="P14 I14:K14">
    <cfRule type="cellIs" dxfId="47" priority="102" stopIfTrue="1" operator="greaterThan">
      <formula>0</formula>
    </cfRule>
  </conditionalFormatting>
  <conditionalFormatting sqref="AC14">
    <cfRule type="cellIs" dxfId="46" priority="99" stopIfTrue="1" operator="greaterThan">
      <formula>0</formula>
    </cfRule>
  </conditionalFormatting>
  <conditionalFormatting sqref="AF13">
    <cfRule type="cellIs" dxfId="45" priority="97" stopIfTrue="1" operator="greaterThan">
      <formula>0</formula>
    </cfRule>
  </conditionalFormatting>
  <conditionalFormatting sqref="AF14">
    <cfRule type="cellIs" dxfId="44" priority="96" stopIfTrue="1" operator="greaterThan">
      <formula>0</formula>
    </cfRule>
  </conditionalFormatting>
  <conditionalFormatting sqref="AD13">
    <cfRule type="cellIs" dxfId="43" priority="87" stopIfTrue="1" operator="greaterThan">
      <formula>0</formula>
    </cfRule>
  </conditionalFormatting>
  <conditionalFormatting sqref="G14">
    <cfRule type="cellIs" dxfId="41" priority="83" stopIfTrue="1" operator="greaterThan">
      <formula>0</formula>
    </cfRule>
  </conditionalFormatting>
  <conditionalFormatting sqref="Y14">
    <cfRule type="cellIs" dxfId="40" priority="80" stopIfTrue="1" operator="greaterThan">
      <formula>0</formula>
    </cfRule>
  </conditionalFormatting>
  <conditionalFormatting sqref="H13">
    <cfRule type="cellIs" dxfId="38" priority="65" stopIfTrue="1" operator="greaterThan">
      <formula>0</formula>
    </cfRule>
  </conditionalFormatting>
  <conditionalFormatting sqref="H14">
    <cfRule type="cellIs" dxfId="37" priority="64" stopIfTrue="1" operator="greaterThan">
      <formula>0</formula>
    </cfRule>
  </conditionalFormatting>
  <conditionalFormatting sqref="F14">
    <cfRule type="cellIs" dxfId="36" priority="63" stopIfTrue="1" operator="greaterThan">
      <formula>0</formula>
    </cfRule>
  </conditionalFormatting>
  <conditionalFormatting sqref="AE13">
    <cfRule type="cellIs" dxfId="35" priority="61" stopIfTrue="1" operator="greaterThan">
      <formula>0</formula>
    </cfRule>
  </conditionalFormatting>
  <conditionalFormatting sqref="V13">
    <cfRule type="cellIs" dxfId="31" priority="54" stopIfTrue="1" operator="greaterThan">
      <formula>0</formula>
    </cfRule>
  </conditionalFormatting>
  <conditionalFormatting sqref="V14">
    <cfRule type="cellIs" dxfId="30" priority="53" stopIfTrue="1" operator="greaterThan">
      <formula>0</formula>
    </cfRule>
  </conditionalFormatting>
  <conditionalFormatting sqref="W13">
    <cfRule type="cellIs" dxfId="29" priority="52" stopIfTrue="1" operator="greaterThan">
      <formula>0</formula>
    </cfRule>
  </conditionalFormatting>
  <conditionalFormatting sqref="W14">
    <cfRule type="cellIs" dxfId="28" priority="51" stopIfTrue="1" operator="greaterThan">
      <formula>0</formula>
    </cfRule>
  </conditionalFormatting>
  <conditionalFormatting sqref="D13">
    <cfRule type="cellIs" dxfId="27" priority="41" stopIfTrue="1" operator="greaterThan">
      <formula>0</formula>
    </cfRule>
  </conditionalFormatting>
  <conditionalFormatting sqref="D14">
    <cfRule type="cellIs" dxfId="26" priority="40" stopIfTrue="1" operator="greaterThan">
      <formula>0</formula>
    </cfRule>
  </conditionalFormatting>
  <conditionalFormatting sqref="L13">
    <cfRule type="cellIs" dxfId="25" priority="39" stopIfTrue="1" operator="greaterThan">
      <formula>0</formula>
    </cfRule>
  </conditionalFormatting>
  <conditionalFormatting sqref="L14">
    <cfRule type="cellIs" dxfId="24" priority="38" stopIfTrue="1" operator="greaterThan">
      <formula>0</formula>
    </cfRule>
  </conditionalFormatting>
  <conditionalFormatting sqref="M13:O13">
    <cfRule type="cellIs" dxfId="23" priority="37" stopIfTrue="1" operator="greaterThan">
      <formula>0</formula>
    </cfRule>
  </conditionalFormatting>
  <conditionalFormatting sqref="M14:O14">
    <cfRule type="cellIs" dxfId="22" priority="36" stopIfTrue="1" operator="greaterThan">
      <formula>0</formula>
    </cfRule>
  </conditionalFormatting>
  <conditionalFormatting sqref="AG13">
    <cfRule type="cellIs" dxfId="21" priority="35" stopIfTrue="1" operator="greaterThan">
      <formula>0</formula>
    </cfRule>
  </conditionalFormatting>
  <conditionalFormatting sqref="AG14">
    <cfRule type="cellIs" dxfId="20" priority="34" stopIfTrue="1" operator="greaterThan">
      <formula>0</formula>
    </cfRule>
  </conditionalFormatting>
  <conditionalFormatting sqref="AD14">
    <cfRule type="cellIs" dxfId="19" priority="33" stopIfTrue="1" operator="greaterThan">
      <formula>0</formula>
    </cfRule>
  </conditionalFormatting>
  <conditionalFormatting sqref="AE14">
    <cfRule type="cellIs" dxfId="18" priority="32" stopIfTrue="1" operator="greaterThan">
      <formula>0</formula>
    </cfRule>
  </conditionalFormatting>
  <conditionalFormatting sqref="AB13:AB14">
    <cfRule type="cellIs" dxfId="17" priority="29" stopIfTrue="1" operator="greaterThan">
      <formula>0</formula>
    </cfRule>
  </conditionalFormatting>
  <conditionalFormatting sqref="AH13:AH14">
    <cfRule type="cellIs" dxfId="16" priority="25" stopIfTrue="1" operator="greaterThan">
      <formula>0</formula>
    </cfRule>
  </conditionalFormatting>
  <conditionalFormatting sqref="AA14">
    <cfRule type="cellIs" dxfId="15" priority="27" stopIfTrue="1" operator="greaterThan">
      <formula>0</formula>
    </cfRule>
  </conditionalFormatting>
  <conditionalFormatting sqref="S15">
    <cfRule type="cellIs" dxfId="14" priority="19" stopIfTrue="1" operator="greaterThan">
      <formula>0</formula>
    </cfRule>
  </conditionalFormatting>
  <conditionalFormatting sqref="V28">
    <cfRule type="cellIs" dxfId="8" priority="5" stopIfTrue="1" operator="greaterThan">
      <formula>0</formula>
    </cfRule>
  </conditionalFormatting>
  <conditionalFormatting sqref="E14">
    <cfRule type="cellIs" dxfId="5" priority="3" stopIfTrue="1" operator="greaterThan">
      <formula>0</formula>
    </cfRule>
  </conditionalFormatting>
  <conditionalFormatting sqref="Q13:U14">
    <cfRule type="cellIs" dxfId="3" priority="2" stopIfTrue="1" operator="greaterThan">
      <formula>0</formula>
    </cfRule>
  </conditionalFormatting>
  <conditionalFormatting sqref="T26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2022-01-03T01:23:02Z</dcterms:modified>
</cp:coreProperties>
</file>