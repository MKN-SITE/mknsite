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definedNames>
    <definedName name="_xlnm.Print_Area" localSheetId="0">'Avaibility LINK Hexindo - Pama'!$A$1:$AG$29</definedName>
  </definedNames>
  <calcPr calcId="144525"/>
</workbook>
</file>

<file path=xl/calcChain.xml><?xml version="1.0" encoding="utf-8"?>
<calcChain xmlns="http://schemas.openxmlformats.org/spreadsheetml/2006/main">
  <c r="D24" i="11" l="1"/>
  <c r="D23" i="11"/>
  <c r="E23" i="11" l="1"/>
  <c r="C23" i="11" s="1"/>
  <c r="E24" i="11"/>
  <c r="B24" i="11"/>
  <c r="B23" i="11"/>
  <c r="C24" i="11" l="1"/>
  <c r="C27" i="11" l="1"/>
</calcChain>
</file>

<file path=xl/sharedStrings.xml><?xml version="1.0" encoding="utf-8"?>
<sst xmlns="http://schemas.openxmlformats.org/spreadsheetml/2006/main" count="58" uniqueCount="26">
  <si>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</si>
  <si>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</si>
  <si>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</si>
  <si>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</si>
  <si>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</si>
  <si>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</si>
  <si>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</si>
  <si>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</si>
  <si>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</si>
  <si>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</si>
  <si>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</si>
  <si>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</si>
  <si>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</si>
  <si>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</si>
  <si>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</si>
  <si>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</si>
  <si>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</si>
  <si>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</si>
  <si>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</si>
  <si>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</si>
  <si>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Remark Down Time</t>
  </si>
  <si>
    <t>12--nov</t>
  </si>
  <si>
    <t>KPC Raya Mati Lampu</t>
  </si>
  <si>
    <t>Internet Intermitten ( Gangguan masal )</t>
  </si>
  <si>
    <t>Internet Problem dari Jakarta</t>
  </si>
  <si>
    <t>UPS Tower Surya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</si>
</sst>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-yy;@"/>
    <numFmt numFmtId="165" formatCode="0.00;[Red]0.00"/>
    <numFmt numFmtId="166" formatCode="h:mm:ss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8" xfId="0" applyFont="1" applyBorder="1" applyAlignment="1">
      <alignment horizontal="center"/>
    </xf>
    <xf numFmtId="0" fontId="36" fillId="0" borderId="29" xfId="0" applyFont="1" applyBorder="1"/>
    <xf numFmtId="10" fontId="36" fillId="0" borderId="29" xfId="0" applyNumberFormat="1" applyFont="1" applyBorder="1" applyAlignment="1">
      <alignment horizontal="center"/>
    </xf>
    <xf numFmtId="46" fontId="36" fillId="0" borderId="29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10" fontId="6" fillId="0" borderId="35" xfId="0" applyNumberFormat="1" applyFont="1" applyBorder="1" applyAlignment="1">
      <alignment horizontal="left" vertical="center" wrapText="1"/>
    </xf>
    <xf numFmtId="10" fontId="6" fillId="0" borderId="33" xfId="0" applyNumberFormat="1" applyFont="1" applyBorder="1" applyAlignment="1">
      <alignment horizontal="left" vertical="center" wrapText="1"/>
    </xf>
    <xf numFmtId="0" fontId="6" fillId="0" borderId="0" xfId="0" applyNumberFormat="1" applyFont="1"/>
    <xf numFmtId="15" fontId="6" fillId="0" borderId="32" xfId="0" applyNumberFormat="1" applyFont="1" applyBorder="1" applyAlignment="1">
      <alignment horizontal="left" vertical="center" wrapText="1"/>
    </xf>
    <xf numFmtId="165" fontId="13" fillId="0" borderId="0" xfId="0" applyNumberFormat="1" applyFont="1" applyAlignment="1"/>
    <xf numFmtId="10" fontId="6" fillId="0" borderId="36" xfId="0" applyNumberFormat="1" applyFont="1" applyBorder="1" applyAlignment="1">
      <alignment horizontal="left" vertical="center" wrapText="1"/>
    </xf>
    <xf numFmtId="0" fontId="6" fillId="0" borderId="0" xfId="0" applyFont="1" applyBorder="1"/>
    <xf numFmtId="0" fontId="6" fillId="0" borderId="34" xfId="0" applyFont="1" applyBorder="1"/>
    <xf numFmtId="0" fontId="6" fillId="0" borderId="26" xfId="0" applyFont="1" applyBorder="1"/>
    <xf numFmtId="16" fontId="8" fillId="33" borderId="3" xfId="0" applyNumberFormat="1" applyFont="1" applyFill="1" applyBorder="1" applyAlignment="1">
      <alignment horizontal="center"/>
    </xf>
    <xf numFmtId="166" fontId="6" fillId="0" borderId="0" xfId="0" applyNumberFormat="1" applyFont="1"/>
    <xf numFmtId="166" fontId="6" fillId="33" borderId="34" xfId="0" applyNumberFormat="1" applyFont="1" applyFill="1" applyBorder="1" applyAlignment="1">
      <alignment horizontal="center" vertical="center" wrapText="1"/>
    </xf>
    <xf numFmtId="0" fontId="0" fillId="34" borderId="0" xfId="0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0" fontId="6" fillId="0" borderId="26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 wrapText="1"/>
    </xf>
    <xf numFmtId="0" fontId="6" fillId="0" borderId="36" xfId="0" applyFont="1" applyBorder="1"/>
    <xf numFmtId="15" fontId="6" fillId="0" borderId="3" xfId="0" applyNumberFormat="1" applyFont="1" applyBorder="1" applyAlignment="1">
      <alignment horizontal="left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7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3"/>
  <sheetViews>
    <sheetView tabSelected="1" zoomScale="80" zoomScaleNormal="80" workbookViewId="0">
      <selection activeCell="G45" sqref="G45"/>
    </sheetView>
  </sheetViews>
  <sheetFormatPr defaultRowHeight="12.75" x14ac:dyDescent="0.2"/>
  <cols>
    <col min="1" max="1" width="5.7109375" style="2" customWidth="1"/>
    <col min="2" max="2" width="50.5703125" customWidth="1"/>
    <col min="3" max="3" width="17.42578125" bestFit="1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44501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79" t="s">
        <v>2</v>
      </c>
      <c r="B10" s="81" t="s">
        <v>0</v>
      </c>
      <c r="C10" s="83" t="s">
        <v>7</v>
      </c>
      <c r="D10" s="54">
        <v>44501</v>
      </c>
      <c r="E10" s="54">
        <v>44502</v>
      </c>
      <c r="F10" s="54">
        <v>44503</v>
      </c>
      <c r="G10" s="54">
        <v>44504</v>
      </c>
      <c r="H10" s="54">
        <v>44505</v>
      </c>
      <c r="I10" s="54">
        <v>44506</v>
      </c>
      <c r="J10" s="54">
        <v>44507</v>
      </c>
      <c r="K10" s="54">
        <v>44508</v>
      </c>
      <c r="L10" s="54">
        <v>44509</v>
      </c>
      <c r="M10" s="54">
        <v>44510</v>
      </c>
      <c r="N10" s="54">
        <v>44511</v>
      </c>
      <c r="O10" s="54" t="s">
        <v>21</v>
      </c>
      <c r="P10" s="54">
        <v>44513</v>
      </c>
      <c r="Q10" s="54">
        <v>44514</v>
      </c>
      <c r="R10" s="54">
        <v>44515</v>
      </c>
      <c r="S10" s="69">
        <v>44516</v>
      </c>
      <c r="T10" s="54">
        <v>44517</v>
      </c>
      <c r="U10" s="54">
        <v>44518</v>
      </c>
      <c r="V10" s="54">
        <v>44519</v>
      </c>
      <c r="W10" s="54">
        <v>44520</v>
      </c>
      <c r="X10" s="54">
        <v>44521</v>
      </c>
      <c r="Y10" s="54">
        <v>44522</v>
      </c>
      <c r="Z10" s="54">
        <v>44523</v>
      </c>
      <c r="AA10" s="54">
        <v>44524</v>
      </c>
      <c r="AB10" s="54">
        <v>44525</v>
      </c>
      <c r="AC10" s="54">
        <v>44526</v>
      </c>
      <c r="AD10" s="54">
        <v>44527</v>
      </c>
      <c r="AE10" s="54">
        <v>44528</v>
      </c>
      <c r="AF10" s="54">
        <v>44529</v>
      </c>
      <c r="AG10" s="55">
        <v>44530</v>
      </c>
    </row>
    <row r="11" spans="1:33" s="1" customFormat="1" x14ac:dyDescent="0.2">
      <c r="A11" s="80"/>
      <c r="B11" s="82"/>
      <c r="C11" s="84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72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7" t="s">
        <v>16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0.17430555555555557</v>
      </c>
      <c r="M13" s="35">
        <v>0.10416666666666667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71">
        <v>9.0972222222222218E-2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4.1666666666666664E-2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53" t="s">
        <v>17</v>
      </c>
      <c r="C14" s="57" t="s">
        <v>16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0.17430555555555557</v>
      </c>
      <c r="M14" s="35">
        <v>0.10416666666666667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71">
        <v>9.0972222222222218E-2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4.1666666666666664E-2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5" customFormat="1" ht="18" customHeight="1" x14ac:dyDescent="0.2">
      <c r="A15" s="94">
        <v>3</v>
      </c>
      <c r="B15" s="91" t="s">
        <v>20</v>
      </c>
      <c r="C15" s="63">
        <v>44509</v>
      </c>
      <c r="D15" s="73" t="s">
        <v>22</v>
      </c>
      <c r="E15" s="61"/>
      <c r="F15" s="61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65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60"/>
    </row>
    <row r="16" spans="1:33" s="15" customFormat="1" ht="19.5" customHeight="1" x14ac:dyDescent="0.2">
      <c r="A16" s="95"/>
      <c r="B16" s="92"/>
      <c r="C16" s="63">
        <v>44510</v>
      </c>
      <c r="D16" s="74" t="s">
        <v>23</v>
      </c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7"/>
      <c r="T16" s="61"/>
      <c r="U16" s="61"/>
      <c r="V16" s="61"/>
      <c r="W16" s="61"/>
      <c r="X16" s="61"/>
      <c r="Y16" s="61"/>
      <c r="Z16" s="61"/>
      <c r="AB16" s="61"/>
      <c r="AC16" s="61"/>
      <c r="AD16" s="61"/>
      <c r="AE16" s="61"/>
      <c r="AF16" s="61"/>
      <c r="AG16" s="61"/>
    </row>
    <row r="17" spans="1:33" s="15" customFormat="1" ht="19.5" customHeight="1" x14ac:dyDescent="0.2">
      <c r="A17" s="95"/>
      <c r="B17" s="92"/>
      <c r="C17" s="63">
        <v>44516</v>
      </c>
      <c r="D17" s="74" t="s">
        <v>24</v>
      </c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7"/>
      <c r="T17" s="76"/>
      <c r="U17" s="76"/>
      <c r="V17" s="76"/>
      <c r="W17" s="76"/>
      <c r="X17" s="76"/>
      <c r="Y17" s="76"/>
      <c r="Z17" s="76"/>
      <c r="AB17" s="76"/>
      <c r="AC17" s="76"/>
      <c r="AD17" s="76"/>
      <c r="AE17" s="76"/>
      <c r="AF17" s="76"/>
      <c r="AG17" s="76"/>
    </row>
    <row r="18" spans="1:33" s="15" customFormat="1" ht="21.75" customHeight="1" thickBot="1" x14ac:dyDescent="0.25">
      <c r="A18" s="96"/>
      <c r="B18" s="93"/>
      <c r="C18" s="78">
        <v>44525</v>
      </c>
      <c r="D18" s="75" t="s">
        <v>25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6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</row>
    <row r="19" spans="1:33" s="15" customFormat="1" x14ac:dyDescent="0.2">
      <c r="A19" s="16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S19" s="66"/>
      <c r="U19" s="62"/>
    </row>
    <row r="20" spans="1:33" s="15" customFormat="1" ht="13.5" thickBot="1" x14ac:dyDescent="0.25">
      <c r="A20" s="27" t="s">
        <v>11</v>
      </c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3"/>
    </row>
    <row r="21" spans="1:33" s="15" customFormat="1" x14ac:dyDescent="0.2">
      <c r="A21" s="87" t="s">
        <v>2</v>
      </c>
      <c r="B21" s="89" t="s">
        <v>8</v>
      </c>
      <c r="C21" s="89" t="s">
        <v>1</v>
      </c>
      <c r="D21" s="85" t="s">
        <v>6</v>
      </c>
      <c r="E21" s="86"/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3"/>
    </row>
    <row r="22" spans="1:33" s="15" customFormat="1" x14ac:dyDescent="0.2">
      <c r="A22" s="88"/>
      <c r="B22" s="90"/>
      <c r="C22" s="90"/>
      <c r="D22" s="29" t="s">
        <v>9</v>
      </c>
      <c r="E22" s="45" t="s">
        <v>10</v>
      </c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3"/>
    </row>
    <row r="23" spans="1:33" s="15" customFormat="1" ht="15.75" x14ac:dyDescent="0.25">
      <c r="A23" s="46">
        <v>1</v>
      </c>
      <c r="B23" s="39" t="str">
        <f>B13</f>
        <v>Link Wireless   Hexindo to Pama Soulmate</v>
      </c>
      <c r="C23" s="40">
        <f>1-(((D23*3600)+(LEFT(E23,2)*60)+RIGHT(E23,2))/((60*60*24)*$C$8))</f>
        <v>0.98629629629629634</v>
      </c>
      <c r="D23" s="41" t="str">
        <f>TEXT(SUM(D13:AG13),"[h]")</f>
        <v>9</v>
      </c>
      <c r="E23" s="47" t="str">
        <f>TEXT(SUM(D13:AF13),"mm ss")</f>
        <v>52 00</v>
      </c>
      <c r="F23" s="25"/>
      <c r="G23" s="19"/>
      <c r="H23" s="26"/>
      <c r="I23" s="19"/>
      <c r="J23" s="19"/>
      <c r="K23" s="19"/>
      <c r="L23" s="19"/>
      <c r="M23" s="19"/>
      <c r="N23" s="19"/>
      <c r="P23" s="19"/>
      <c r="S23" s="70"/>
      <c r="AC23" s="33"/>
    </row>
    <row r="24" spans="1:33" s="15" customFormat="1" ht="16.5" thickBot="1" x14ac:dyDescent="0.3">
      <c r="A24" s="48">
        <v>2</v>
      </c>
      <c r="B24" s="49" t="str">
        <f>B14</f>
        <v>Voip Gateway ( Link Telephone )</v>
      </c>
      <c r="C24" s="50">
        <f>1-(((D24*3600)+(LEFT(E24,2)*60)+RIGHT(E24,2))/((60*60*24)*$C$8))</f>
        <v>0.98629629629629634</v>
      </c>
      <c r="D24" s="51" t="str">
        <f>TEXT(SUM(D14:AG14),"[h]")</f>
        <v>9</v>
      </c>
      <c r="E24" s="52" t="str">
        <f>TEXT(SUM(D14:AF14),"mm ss")</f>
        <v>52 00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S24" s="23"/>
    </row>
    <row r="25" spans="1:33" s="15" customFormat="1" x14ac:dyDescent="0.2">
      <c r="A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S25"/>
    </row>
    <row r="26" spans="1:33" s="20" customFormat="1" x14ac:dyDescent="0.2">
      <c r="A26" s="28" t="s">
        <v>14</v>
      </c>
      <c r="C26" s="24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3" x14ac:dyDescent="0.2">
      <c r="A27" s="38" t="s">
        <v>19</v>
      </c>
      <c r="C27" s="29">
        <f>(SUM(C23:C24))/(100%*2)</f>
        <v>0.98629629629629634</v>
      </c>
      <c r="H27" s="36"/>
      <c r="N27" s="64"/>
    </row>
    <row r="29" spans="1:33" x14ac:dyDescent="0.2">
      <c r="U29">
        <v>2</v>
      </c>
    </row>
    <row r="30" spans="1:33" x14ac:dyDescent="0.2">
      <c r="S30" s="32"/>
    </row>
    <row r="32" spans="1:33" x14ac:dyDescent="0.2">
      <c r="Q32" s="32"/>
      <c r="R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4" spans="6:32" x14ac:dyDescent="0.2">
      <c r="J34" s="32"/>
    </row>
    <row r="38" spans="6:32" x14ac:dyDescent="0.2">
      <c r="S38" s="30"/>
    </row>
    <row r="39" spans="6:32" x14ac:dyDescent="0.2">
      <c r="S39" s="30"/>
    </row>
    <row r="40" spans="6:32" x14ac:dyDescent="0.2">
      <c r="F40" s="30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6:32" x14ac:dyDescent="0.2">
      <c r="F41" s="30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6:32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</sheetData>
  <mergeCells count="9">
    <mergeCell ref="A10:A11"/>
    <mergeCell ref="B10:B11"/>
    <mergeCell ref="C10:C11"/>
    <mergeCell ref="D21:E21"/>
    <mergeCell ref="A21:A22"/>
    <mergeCell ref="B21:B22"/>
    <mergeCell ref="C21:C22"/>
    <mergeCell ref="B15:B18"/>
    <mergeCell ref="A15:A18"/>
  </mergeCells>
  <phoneticPr fontId="9" type="noConversion"/>
  <conditionalFormatting sqref="P13:Q13 E13:G13 I13:K13 W13:Y13 AA13:AC13">
    <cfRule type="cellIs" dxfId="21" priority="82" stopIfTrue="1" operator="greaterThan">
      <formula>0</formula>
    </cfRule>
  </conditionalFormatting>
  <conditionalFormatting sqref="P14:Q14 I14:K14 AA14 AC14">
    <cfRule type="cellIs" dxfId="20" priority="77" stopIfTrue="1" operator="greaterThan">
      <formula>0</formula>
    </cfRule>
  </conditionalFormatting>
  <conditionalFormatting sqref="E14 W14">
    <cfRule type="cellIs" dxfId="19" priority="59" stopIfTrue="1" operator="greaterThan">
      <formula>0</formula>
    </cfRule>
  </conditionalFormatting>
  <conditionalFormatting sqref="G14 Y14">
    <cfRule type="cellIs" dxfId="18" priority="58" stopIfTrue="1" operator="greaterThan">
      <formula>0</formula>
    </cfRule>
  </conditionalFormatting>
  <conditionalFormatting sqref="R13">
    <cfRule type="cellIs" dxfId="17" priority="50" stopIfTrue="1" operator="greaterThan">
      <formula>0</formula>
    </cfRule>
  </conditionalFormatting>
  <conditionalFormatting sqref="R14">
    <cfRule type="cellIs" dxfId="16" priority="49" stopIfTrue="1" operator="greaterThan">
      <formula>0</formula>
    </cfRule>
  </conditionalFormatting>
  <conditionalFormatting sqref="H13 Z13">
    <cfRule type="cellIs" dxfId="15" priority="40" stopIfTrue="1" operator="greaterThan">
      <formula>0</formula>
    </cfRule>
  </conditionalFormatting>
  <conditionalFormatting sqref="H14 Z14">
    <cfRule type="cellIs" dxfId="14" priority="39" stopIfTrue="1" operator="greaterThan">
      <formula>0</formula>
    </cfRule>
  </conditionalFormatting>
  <conditionalFormatting sqref="F14 X14">
    <cfRule type="cellIs" dxfId="13" priority="38" stopIfTrue="1" operator="greaterThan">
      <formula>0</formula>
    </cfRule>
  </conditionalFormatting>
  <conditionalFormatting sqref="T13">
    <cfRule type="cellIs" dxfId="12" priority="33" stopIfTrue="1" operator="greaterThan">
      <formula>0</formula>
    </cfRule>
  </conditionalFormatting>
  <conditionalFormatting sqref="T14">
    <cfRule type="cellIs" dxfId="11" priority="32" stopIfTrue="1" operator="greaterThan">
      <formula>0</formula>
    </cfRule>
  </conditionalFormatting>
  <conditionalFormatting sqref="U13">
    <cfRule type="cellIs" dxfId="10" priority="31" stopIfTrue="1" operator="greaterThan">
      <formula>0</formula>
    </cfRule>
  </conditionalFormatting>
  <conditionalFormatting sqref="U14">
    <cfRule type="cellIs" dxfId="9" priority="30" stopIfTrue="1" operator="greaterThan">
      <formula>0</formula>
    </cfRule>
  </conditionalFormatting>
  <conditionalFormatting sqref="D13 V13">
    <cfRule type="cellIs" dxfId="8" priority="16" stopIfTrue="1" operator="greaterThan">
      <formula>0</formula>
    </cfRule>
  </conditionalFormatting>
  <conditionalFormatting sqref="D14 V14">
    <cfRule type="cellIs" dxfId="7" priority="15" stopIfTrue="1" operator="greaterThan">
      <formula>0</formula>
    </cfRule>
  </conditionalFormatting>
  <conditionalFormatting sqref="L13 AD13">
    <cfRule type="cellIs" dxfId="6" priority="14" stopIfTrue="1" operator="greaterThan">
      <formula>0</formula>
    </cfRule>
  </conditionalFormatting>
  <conditionalFormatting sqref="AD14">
    <cfRule type="cellIs" dxfId="5" priority="13" stopIfTrue="1" operator="greaterThan">
      <formula>0</formula>
    </cfRule>
  </conditionalFormatting>
  <conditionalFormatting sqref="M13:O13 AE13:AG13">
    <cfRule type="cellIs" dxfId="4" priority="12" stopIfTrue="1" operator="greaterThan">
      <formula>0</formula>
    </cfRule>
  </conditionalFormatting>
  <conditionalFormatting sqref="N14:O14 AE14:AG14">
    <cfRule type="cellIs" dxfId="3" priority="11" stopIfTrue="1" operator="greaterThan">
      <formula>0</formula>
    </cfRule>
  </conditionalFormatting>
  <conditionalFormatting sqref="L14">
    <cfRule type="cellIs" dxfId="2" priority="3" stopIfTrue="1" operator="greaterThan">
      <formula>0</formula>
    </cfRule>
  </conditionalFormatting>
  <conditionalFormatting sqref="M14">
    <cfRule type="cellIs" dxfId="1" priority="2" stopIfTrue="1" operator="greaterThan">
      <formula>0</formula>
    </cfRule>
  </conditionalFormatting>
  <conditionalFormatting sqref="AB1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LINK Hexindo - Pama</vt:lpstr>
      <vt:lpstr>'Avaibility LINK Hexindo - Pama'!Print_Area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2021-12-01T09:16:21Z</cp:lastPrinted>
  <dcterms:created xsi:type="dcterms:W3CDTF">2006-10-16T02:50:45Z</dcterms:created>
  <dcterms:modified xsi:type="dcterms:W3CDTF">2021-12-01T09:16:28Z</dcterms:modified>
</cp:coreProperties>
</file>