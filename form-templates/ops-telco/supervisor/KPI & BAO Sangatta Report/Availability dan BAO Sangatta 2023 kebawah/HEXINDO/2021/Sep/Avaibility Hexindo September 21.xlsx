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3" i="11" l="1"/>
  <c r="D22" i="11"/>
  <c r="E22" i="11" l="1"/>
  <c r="C22" i="11" s="1"/>
  <c r="E23" i="11"/>
  <c r="B23" i="11"/>
  <c r="B22" i="11"/>
  <c r="C23" i="11" l="1"/>
  <c r="C26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<sst xmlns="http://schemas.openxmlformats.org/spreadsheetml/2006/main" count="54" uniqueCount="22">
  <si>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</si>
  <si>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</si>
  <si>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</si>
  <si>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</si>
  <si>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</si>
  <si>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</si>
  <si>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</si>
  <si>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</si>
  <si>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</si>
  <si>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</si>
  <si>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</si>
  <si>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</si>
  <si>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</si>
  <si>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</si>
  <si>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</si>
  <si>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</si>
  <si>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</si>
  <si>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</si>
  <si>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</si>
  <si>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</si>
  <si>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</si>
  <si>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>27 - 28 September 2021 Intermitten karena pointing antena di pama Shoulmate berubah / bergeser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</si>
</sst>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5" xfId="0" applyNumberFormat="1" applyFont="1" applyBorder="1" applyAlignment="1">
      <alignment horizontal="left" vertical="center" wrapText="1"/>
    </xf>
    <xf numFmtId="10" fontId="6" fillId="0" borderId="36" xfId="0" applyNumberFormat="1" applyFont="1" applyBorder="1" applyAlignment="1">
      <alignment horizontal="left" vertical="center" wrapText="1"/>
    </xf>
    <xf numFmtId="15" fontId="6" fillId="0" borderId="3" xfId="0" applyNumberFormat="1" applyFont="1" applyBorder="1" applyAlignment="1">
      <alignment horizontal="left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selection activeCell="G36" sqref="G36"/>
    </sheetView>
  </sheetViews>
  <sheetFormatPr defaultRowHeight="12.75" x14ac:dyDescent="0.2"/>
  <cols>
    <col min="1" max="1" width="5.7109375" style="2" customWidth="1"/>
    <col min="2" max="2" width="45.5703125" customWidth="1"/>
    <col min="3" max="3" width="16.140625" bestFit="1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44440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4" t="s">
        <v>2</v>
      </c>
      <c r="B10" s="56" t="s">
        <v>0</v>
      </c>
      <c r="C10" s="74" t="s">
        <v>7</v>
      </c>
      <c r="D10" s="75">
        <v>44440</v>
      </c>
      <c r="E10" s="75">
        <v>44441</v>
      </c>
      <c r="F10" s="75">
        <v>44442</v>
      </c>
      <c r="G10" s="75">
        <v>44443</v>
      </c>
      <c r="H10" s="75">
        <v>44444</v>
      </c>
      <c r="I10" s="75">
        <v>44445</v>
      </c>
      <c r="J10" s="75">
        <v>44446</v>
      </c>
      <c r="K10" s="75">
        <v>44447</v>
      </c>
      <c r="L10" s="75">
        <v>44448</v>
      </c>
      <c r="M10" s="75">
        <v>44449</v>
      </c>
      <c r="N10" s="75">
        <v>44450</v>
      </c>
      <c r="O10" s="75">
        <v>44451</v>
      </c>
      <c r="P10" s="75">
        <v>44452</v>
      </c>
      <c r="Q10" s="75">
        <v>44453</v>
      </c>
      <c r="R10" s="75">
        <v>44454</v>
      </c>
      <c r="S10" s="75">
        <v>44455</v>
      </c>
      <c r="T10" s="75">
        <v>44456</v>
      </c>
      <c r="U10" s="75">
        <v>44457</v>
      </c>
      <c r="V10" s="75">
        <v>44458</v>
      </c>
      <c r="W10" s="75">
        <v>44459</v>
      </c>
      <c r="X10" s="75">
        <v>44460</v>
      </c>
      <c r="Y10" s="75">
        <v>44461</v>
      </c>
      <c r="Z10" s="75">
        <v>44462</v>
      </c>
      <c r="AA10" s="75">
        <v>44463</v>
      </c>
      <c r="AB10" s="75">
        <v>44464</v>
      </c>
      <c r="AC10" s="75">
        <v>44465</v>
      </c>
      <c r="AD10" s="75">
        <v>44466</v>
      </c>
      <c r="AE10" s="75">
        <v>44467</v>
      </c>
      <c r="AF10" s="75">
        <v>44468</v>
      </c>
      <c r="AG10" s="76">
        <v>44469</v>
      </c>
    </row>
    <row r="11" spans="1:33" s="1" customFormat="1" x14ac:dyDescent="0.2">
      <c r="A11" s="55"/>
      <c r="B11" s="57"/>
      <c r="C11" s="7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78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79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0.15</v>
      </c>
      <c r="AE13" s="35">
        <v>0.3576388888888889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53" t="s">
        <v>17</v>
      </c>
      <c r="C14" s="79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0.15</v>
      </c>
      <c r="AE14" s="35">
        <v>0.3576388888888889</v>
      </c>
      <c r="AF14" s="35">
        <v>0</v>
      </c>
      <c r="AG14" s="35">
        <v>0</v>
      </c>
    </row>
    <row r="15" spans="1:33" s="15" customFormat="1" ht="18" customHeight="1" x14ac:dyDescent="0.2">
      <c r="A15" s="69">
        <v>3</v>
      </c>
      <c r="B15" s="66" t="s">
        <v>20</v>
      </c>
      <c r="C15" s="82" t="s">
        <v>21</v>
      </c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1"/>
    </row>
    <row r="16" spans="1:33" s="15" customFormat="1" ht="19.5" customHeight="1" x14ac:dyDescent="0.2">
      <c r="A16" s="70"/>
      <c r="B16" s="67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 s="15" customFormat="1" ht="21.75" customHeight="1" thickBot="1" x14ac:dyDescent="0.25">
      <c r="A17" s="71"/>
      <c r="B17" s="68"/>
      <c r="C17" s="64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</row>
    <row r="18" spans="1:33" s="15" customFormat="1" x14ac:dyDescent="0.2">
      <c r="A18" s="16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33" s="15" customFormat="1" ht="13.5" thickBot="1" x14ac:dyDescent="0.25">
      <c r="A19" s="27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3"/>
    </row>
    <row r="20" spans="1:33" s="15" customFormat="1" x14ac:dyDescent="0.2">
      <c r="A20" s="60" t="s">
        <v>2</v>
      </c>
      <c r="B20" s="62" t="s">
        <v>8</v>
      </c>
      <c r="C20" s="62" t="s">
        <v>1</v>
      </c>
      <c r="D20" s="58" t="s">
        <v>6</v>
      </c>
      <c r="E20" s="59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3"/>
    </row>
    <row r="21" spans="1:33" s="15" customFormat="1" x14ac:dyDescent="0.2">
      <c r="A21" s="61"/>
      <c r="B21" s="63"/>
      <c r="C21" s="63"/>
      <c r="D21" s="29" t="s">
        <v>9</v>
      </c>
      <c r="E21" s="45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3"/>
    </row>
    <row r="22" spans="1:33" s="15" customFormat="1" ht="15.75" x14ac:dyDescent="0.25">
      <c r="A22" s="46">
        <v>1</v>
      </c>
      <c r="B22" s="39" t="str">
        <f>B13</f>
        <v>Link Wireless   Hexindo to Pama Soulmate</v>
      </c>
      <c r="C22" s="40">
        <f>1-(((D22*3600)+(LEFT(E22,2)*60)+RIGHT(E22,2))/((60*60*24)*$C$8))</f>
        <v>0.98307870370370365</v>
      </c>
      <c r="D22" s="41" t="str">
        <f>TEXT(SUM(D13:AG13),"[h]")</f>
        <v>12</v>
      </c>
      <c r="E22" s="47" t="str">
        <f>TEXT(SUM(D13:AF13),"mm ss")</f>
        <v>11 00</v>
      </c>
      <c r="F22" s="25"/>
      <c r="G22" s="19"/>
      <c r="H22" s="26"/>
      <c r="I22" s="19"/>
      <c r="J22" s="19"/>
      <c r="K22" s="19"/>
      <c r="L22" s="19"/>
      <c r="M22" s="19"/>
      <c r="N22" s="19"/>
      <c r="P22" s="19"/>
      <c r="AC22" s="33"/>
    </row>
    <row r="23" spans="1:33" s="15" customFormat="1" ht="16.5" thickBot="1" x14ac:dyDescent="0.3">
      <c r="A23" s="48">
        <v>2</v>
      </c>
      <c r="B23" s="49" t="str">
        <f>B14</f>
        <v>Voip Gateway ( Link Telephone )</v>
      </c>
      <c r="C23" s="50">
        <f>1-(((D23*3600)+(LEFT(E23,2)*60)+RIGHT(E23,2))/((60*60*24)*$C$8))</f>
        <v>0.98307870370370365</v>
      </c>
      <c r="D23" s="51" t="str">
        <f>TEXT(SUM(D14:AG14),"[h]")</f>
        <v>12</v>
      </c>
      <c r="E23" s="52" t="str">
        <f>TEXT(SUM(D14:AF14),"mm ss")</f>
        <v>11 00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28" t="s">
        <v>14</v>
      </c>
      <c r="C25" s="2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x14ac:dyDescent="0.2">
      <c r="A26" s="38" t="s">
        <v>19</v>
      </c>
      <c r="C26" s="29">
        <f>(SUM(C22:C23))/(100%*2)</f>
        <v>0.98307870370370365</v>
      </c>
      <c r="H26" s="36"/>
    </row>
    <row r="31" spans="1:33" x14ac:dyDescent="0.2"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3" spans="6:32" x14ac:dyDescent="0.2">
      <c r="J33" s="32"/>
    </row>
    <row r="39" spans="6:32" x14ac:dyDescent="0.2">
      <c r="F39" s="30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6:32" x14ac:dyDescent="0.2">
      <c r="F40" s="3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6:32" x14ac:dyDescent="0.2"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</sheetData>
  <mergeCells count="12">
    <mergeCell ref="A10:A11"/>
    <mergeCell ref="B10:B11"/>
    <mergeCell ref="C10:C11"/>
    <mergeCell ref="D20:E20"/>
    <mergeCell ref="A20:A21"/>
    <mergeCell ref="B20:B21"/>
    <mergeCell ref="C20:C21"/>
    <mergeCell ref="C17:AG17"/>
    <mergeCell ref="C15:AG15"/>
    <mergeCell ref="B15:B17"/>
    <mergeCell ref="A15:A17"/>
    <mergeCell ref="C16:AG16"/>
  </mergeCells>
  <phoneticPr fontId="9" type="noConversion"/>
  <conditionalFormatting sqref="Z14">
    <cfRule type="cellIs" dxfId="50" priority="100" stopIfTrue="1" operator="greaterThan">
      <formula>0</formula>
    </cfRule>
  </conditionalFormatting>
  <conditionalFormatting sqref="X14">
    <cfRule type="cellIs" dxfId="49" priority="82" stopIfTrue="1" operator="greaterThan">
      <formula>0</formula>
    </cfRule>
  </conditionalFormatting>
  <conditionalFormatting sqref="Y13:AA13 AC13">
    <cfRule type="cellIs" dxfId="48" priority="81" stopIfTrue="1" operator="greaterThan">
      <formula>0</formula>
    </cfRule>
  </conditionalFormatting>
  <conditionalFormatting sqref="P13:Q13 E13:G13 X13 I13:K13">
    <cfRule type="cellIs" dxfId="47" priority="79" stopIfTrue="1" operator="greaterThan">
      <formula>0</formula>
    </cfRule>
  </conditionalFormatting>
  <conditionalFormatting sqref="P14:Q14 I14:K14">
    <cfRule type="cellIs" dxfId="46" priority="74" stopIfTrue="1" operator="greaterThan">
      <formula>0</formula>
    </cfRule>
  </conditionalFormatting>
  <conditionalFormatting sqref="AC14">
    <cfRule type="cellIs" dxfId="45" priority="71" stopIfTrue="1" operator="greaterThan">
      <formula>0</formula>
    </cfRule>
  </conditionalFormatting>
  <conditionalFormatting sqref="AF13">
    <cfRule type="cellIs" dxfId="44" priority="69" stopIfTrue="1" operator="greaterThan">
      <formula>0</formula>
    </cfRule>
  </conditionalFormatting>
  <conditionalFormatting sqref="AF14">
    <cfRule type="cellIs" dxfId="43" priority="68" stopIfTrue="1" operator="greaterThan">
      <formula>0</formula>
    </cfRule>
  </conditionalFormatting>
  <conditionalFormatting sqref="AD13">
    <cfRule type="cellIs" dxfId="41" priority="59" stopIfTrue="1" operator="greaterThan">
      <formula>0</formula>
    </cfRule>
  </conditionalFormatting>
  <conditionalFormatting sqref="AA14">
    <cfRule type="cellIs" dxfId="40" priority="58" stopIfTrue="1" operator="greaterThan">
      <formula>0</formula>
    </cfRule>
  </conditionalFormatting>
  <conditionalFormatting sqref="E14">
    <cfRule type="cellIs" dxfId="39" priority="56" stopIfTrue="1" operator="greaterThan">
      <formula>0</formula>
    </cfRule>
  </conditionalFormatting>
  <conditionalFormatting sqref="G14">
    <cfRule type="cellIs" dxfId="38" priority="55" stopIfTrue="1" operator="greaterThan">
      <formula>0</formula>
    </cfRule>
  </conditionalFormatting>
  <conditionalFormatting sqref="Y14">
    <cfRule type="cellIs" dxfId="37" priority="52" stopIfTrue="1" operator="greaterThan">
      <formula>0</formula>
    </cfRule>
  </conditionalFormatting>
  <conditionalFormatting sqref="R13">
    <cfRule type="cellIs" dxfId="36" priority="47" stopIfTrue="1" operator="greaterThan">
      <formula>0</formula>
    </cfRule>
  </conditionalFormatting>
  <conditionalFormatting sqref="R14">
    <cfRule type="cellIs" dxfId="35" priority="46" stopIfTrue="1" operator="greaterThan">
      <formula>0</formula>
    </cfRule>
  </conditionalFormatting>
  <conditionalFormatting sqref="H13">
    <cfRule type="cellIs" dxfId="32" priority="37" stopIfTrue="1" operator="greaterThan">
      <formula>0</formula>
    </cfRule>
  </conditionalFormatting>
  <conditionalFormatting sqref="H14">
    <cfRule type="cellIs" dxfId="31" priority="36" stopIfTrue="1" operator="greaterThan">
      <formula>0</formula>
    </cfRule>
  </conditionalFormatting>
  <conditionalFormatting sqref="F14">
    <cfRule type="cellIs" dxfId="30" priority="35" stopIfTrue="1" operator="greaterThan">
      <formula>0</formula>
    </cfRule>
  </conditionalFormatting>
  <conditionalFormatting sqref="AE13">
    <cfRule type="cellIs" dxfId="28" priority="33" stopIfTrue="1" operator="greaterThan">
      <formula>0</formula>
    </cfRule>
  </conditionalFormatting>
  <conditionalFormatting sqref="S13">
    <cfRule type="cellIs" dxfId="27" priority="32" stopIfTrue="1" operator="greaterThan">
      <formula>0</formula>
    </cfRule>
  </conditionalFormatting>
  <conditionalFormatting sqref="S14">
    <cfRule type="cellIs" dxfId="26" priority="31" stopIfTrue="1" operator="greaterThan">
      <formula>0</formula>
    </cfRule>
  </conditionalFormatting>
  <conditionalFormatting sqref="T13">
    <cfRule type="cellIs" dxfId="25" priority="30" stopIfTrue="1" operator="greaterThan">
      <formula>0</formula>
    </cfRule>
  </conditionalFormatting>
  <conditionalFormatting sqref="T14">
    <cfRule type="cellIs" dxfId="24" priority="29" stopIfTrue="1" operator="greaterThan">
      <formula>0</formula>
    </cfRule>
  </conditionalFormatting>
  <conditionalFormatting sqref="U13">
    <cfRule type="cellIs" dxfId="23" priority="28" stopIfTrue="1" operator="greaterThan">
      <formula>0</formula>
    </cfRule>
  </conditionalFormatting>
  <conditionalFormatting sqref="U14">
    <cfRule type="cellIs" dxfId="22" priority="27" stopIfTrue="1" operator="greaterThan">
      <formula>0</formula>
    </cfRule>
  </conditionalFormatting>
  <conditionalFormatting sqref="V13">
    <cfRule type="cellIs" dxfId="21" priority="26" stopIfTrue="1" operator="greaterThan">
      <formula>0</formula>
    </cfRule>
  </conditionalFormatting>
  <conditionalFormatting sqref="V14">
    <cfRule type="cellIs" dxfId="20" priority="25" stopIfTrue="1" operator="greaterThan">
      <formula>0</formula>
    </cfRule>
  </conditionalFormatting>
  <conditionalFormatting sqref="W13">
    <cfRule type="cellIs" dxfId="19" priority="24" stopIfTrue="1" operator="greaterThan">
      <formula>0</formula>
    </cfRule>
  </conditionalFormatting>
  <conditionalFormatting sqref="W14">
    <cfRule type="cellIs" dxfId="18" priority="23" stopIfTrue="1" operator="greaterThan">
      <formula>0</formula>
    </cfRule>
  </conditionalFormatting>
  <conditionalFormatting sqref="D13">
    <cfRule type="cellIs" dxfId="17" priority="13" stopIfTrue="1" operator="greaterThan">
      <formula>0</formula>
    </cfRule>
  </conditionalFormatting>
  <conditionalFormatting sqref="D14">
    <cfRule type="cellIs" dxfId="16" priority="12" stopIfTrue="1" operator="greaterThan">
      <formula>0</formula>
    </cfRule>
  </conditionalFormatting>
  <conditionalFormatting sqref="L13">
    <cfRule type="cellIs" dxfId="15" priority="11" stopIfTrue="1" operator="greaterThan">
      <formula>0</formula>
    </cfRule>
  </conditionalFormatting>
  <conditionalFormatting sqref="L14">
    <cfRule type="cellIs" dxfId="14" priority="10" stopIfTrue="1" operator="greaterThan">
      <formula>0</formula>
    </cfRule>
  </conditionalFormatting>
  <conditionalFormatting sqref="M13:O13">
    <cfRule type="cellIs" dxfId="13" priority="9" stopIfTrue="1" operator="greaterThan">
      <formula>0</formula>
    </cfRule>
  </conditionalFormatting>
  <conditionalFormatting sqref="M14:O14">
    <cfRule type="cellIs" dxfId="12" priority="8" stopIfTrue="1" operator="greaterThan">
      <formula>0</formula>
    </cfRule>
  </conditionalFormatting>
  <conditionalFormatting sqref="AG13">
    <cfRule type="cellIs" dxfId="11" priority="7" stopIfTrue="1" operator="greaterThan">
      <formula>0</formula>
    </cfRule>
  </conditionalFormatting>
  <conditionalFormatting sqref="AG14">
    <cfRule type="cellIs" dxfId="10" priority="6" stopIfTrue="1" operator="greaterThan">
      <formula>0</formula>
    </cfRule>
  </conditionalFormatting>
  <conditionalFormatting sqref="AD14">
    <cfRule type="cellIs" dxfId="9" priority="5" stopIfTrue="1" operator="greaterThan">
      <formula>0</formula>
    </cfRule>
  </conditionalFormatting>
  <conditionalFormatting sqref="AE14">
    <cfRule type="cellIs" dxfId="7" priority="4" stopIfTrue="1" operator="greaterThan">
      <formula>0</formula>
    </cfRule>
  </conditionalFormatting>
  <conditionalFormatting sqref="AB13:AB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2021-10-01T07:27:37Z</dcterms:modified>
</cp:coreProperties>
</file>