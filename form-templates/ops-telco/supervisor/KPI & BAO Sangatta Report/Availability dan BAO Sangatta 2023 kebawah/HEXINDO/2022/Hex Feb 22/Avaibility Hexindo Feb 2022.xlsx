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4525"/>
</workbook>
</file>

<file path=xl/calcChain.xml><?xml version="1.0" encoding="utf-8"?>
<calcChain xmlns="http://schemas.openxmlformats.org/spreadsheetml/2006/main">
  <c r="C20" i="11" l="1"/>
  <c r="D20" i="11" l="1"/>
  <c r="E20" i="11"/>
  <c r="E21" i="11"/>
  <c r="D21" i="11"/>
  <c r="B21" i="11"/>
  <c r="B20" i="11"/>
  <c r="C21" i="11" l="1"/>
  <c r="C24" i="11" s="1"/>
</calcChain>
</file>

<file path=xl/sharedStrings.xml><?xml version="1.0" encoding="utf-8"?>
<sst xmlns="http://schemas.openxmlformats.org/spreadsheetml/2006/main" count="51" uniqueCount="21">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</sst>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0"/>
  <sheetViews>
    <sheetView tabSelected="1" zoomScale="80" zoomScaleNormal="80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O15" sqref="O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9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56" t="s">
        <v>2</v>
      </c>
      <c r="B10" s="56" t="s">
        <v>0</v>
      </c>
      <c r="C10" s="56" t="s">
        <v>7</v>
      </c>
      <c r="D10" s="23">
        <v>43497</v>
      </c>
      <c r="E10" s="23">
        <v>43498</v>
      </c>
      <c r="F10" s="23">
        <v>43499</v>
      </c>
      <c r="G10" s="23">
        <v>43500</v>
      </c>
      <c r="H10" s="23">
        <v>43501</v>
      </c>
      <c r="I10" s="23">
        <v>43502</v>
      </c>
      <c r="J10" s="23">
        <v>43503</v>
      </c>
      <c r="K10" s="23">
        <v>43504</v>
      </c>
      <c r="L10" s="23">
        <v>43505</v>
      </c>
      <c r="M10" s="23">
        <v>43506</v>
      </c>
      <c r="N10" s="23">
        <v>43507</v>
      </c>
      <c r="O10" s="23">
        <v>43508</v>
      </c>
      <c r="P10" s="23">
        <v>43509</v>
      </c>
      <c r="Q10" s="23">
        <v>43510</v>
      </c>
      <c r="R10" s="23">
        <v>43511</v>
      </c>
      <c r="S10" s="23">
        <v>43512</v>
      </c>
      <c r="T10" s="23">
        <v>43513</v>
      </c>
      <c r="U10" s="23">
        <v>43514</v>
      </c>
      <c r="V10" s="23">
        <v>43515</v>
      </c>
      <c r="W10" s="23">
        <v>43516</v>
      </c>
      <c r="X10" s="23">
        <v>43517</v>
      </c>
      <c r="Y10" s="23">
        <v>43518</v>
      </c>
      <c r="Z10" s="23">
        <v>43519</v>
      </c>
      <c r="AA10" s="23">
        <v>43520</v>
      </c>
      <c r="AB10" s="23">
        <v>43521</v>
      </c>
      <c r="AC10" s="23">
        <v>43522</v>
      </c>
      <c r="AD10" s="23">
        <v>43523</v>
      </c>
      <c r="AE10" s="55">
        <v>43524</v>
      </c>
    </row>
    <row r="11" spans="1:31" s="1" customFormat="1" x14ac:dyDescent="0.2">
      <c r="A11" s="57"/>
      <c r="B11" s="57"/>
      <c r="C11" s="5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15" customFormat="1" ht="15.75" x14ac:dyDescent="0.25">
      <c r="A13" s="39">
        <v>1</v>
      </c>
      <c r="B13" s="40" t="s">
        <v>20</v>
      </c>
      <c r="C13" s="40" t="s">
        <v>17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</row>
    <row r="14" spans="1:31" s="15" customFormat="1" ht="15.75" x14ac:dyDescent="0.25">
      <c r="A14" s="39">
        <v>2</v>
      </c>
      <c r="B14" s="40" t="s">
        <v>19</v>
      </c>
      <c r="C14" s="40" t="s">
        <v>17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</row>
    <row r="15" spans="1:31" s="15" customFormat="1" ht="179.25" customHeight="1" x14ac:dyDescent="0.2">
      <c r="A15" s="25"/>
      <c r="B15" s="62" t="s">
        <v>14</v>
      </c>
      <c r="C15" s="46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</row>
    <row r="16" spans="1:31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1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1" s="15" customFormat="1" x14ac:dyDescent="0.2">
      <c r="A18" s="60" t="s">
        <v>2</v>
      </c>
      <c r="B18" s="60" t="s">
        <v>8</v>
      </c>
      <c r="C18" s="60" t="s">
        <v>1</v>
      </c>
      <c r="D18" s="58" t="s">
        <v>6</v>
      </c>
      <c r="E18" s="59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1" s="15" customFormat="1" x14ac:dyDescent="0.2">
      <c r="A19" s="61"/>
      <c r="B19" s="61"/>
      <c r="C19" s="61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1" s="15" customFormat="1" ht="15.75" x14ac:dyDescent="0.25">
      <c r="A20" s="51">
        <v>1</v>
      </c>
      <c r="B20" s="50" t="str">
        <f>B13</f>
        <v>Link Wireless   Hexindo to Pama Soulmate</v>
      </c>
      <c r="C20" s="52">
        <f>1-(((D20*3600)+(LEFT(E20,2)*60)+RIGHT(E20,2))/((60*60*24)*$C$8))</f>
        <v>1</v>
      </c>
      <c r="D20" s="53" t="str">
        <f>TEXT(SUM(D13:AE13),"[h]")</f>
        <v>0</v>
      </c>
      <c r="E20" s="53" t="str">
        <f>TEXT(SUM(D13:AE13),"mm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1" s="15" customFormat="1" ht="15.75" x14ac:dyDescent="0.25">
      <c r="A21" s="51">
        <v>2</v>
      </c>
      <c r="B21" s="54" t="str">
        <f>B14</f>
        <v>Voip Gateway ( Link Telephone )</v>
      </c>
      <c r="C21" s="52">
        <f>1-(((D21*3600)+(LEFT(E21,2)*60)+RIGHT(E21,2))/((60*60*24)*$C$8))</f>
        <v>1</v>
      </c>
      <c r="D21" s="53" t="str">
        <f>TEXT(SUM(D14:AE14),"[h]")</f>
        <v>0</v>
      </c>
      <c r="E21" s="53" t="str">
        <f>TEXT(SUM(D14:AE14),"mm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1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1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x14ac:dyDescent="0.2">
      <c r="A24" s="15" t="s">
        <v>18</v>
      </c>
      <c r="C24" s="34">
        <f>(SUM(C20:C21))/(100%*2)</f>
        <v>1</v>
      </c>
      <c r="H24" s="48"/>
    </row>
    <row r="29" spans="1:31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7" spans="6:31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6:31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6:31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6:31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B14">
    <cfRule type="cellIs" dxfId="12" priority="41" stopIfTrue="1" operator="greaterThan">
      <formula>0</formula>
    </cfRule>
  </conditionalFormatting>
  <conditionalFormatting sqref="T14:X14">
    <cfRule type="cellIs" dxfId="11" priority="23" stopIfTrue="1" operator="greaterThan">
      <formula>0</formula>
    </cfRule>
  </conditionalFormatting>
  <conditionalFormatting sqref="Y13:AE13">
    <cfRule type="cellIs" dxfId="10" priority="22" stopIfTrue="1" operator="greaterThan">
      <formula>0</formula>
    </cfRule>
  </conditionalFormatting>
  <conditionalFormatting sqref="D13:N13 P13:X13">
    <cfRule type="cellIs" dxfId="9" priority="20" stopIfTrue="1" operator="greaterThan">
      <formula>0</formula>
    </cfRule>
  </conditionalFormatting>
  <conditionalFormatting sqref="S14">
    <cfRule type="cellIs" dxfId="8" priority="17" stopIfTrue="1" operator="greaterThan">
      <formula>0</formula>
    </cfRule>
  </conditionalFormatting>
  <conditionalFormatting sqref="P14:R14 D14:I14 K14:N14">
    <cfRule type="cellIs" dxfId="7" priority="15" stopIfTrue="1" operator="greaterThan">
      <formula>0</formula>
    </cfRule>
  </conditionalFormatting>
  <conditionalFormatting sqref="AC14">
    <cfRule type="cellIs" dxfId="6" priority="12" stopIfTrue="1" operator="greaterThan">
      <formula>0</formula>
    </cfRule>
  </conditionalFormatting>
  <conditionalFormatting sqref="AD14">
    <cfRule type="cellIs" dxfId="5" priority="4" stopIfTrue="1" operator="greaterThan">
      <formula>0</formula>
    </cfRule>
  </conditionalFormatting>
  <conditionalFormatting sqref="O13:O14">
    <cfRule type="cellIs" dxfId="4" priority="3" stopIfTrue="1" operator="greaterThan">
      <formula>0</formula>
    </cfRule>
  </conditionalFormatting>
  <conditionalFormatting sqref="AE14">
    <cfRule type="cellIs" dxfId="3" priority="2" stopIfTrue="1" operator="greaterThan">
      <formula>0</formula>
    </cfRule>
  </conditionalFormatting>
  <conditionalFormatting sqref="J14">
    <cfRule type="cellIs" dxfId="2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2022-02-04T01:37:13Z</dcterms:modified>
</cp:coreProperties>
</file>