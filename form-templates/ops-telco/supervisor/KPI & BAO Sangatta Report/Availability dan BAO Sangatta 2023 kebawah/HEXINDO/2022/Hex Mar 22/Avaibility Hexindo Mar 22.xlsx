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33" i="11" l="1"/>
  <c r="D32" i="11"/>
  <c r="E32" i="11" l="1"/>
  <c r="C32" i="11" s="1"/>
  <c r="E33" i="11"/>
  <c r="B33" i="11"/>
  <c r="B32" i="11"/>
  <c r="C33" i="11" l="1"/>
  <c r="C36" i="11" l="1"/>
</calcChain>
</file>

<file path=xl/sharedStrings.xml><?xml version="1.0" encoding="utf-8"?>
<sst xmlns="http://schemas.openxmlformats.org/spreadsheetml/2006/main" count="81" uniqueCount="38">
  <si>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</si>
  <si>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</si>
  <si>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</si>
  <si>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</si>
  <si>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</si>
  <si>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</si>
  <si>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</si>
  <si>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</si>
  <si>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</si>
  <si>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</si>
  <si>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</si>
  <si>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</si>
  <si>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</si>
  <si>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</si>
  <si>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</si>
  <si>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</si>
  <si>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</si>
  <si>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</si>
  <si>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</si>
  <si>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</si>
  <si>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       Intermiten</t>
  </si>
  <si>
    <t>Remaks</t>
  </si>
  <si>
    <t>4 Maret 2022</t>
  </si>
  <si>
    <t>3 Maret 2022</t>
  </si>
  <si>
    <t>5 Maret 2022</t>
  </si>
  <si>
    <t xml:space="preserve">       Problem Kabel / Kabel broken</t>
  </si>
  <si>
    <t>6 Maret 2022</t>
  </si>
  <si>
    <t xml:space="preserve">       Penggantian Kabel UpLink ( Putus )</t>
  </si>
  <si>
    <t>2 Maret 2022</t>
  </si>
  <si>
    <t xml:space="preserve">       Intermiten  </t>
  </si>
  <si>
    <t>00.57.49</t>
  </si>
  <si>
    <t>00.25.40</t>
  </si>
  <si>
    <t>00.20.31</t>
  </si>
  <si>
    <t>00.30.48</t>
  </si>
  <si>
    <t>19 Maret 2022</t>
  </si>
  <si>
    <t>20 Maret 2022</t>
  </si>
  <si>
    <t>28 Maret 2022</t>
  </si>
  <si>
    <t>29 Maret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</si>
</sst>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14"/>
      <name val="Tahoma"/>
      <family val="2"/>
    </font>
    <font>
      <sz val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4" fillId="0" borderId="20" xfId="0" applyFont="1" applyBorder="1" applyAlignment="1">
      <alignment horizontal="center"/>
    </xf>
    <xf numFmtId="46" fontId="36" fillId="0" borderId="19" xfId="0" applyNumberFormat="1" applyFont="1" applyBorder="1" applyAlignment="1">
      <alignment horizontal="center"/>
    </xf>
    <xf numFmtId="0" fontId="34" fillId="0" borderId="23" xfId="0" applyFont="1" applyBorder="1" applyAlignment="1">
      <alignment horizontal="center"/>
    </xf>
    <xf numFmtId="0" fontId="36" fillId="0" borderId="24" xfId="0" applyFont="1" applyBorder="1"/>
    <xf numFmtId="10" fontId="36" fillId="0" borderId="24" xfId="0" applyNumberFormat="1" applyFont="1" applyBorder="1" applyAlignment="1">
      <alignment horizontal="center"/>
    </xf>
    <xf numFmtId="46" fontId="36" fillId="0" borderId="24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0" fontId="6" fillId="0" borderId="27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10" fontId="6" fillId="0" borderId="0" xfId="0" applyNumberFormat="1" applyFont="1" applyBorder="1" applyAlignment="1">
      <alignment horizontal="left" vertical="center" wrapText="1"/>
    </xf>
    <xf numFmtId="46" fontId="6" fillId="0" borderId="27" xfId="0" applyNumberFormat="1" applyFont="1" applyBorder="1"/>
    <xf numFmtId="46" fontId="6" fillId="0" borderId="0" xfId="0" applyNumberFormat="1" applyFont="1" applyBorder="1"/>
    <xf numFmtId="46" fontId="0" fillId="0" borderId="0" xfId="0" applyNumberFormat="1" applyBorder="1"/>
    <xf numFmtId="46" fontId="0" fillId="0" borderId="2" xfId="0" applyNumberFormat="1" applyBorder="1"/>
    <xf numFmtId="0" fontId="37" fillId="0" borderId="2" xfId="0" applyFont="1" applyBorder="1" applyAlignment="1">
      <alignment horizontal="center" vertical="center"/>
    </xf>
    <xf numFmtId="15" fontId="6" fillId="0" borderId="27" xfId="0" applyNumberFormat="1" applyFont="1" applyBorder="1" applyAlignment="1">
      <alignment horizontal="left" vertical="center" wrapText="1" indent="2"/>
    </xf>
    <xf numFmtId="0" fontId="6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7" fillId="0" borderId="1" xfId="0" applyFont="1" applyBorder="1"/>
    <xf numFmtId="14" fontId="0" fillId="0" borderId="0" xfId="0" applyNumberFormat="1" applyAlignment="1">
      <alignment horizontal="center"/>
    </xf>
    <xf numFmtId="0" fontId="0" fillId="0" borderId="14" xfId="0" applyBorder="1"/>
    <xf numFmtId="0" fontId="0" fillId="0" borderId="21" xfId="0" applyBorder="1" applyAlignment="1">
      <alignment horizontal="center"/>
    </xf>
    <xf numFmtId="0" fontId="0" fillId="0" borderId="34" xfId="0" applyBorder="1"/>
    <xf numFmtId="9" fontId="13" fillId="0" borderId="14" xfId="0" applyNumberFormat="1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0" fillId="0" borderId="4" xfId="0" applyBorder="1"/>
    <xf numFmtId="16" fontId="8" fillId="0" borderId="38" xfId="0" applyNumberFormat="1" applyFont="1" applyBorder="1" applyAlignment="1">
      <alignment horizontal="center"/>
    </xf>
    <xf numFmtId="16" fontId="8" fillId="0" borderId="17" xfId="0" applyNumberFormat="1" applyFont="1" applyBorder="1" applyAlignment="1">
      <alignment horizontal="center"/>
    </xf>
    <xf numFmtId="16" fontId="8" fillId="0" borderId="39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10" fontId="6" fillId="0" borderId="28" xfId="0" applyNumberFormat="1" applyFont="1" applyBorder="1" applyAlignment="1">
      <alignment horizontal="center" vertical="center" wrapText="1"/>
    </xf>
    <xf numFmtId="15" fontId="6" fillId="0" borderId="29" xfId="0" applyNumberFormat="1" applyFont="1" applyBorder="1" applyAlignment="1">
      <alignment horizontal="center" vertical="center" wrapText="1"/>
    </xf>
    <xf numFmtId="10" fontId="6" fillId="0" borderId="29" xfId="0" applyNumberFormat="1" applyFont="1" applyBorder="1" applyAlignment="1">
      <alignment horizontal="center" vertical="center" wrapText="1"/>
    </xf>
    <xf numFmtId="0" fontId="6" fillId="0" borderId="0" xfId="0" applyFont="1" applyBorder="1" applyAlignment="1"/>
    <xf numFmtId="10" fontId="6" fillId="0" borderId="0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0" fontId="39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26" xfId="0" applyFont="1" applyBorder="1"/>
    <xf numFmtId="10" fontId="6" fillId="0" borderId="27" xfId="0" applyNumberFormat="1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6" fillId="0" borderId="27" xfId="0" applyFont="1" applyBorder="1"/>
    <xf numFmtId="0" fontId="0" fillId="0" borderId="0" xfId="0" applyProtection="1">
      <protection locked="0"/>
    </xf>
    <xf numFmtId="0" fontId="40" fillId="0" borderId="0" xfId="0" applyFont="1"/>
    <xf numFmtId="10" fontId="6" fillId="0" borderId="27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 applyProtection="1">
      <alignment horizontal="center" vertical="center" wrapText="1"/>
      <protection locked="0"/>
    </xf>
    <xf numFmtId="10" fontId="8" fillId="0" borderId="17" xfId="0" applyNumberFormat="1" applyFont="1" applyBorder="1" applyAlignment="1">
      <alignment horizontal="center"/>
    </xf>
    <xf numFmtId="10" fontId="8" fillId="0" borderId="22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27" xfId="0" applyNumberFormat="1" applyFont="1" applyBorder="1" applyAlignment="1">
      <alignment horizontal="left" vertical="center" wrapText="1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0" xfId="0" applyNumberFormat="1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6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2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16" sqref="B16:B26"/>
    </sheetView>
  </sheetViews>
  <sheetFormatPr defaultRowHeight="12.75" x14ac:dyDescent="0.2"/>
  <cols>
    <col min="1" max="1" width="5.7109375" style="2" customWidth="1"/>
    <col min="2" max="2" width="48.42578125" customWidth="1"/>
    <col min="3" max="3" width="20.140625" customWidth="1"/>
    <col min="4" max="4" width="9.140625" style="12" customWidth="1"/>
    <col min="5" max="12" width="9.140625" style="13" customWidth="1"/>
    <col min="13" max="13" width="8.5703125" style="13" customWidth="1"/>
    <col min="14" max="14" width="9.140625" style="13" customWidth="1"/>
    <col min="15" max="15" width="10" style="13" customWidth="1"/>
    <col min="16" max="16" width="9.140625" style="13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4">
        <v>44621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0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104" t="s">
        <v>2</v>
      </c>
      <c r="B10" s="106" t="s">
        <v>0</v>
      </c>
      <c r="C10" s="108" t="s">
        <v>7</v>
      </c>
      <c r="D10" s="72">
        <v>44621</v>
      </c>
      <c r="E10" s="73">
        <v>44622</v>
      </c>
      <c r="F10" s="73">
        <v>44623</v>
      </c>
      <c r="G10" s="73">
        <v>44624</v>
      </c>
      <c r="H10" s="73">
        <v>44625</v>
      </c>
      <c r="I10" s="73">
        <v>44626</v>
      </c>
      <c r="J10" s="73">
        <v>44627</v>
      </c>
      <c r="K10" s="73">
        <v>44628</v>
      </c>
      <c r="L10" s="73">
        <v>44629</v>
      </c>
      <c r="M10" s="73">
        <v>44630</v>
      </c>
      <c r="N10" s="73">
        <v>44631</v>
      </c>
      <c r="O10" s="73">
        <v>44632</v>
      </c>
      <c r="P10" s="73">
        <v>44633</v>
      </c>
      <c r="Q10" s="73">
        <v>44634</v>
      </c>
      <c r="R10" s="73">
        <v>44635</v>
      </c>
      <c r="S10" s="73">
        <v>44636</v>
      </c>
      <c r="T10" s="73">
        <v>44637</v>
      </c>
      <c r="U10" s="73">
        <v>44638</v>
      </c>
      <c r="V10" s="73">
        <v>44639</v>
      </c>
      <c r="W10" s="73">
        <v>44640</v>
      </c>
      <c r="X10" s="73">
        <v>44641</v>
      </c>
      <c r="Y10" s="73">
        <v>44642</v>
      </c>
      <c r="Z10" s="73">
        <v>44643</v>
      </c>
      <c r="AA10" s="73">
        <v>44644</v>
      </c>
      <c r="AB10" s="73">
        <v>44645</v>
      </c>
      <c r="AC10" s="73">
        <v>44646</v>
      </c>
      <c r="AD10" s="73">
        <v>44647</v>
      </c>
      <c r="AE10" s="73">
        <v>44648</v>
      </c>
      <c r="AF10" s="73">
        <v>44649</v>
      </c>
      <c r="AG10" s="73">
        <v>44650</v>
      </c>
      <c r="AH10" s="74">
        <v>44651</v>
      </c>
    </row>
    <row r="11" spans="1:34" s="1" customFormat="1" ht="13.5" thickBot="1" x14ac:dyDescent="0.25">
      <c r="A11" s="105"/>
      <c r="B11" s="107"/>
      <c r="C11" s="109"/>
      <c r="D11" s="75" t="s">
        <v>6</v>
      </c>
      <c r="E11" s="76" t="s">
        <v>6</v>
      </c>
      <c r="F11" s="76" t="s">
        <v>6</v>
      </c>
      <c r="G11" s="76" t="s">
        <v>6</v>
      </c>
      <c r="H11" s="76" t="s">
        <v>6</v>
      </c>
      <c r="I11" s="76" t="s">
        <v>6</v>
      </c>
      <c r="J11" s="76" t="s">
        <v>6</v>
      </c>
      <c r="K11" s="76" t="s">
        <v>6</v>
      </c>
      <c r="L11" s="76" t="s">
        <v>6</v>
      </c>
      <c r="M11" s="76" t="s">
        <v>6</v>
      </c>
      <c r="N11" s="76" t="s">
        <v>6</v>
      </c>
      <c r="O11" s="76" t="s">
        <v>6</v>
      </c>
      <c r="P11" s="76" t="s">
        <v>6</v>
      </c>
      <c r="Q11" s="76" t="s">
        <v>6</v>
      </c>
      <c r="R11" s="76" t="s">
        <v>6</v>
      </c>
      <c r="S11" s="76" t="s">
        <v>6</v>
      </c>
      <c r="T11" s="76" t="s">
        <v>6</v>
      </c>
      <c r="U11" s="76" t="s">
        <v>6</v>
      </c>
      <c r="V11" s="76" t="s">
        <v>6</v>
      </c>
      <c r="W11" s="76" t="s">
        <v>6</v>
      </c>
      <c r="X11" s="76" t="s">
        <v>6</v>
      </c>
      <c r="Y11" s="76" t="s">
        <v>6</v>
      </c>
      <c r="Z11" s="76" t="s">
        <v>6</v>
      </c>
      <c r="AA11" s="76" t="s">
        <v>6</v>
      </c>
      <c r="AB11" s="76" t="s">
        <v>6</v>
      </c>
      <c r="AC11" s="76" t="s">
        <v>6</v>
      </c>
      <c r="AD11" s="76" t="s">
        <v>6</v>
      </c>
      <c r="AE11" s="76" t="s">
        <v>6</v>
      </c>
      <c r="AF11" s="76" t="s">
        <v>6</v>
      </c>
      <c r="AG11" s="76" t="s">
        <v>6</v>
      </c>
      <c r="AH11" s="77" t="s">
        <v>6</v>
      </c>
    </row>
    <row r="12" spans="1:34" x14ac:dyDescent="0.2">
      <c r="A12" s="67"/>
      <c r="B12" s="68"/>
      <c r="C12" s="66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  <c r="AG12" s="70"/>
      <c r="AH12" s="71"/>
    </row>
    <row r="13" spans="1:34" s="14" customFormat="1" ht="15" x14ac:dyDescent="0.25">
      <c r="A13" s="39">
        <v>1</v>
      </c>
      <c r="B13" s="48" t="s">
        <v>18</v>
      </c>
      <c r="C13" s="49" t="s">
        <v>16</v>
      </c>
      <c r="D13" s="32">
        <v>0</v>
      </c>
      <c r="E13" s="32">
        <v>0.11984953703703705</v>
      </c>
      <c r="F13" s="32">
        <v>3.5416666666666666E-2</v>
      </c>
      <c r="G13" s="32">
        <v>5.3298611111111116E-2</v>
      </c>
      <c r="H13" s="32">
        <v>0.58334490740740741</v>
      </c>
      <c r="I13" s="32">
        <v>0.50311342592592589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 t="s">
        <v>33</v>
      </c>
      <c r="W13" s="32" t="s">
        <v>32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 t="s">
        <v>31</v>
      </c>
      <c r="AF13" s="32" t="s">
        <v>30</v>
      </c>
      <c r="AG13" s="32">
        <v>0</v>
      </c>
      <c r="AH13" s="32">
        <v>0</v>
      </c>
    </row>
    <row r="14" spans="1:34" s="14" customFormat="1" ht="15" x14ac:dyDescent="0.25">
      <c r="A14" s="39">
        <v>2</v>
      </c>
      <c r="B14" s="64" t="s">
        <v>17</v>
      </c>
      <c r="C14" s="60" t="s">
        <v>16</v>
      </c>
      <c r="D14" s="59">
        <v>0</v>
      </c>
      <c r="E14" s="32">
        <v>0.11984953703703705</v>
      </c>
      <c r="F14" s="32">
        <v>3.5416666666666666E-2</v>
      </c>
      <c r="G14" s="32">
        <v>5.3298611111111116E-2</v>
      </c>
      <c r="H14" s="32">
        <v>0.58334490740740741</v>
      </c>
      <c r="I14" s="32">
        <v>0.50311342592592589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 t="s">
        <v>33</v>
      </c>
      <c r="W14" s="32" t="s">
        <v>32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 t="s">
        <v>31</v>
      </c>
      <c r="AF14" s="32" t="s">
        <v>30</v>
      </c>
      <c r="AG14" s="32">
        <v>0</v>
      </c>
      <c r="AH14" s="32">
        <v>0</v>
      </c>
    </row>
    <row r="15" spans="1:34" s="14" customFormat="1" ht="18" customHeight="1" thickBot="1" x14ac:dyDescent="0.25">
      <c r="A15" s="89"/>
      <c r="B15" s="63"/>
      <c r="C15" s="6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50"/>
      <c r="Q15" s="50"/>
      <c r="R15" s="50"/>
      <c r="S15" s="56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2"/>
    </row>
    <row r="16" spans="1:34" s="14" customFormat="1" ht="19.5" customHeight="1" x14ac:dyDescent="0.2">
      <c r="A16" s="113">
        <v>3</v>
      </c>
      <c r="B16" s="110" t="s">
        <v>21</v>
      </c>
      <c r="C16" s="79" t="s">
        <v>28</v>
      </c>
      <c r="D16" s="103" t="s">
        <v>20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3"/>
    </row>
    <row r="17" spans="1:34" s="14" customFormat="1" ht="19.5" customHeight="1" x14ac:dyDescent="0.2">
      <c r="A17" s="114"/>
      <c r="B17" s="111"/>
      <c r="C17" s="78" t="s">
        <v>23</v>
      </c>
      <c r="D17" s="101" t="s">
        <v>20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5"/>
      <c r="AG17" s="55"/>
      <c r="AH17" s="54"/>
    </row>
    <row r="18" spans="1:34" s="14" customFormat="1" ht="21.75" customHeight="1" x14ac:dyDescent="0.2">
      <c r="A18" s="114"/>
      <c r="B18" s="111"/>
      <c r="C18" s="80" t="s">
        <v>22</v>
      </c>
      <c r="D18" s="102" t="s">
        <v>29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0"/>
      <c r="AG18" s="50"/>
      <c r="AH18" s="52"/>
    </row>
    <row r="19" spans="1:34" s="14" customFormat="1" ht="21.75" customHeight="1" x14ac:dyDescent="0.2">
      <c r="A19" s="114"/>
      <c r="B19" s="111"/>
      <c r="C19" s="78" t="s">
        <v>24</v>
      </c>
      <c r="D19" s="103" t="s">
        <v>25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4"/>
    </row>
    <row r="20" spans="1:34" s="14" customFormat="1" ht="21.75" customHeight="1" x14ac:dyDescent="0.2">
      <c r="A20" s="114"/>
      <c r="B20" s="111"/>
      <c r="C20" s="80" t="s">
        <v>26</v>
      </c>
      <c r="D20" s="101" t="s">
        <v>27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2"/>
    </row>
    <row r="21" spans="1:34" s="14" customFormat="1" ht="18" customHeight="1" x14ac:dyDescent="0.2">
      <c r="A21" s="114"/>
      <c r="B21" s="111"/>
      <c r="C21" s="88" t="s">
        <v>34</v>
      </c>
      <c r="D21" s="103" t="s">
        <v>20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83"/>
      <c r="Q21" s="83"/>
      <c r="R21" s="83"/>
      <c r="S21" s="83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52"/>
    </row>
    <row r="22" spans="1:34" s="14" customFormat="1" ht="18" customHeight="1" x14ac:dyDescent="0.2">
      <c r="A22" s="114"/>
      <c r="B22" s="111"/>
      <c r="C22" s="88" t="s">
        <v>35</v>
      </c>
      <c r="D22" s="101" t="s">
        <v>20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82"/>
      <c r="Q22" s="82"/>
      <c r="R22" s="82"/>
      <c r="S22" s="82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54"/>
    </row>
    <row r="23" spans="1:34" s="14" customFormat="1" ht="12.75" customHeight="1" x14ac:dyDescent="0.2">
      <c r="A23" s="114"/>
      <c r="B23" s="111"/>
      <c r="C23" s="88" t="s">
        <v>36</v>
      </c>
      <c r="D23" s="101" t="s">
        <v>20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83"/>
      <c r="Q23" s="83"/>
      <c r="R23" s="83"/>
      <c r="S23" s="83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52"/>
    </row>
    <row r="24" spans="1:34" s="14" customFormat="1" x14ac:dyDescent="0.2">
      <c r="A24" s="114"/>
      <c r="B24" s="111"/>
      <c r="C24" s="88" t="s">
        <v>37</v>
      </c>
      <c r="D24" s="101" t="s">
        <v>20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82"/>
      <c r="Q24" s="82"/>
      <c r="R24" s="82"/>
      <c r="S24" s="82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54"/>
    </row>
    <row r="25" spans="1:34" s="14" customFormat="1" ht="12.75" customHeight="1" x14ac:dyDescent="0.2">
      <c r="A25" s="114"/>
      <c r="B25" s="111"/>
      <c r="C25" s="88"/>
      <c r="D25" s="93" t="s">
        <v>20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52"/>
    </row>
    <row r="26" spans="1:34" s="14" customFormat="1" ht="13.5" customHeight="1" thickBot="1" x14ac:dyDescent="0.25">
      <c r="A26" s="115"/>
      <c r="B26" s="112"/>
      <c r="C26" s="94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53"/>
    </row>
    <row r="27" spans="1:34" s="14" customFormat="1" ht="18" x14ac:dyDescent="0.2">
      <c r="A27" s="62"/>
      <c r="B27" s="84"/>
      <c r="C27" s="85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8" spans="1:34" s="19" customFormat="1" x14ac:dyDescent="0.2">
      <c r="A28" s="15"/>
      <c r="B28" s="14"/>
      <c r="C28" s="14"/>
      <c r="D28" s="16"/>
      <c r="E28" s="15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18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31"/>
      <c r="AD28" s="14"/>
      <c r="AE28" s="14"/>
      <c r="AF28" s="14"/>
      <c r="AG28" s="14"/>
      <c r="AH28" s="14"/>
    </row>
    <row r="29" spans="1:34" ht="13.5" thickBot="1" x14ac:dyDescent="0.25">
      <c r="A29" s="25" t="s">
        <v>11</v>
      </c>
      <c r="B29" s="14"/>
      <c r="C29" s="14"/>
      <c r="D29" s="16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4"/>
      <c r="P29" s="18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31"/>
      <c r="AD29" s="14"/>
      <c r="AE29" s="14"/>
      <c r="AF29" s="14"/>
      <c r="AG29" s="14"/>
      <c r="AH29" s="14"/>
    </row>
    <row r="30" spans="1:34" x14ac:dyDescent="0.2">
      <c r="A30" s="97" t="s">
        <v>2</v>
      </c>
      <c r="B30" s="99" t="s">
        <v>8</v>
      </c>
      <c r="C30" s="99" t="s">
        <v>1</v>
      </c>
      <c r="D30" s="95" t="s">
        <v>6</v>
      </c>
      <c r="E30" s="96"/>
      <c r="F30" s="18"/>
      <c r="G30" s="18"/>
      <c r="H30" s="18"/>
      <c r="I30" s="18"/>
      <c r="J30" s="18"/>
      <c r="K30" s="18"/>
      <c r="L30" s="18"/>
      <c r="M30" s="18"/>
      <c r="N30" s="18"/>
      <c r="O30" s="14"/>
      <c r="P30" s="18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31"/>
      <c r="AD30" s="14"/>
      <c r="AE30" s="14"/>
      <c r="AF30" s="14"/>
      <c r="AG30" s="14"/>
      <c r="AH30" s="14"/>
    </row>
    <row r="31" spans="1:34" x14ac:dyDescent="0.2">
      <c r="A31" s="98"/>
      <c r="B31" s="100"/>
      <c r="C31" s="100"/>
      <c r="D31" s="27" t="s">
        <v>9</v>
      </c>
      <c r="E31" s="40" t="s">
        <v>10</v>
      </c>
      <c r="F31" s="18"/>
      <c r="G31" s="18"/>
      <c r="H31" s="18"/>
      <c r="I31" s="18"/>
      <c r="J31" s="18"/>
      <c r="K31" s="18"/>
      <c r="L31" s="18"/>
      <c r="M31" s="18"/>
      <c r="N31" s="18"/>
      <c r="O31" s="14"/>
      <c r="P31" s="18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31"/>
      <c r="AD31" s="14"/>
      <c r="AE31" s="14"/>
      <c r="AF31" s="14"/>
      <c r="AG31" s="14"/>
      <c r="AH31" s="14"/>
    </row>
    <row r="32" spans="1:34" ht="15.75" x14ac:dyDescent="0.25">
      <c r="A32" s="41">
        <v>1</v>
      </c>
      <c r="B32" s="36" t="str">
        <f>B13</f>
        <v>Link Wireless   Hexindo to Pama Soulmate</v>
      </c>
      <c r="C32" s="37">
        <f>1-(((D32*3600)+(LEFT(E32,2)*60)+RIGHT(E32,2))/((60*60*24)*$C$8))</f>
        <v>0.95822505973715655</v>
      </c>
      <c r="D32" s="38" t="str">
        <f>TEXT(SUM(D13:AG13),"[h]")</f>
        <v>31</v>
      </c>
      <c r="E32" s="42" t="str">
        <f>TEXT(SUM(D13:AF13),"mm ss")</f>
        <v>04 50</v>
      </c>
      <c r="F32" s="23"/>
      <c r="G32" s="18"/>
      <c r="H32" s="24"/>
      <c r="I32" s="18"/>
      <c r="J32" s="18"/>
      <c r="K32" s="18"/>
      <c r="L32" s="18"/>
      <c r="M32" s="18"/>
      <c r="N32" s="18"/>
      <c r="O32" s="14"/>
      <c r="P32" s="18"/>
      <c r="Q32" s="14"/>
      <c r="R32" s="14"/>
      <c r="S32" s="14"/>
      <c r="T32" s="58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6.5" thickBot="1" x14ac:dyDescent="0.3">
      <c r="A33" s="43">
        <v>2</v>
      </c>
      <c r="B33" s="44" t="str">
        <f>B14</f>
        <v>Voip Gateway ( Link Telephone )</v>
      </c>
      <c r="C33" s="45">
        <f>1-(((D33*3600)+(LEFT(E33,2)*60)+RIGHT(E33,2))/((60*60*24)*$C$8))</f>
        <v>0.95822505973715655</v>
      </c>
      <c r="D33" s="46" t="str">
        <f>TEXT(SUM(D14:AG14),"[h]")</f>
        <v>31</v>
      </c>
      <c r="E33" s="47" t="str">
        <f>TEXT(SUM(D14:AF14),"mm ss")</f>
        <v>04 50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">
      <c r="A34" s="15"/>
      <c r="B34" s="14"/>
      <c r="C34" s="14"/>
      <c r="D34" s="16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4"/>
      <c r="R34" s="14"/>
      <c r="S34" s="14"/>
      <c r="T34" s="21"/>
      <c r="U34" s="21"/>
      <c r="V34" s="57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19"/>
      <c r="AH34" s="19"/>
    </row>
    <row r="35" spans="1:34" x14ac:dyDescent="0.2">
      <c r="A35" s="26" t="s">
        <v>14</v>
      </c>
      <c r="B35" s="19"/>
      <c r="C35" s="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U35" s="91"/>
    </row>
    <row r="36" spans="1:34" x14ac:dyDescent="0.2">
      <c r="A36" s="35" t="s">
        <v>19</v>
      </c>
      <c r="C36" s="27">
        <f>(SUM(C32:C33))/(100%*2)</f>
        <v>0.95822505973715655</v>
      </c>
      <c r="H36" s="33"/>
      <c r="W36" s="92"/>
    </row>
    <row r="39" spans="1:34" x14ac:dyDescent="0.2">
      <c r="B39" s="14"/>
    </row>
    <row r="40" spans="1:34" x14ac:dyDescent="0.2">
      <c r="A40" s="65"/>
      <c r="B40" s="14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4" x14ac:dyDescent="0.2">
      <c r="B41" s="14"/>
      <c r="Q41" s="30"/>
      <c r="R41" s="30"/>
      <c r="S41" s="30"/>
    </row>
    <row r="42" spans="1:34" x14ac:dyDescent="0.2">
      <c r="B42" s="14"/>
    </row>
    <row r="43" spans="1:34" x14ac:dyDescent="0.2">
      <c r="J43" s="30"/>
    </row>
    <row r="48" spans="1:34" x14ac:dyDescent="0.2"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6:32" x14ac:dyDescent="0.2">
      <c r="F49" s="28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6:32" x14ac:dyDescent="0.2">
      <c r="F50" s="28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6:32" x14ac:dyDescent="0.2">
      <c r="F51" s="28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6:32" x14ac:dyDescent="0.2">
      <c r="F52" s="28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8"/>
      <c r="R52" s="28"/>
      <c r="S52" s="28"/>
    </row>
  </sheetData>
  <mergeCells count="19">
    <mergeCell ref="A10:A11"/>
    <mergeCell ref="B10:B11"/>
    <mergeCell ref="C10:C11"/>
    <mergeCell ref="D15:O15"/>
    <mergeCell ref="D16:O16"/>
    <mergeCell ref="B16:B26"/>
    <mergeCell ref="A16:A26"/>
    <mergeCell ref="D30:E30"/>
    <mergeCell ref="A30:A31"/>
    <mergeCell ref="B30:B31"/>
    <mergeCell ref="C30:C31"/>
    <mergeCell ref="D17:O17"/>
    <mergeCell ref="D18:O18"/>
    <mergeCell ref="D19:O19"/>
    <mergeCell ref="D20:O20"/>
    <mergeCell ref="D21:O21"/>
    <mergeCell ref="D22:O22"/>
    <mergeCell ref="D23:O23"/>
    <mergeCell ref="D24:O24"/>
  </mergeCells>
  <phoneticPr fontId="9" type="noConversion"/>
  <conditionalFormatting sqref="Z14">
    <cfRule type="cellIs" dxfId="35" priority="145" stopIfTrue="1" operator="greaterThan">
      <formula>0</formula>
    </cfRule>
  </conditionalFormatting>
  <conditionalFormatting sqref="X14">
    <cfRule type="cellIs" dxfId="34" priority="127" stopIfTrue="1" operator="greaterThan">
      <formula>0</formula>
    </cfRule>
  </conditionalFormatting>
  <conditionalFormatting sqref="Y13:Z13 AC13">
    <cfRule type="cellIs" dxfId="33" priority="126" stopIfTrue="1" operator="greaterThan">
      <formula>0</formula>
    </cfRule>
  </conditionalFormatting>
  <conditionalFormatting sqref="P13 E13:G13 X13 I13:K13">
    <cfRule type="cellIs" dxfId="32" priority="124" stopIfTrue="1" operator="greaterThan">
      <formula>0</formula>
    </cfRule>
  </conditionalFormatting>
  <conditionalFormatting sqref="P14 J14:K14">
    <cfRule type="cellIs" dxfId="31" priority="119" stopIfTrue="1" operator="greaterThan">
      <formula>0</formula>
    </cfRule>
  </conditionalFormatting>
  <conditionalFormatting sqref="AC14">
    <cfRule type="cellIs" dxfId="30" priority="116" stopIfTrue="1" operator="greaterThan">
      <formula>0</formula>
    </cfRule>
  </conditionalFormatting>
  <conditionalFormatting sqref="AF13">
    <cfRule type="cellIs" dxfId="29" priority="114" stopIfTrue="1" operator="greaterThan">
      <formula>0</formula>
    </cfRule>
  </conditionalFormatting>
  <conditionalFormatting sqref="AD13">
    <cfRule type="cellIs" dxfId="28" priority="104" stopIfTrue="1" operator="greaterThan">
      <formula>0</formula>
    </cfRule>
  </conditionalFormatting>
  <conditionalFormatting sqref="Y14">
    <cfRule type="cellIs" dxfId="27" priority="97" stopIfTrue="1" operator="greaterThan">
      <formula>0</formula>
    </cfRule>
  </conditionalFormatting>
  <conditionalFormatting sqref="H13">
    <cfRule type="cellIs" dxfId="26" priority="82" stopIfTrue="1" operator="greaterThan">
      <formula>0</formula>
    </cfRule>
  </conditionalFormatting>
  <conditionalFormatting sqref="AE13">
    <cfRule type="cellIs" dxfId="25" priority="78" stopIfTrue="1" operator="greaterThan">
      <formula>0</formula>
    </cfRule>
  </conditionalFormatting>
  <conditionalFormatting sqref="V13">
    <cfRule type="cellIs" dxfId="24" priority="71" stopIfTrue="1" operator="greaterThan">
      <formula>0</formula>
    </cfRule>
  </conditionalFormatting>
  <conditionalFormatting sqref="W13">
    <cfRule type="cellIs" dxfId="23" priority="69" stopIfTrue="1" operator="greaterThan">
      <formula>0</formula>
    </cfRule>
  </conditionalFormatting>
  <conditionalFormatting sqref="D13">
    <cfRule type="cellIs" dxfId="22" priority="58" stopIfTrue="1" operator="greaterThan">
      <formula>0</formula>
    </cfRule>
  </conditionalFormatting>
  <conditionalFormatting sqref="D14">
    <cfRule type="cellIs" dxfId="21" priority="57" stopIfTrue="1" operator="greaterThan">
      <formula>0</formula>
    </cfRule>
  </conditionalFormatting>
  <conditionalFormatting sqref="L13">
    <cfRule type="cellIs" dxfId="20" priority="56" stopIfTrue="1" operator="greaterThan">
      <formula>0</formula>
    </cfRule>
  </conditionalFormatting>
  <conditionalFormatting sqref="L14">
    <cfRule type="cellIs" dxfId="19" priority="55" stopIfTrue="1" operator="greaterThan">
      <formula>0</formula>
    </cfRule>
  </conditionalFormatting>
  <conditionalFormatting sqref="M13:O13">
    <cfRule type="cellIs" dxfId="18" priority="54" stopIfTrue="1" operator="greaterThan">
      <formula>0</formula>
    </cfRule>
  </conditionalFormatting>
  <conditionalFormatting sqref="M14:O14">
    <cfRule type="cellIs" dxfId="17" priority="53" stopIfTrue="1" operator="greaterThan">
      <formula>0</formula>
    </cfRule>
  </conditionalFormatting>
  <conditionalFormatting sqref="AG14">
    <cfRule type="cellIs" dxfId="16" priority="51" stopIfTrue="1" operator="greaterThan">
      <formula>0</formula>
    </cfRule>
  </conditionalFormatting>
  <conditionalFormatting sqref="AD14">
    <cfRule type="cellIs" dxfId="15" priority="50" stopIfTrue="1" operator="greaterThan">
      <formula>0</formula>
    </cfRule>
  </conditionalFormatting>
  <conditionalFormatting sqref="AB13:AB14">
    <cfRule type="cellIs" dxfId="14" priority="46" stopIfTrue="1" operator="greaterThan">
      <formula>0</formula>
    </cfRule>
  </conditionalFormatting>
  <conditionalFormatting sqref="AH13:AH14">
    <cfRule type="cellIs" dxfId="13" priority="42" stopIfTrue="1" operator="greaterThan">
      <formula>0</formula>
    </cfRule>
  </conditionalFormatting>
  <conditionalFormatting sqref="S15">
    <cfRule type="cellIs" dxfId="12" priority="36" stopIfTrue="1" operator="greaterThan">
      <formula>0</formula>
    </cfRule>
  </conditionalFormatting>
  <conditionalFormatting sqref="V34">
    <cfRule type="cellIs" dxfId="11" priority="22" stopIfTrue="1" operator="greaterThan">
      <formula>0</formula>
    </cfRule>
  </conditionalFormatting>
  <conditionalFormatting sqref="Q13:U14">
    <cfRule type="cellIs" dxfId="10" priority="19" stopIfTrue="1" operator="greaterThan">
      <formula>0</formula>
    </cfRule>
  </conditionalFormatting>
  <conditionalFormatting sqref="T32">
    <cfRule type="cellIs" dxfId="9" priority="18" stopIfTrue="1" operator="greaterThan">
      <formula>0</formula>
    </cfRule>
  </conditionalFormatting>
  <conditionalFormatting sqref="AA13:AA14">
    <cfRule type="cellIs" dxfId="8" priority="16" stopIfTrue="1" operator="greaterThan">
      <formula>0</formula>
    </cfRule>
  </conditionalFormatting>
  <conditionalFormatting sqref="AG13">
    <cfRule type="cellIs" dxfId="7" priority="14" stopIfTrue="1" operator="greaterThan">
      <formula>0</formula>
    </cfRule>
  </conditionalFormatting>
  <conditionalFormatting sqref="E14:G14 I14">
    <cfRule type="cellIs" dxfId="6" priority="11" stopIfTrue="1" operator="greaterThan">
      <formula>0</formula>
    </cfRule>
  </conditionalFormatting>
  <conditionalFormatting sqref="H14">
    <cfRule type="cellIs" dxfId="5" priority="10" stopIfTrue="1" operator="greaterThan">
      <formula>0</formula>
    </cfRule>
  </conditionalFormatting>
  <conditionalFormatting sqref="V14">
    <cfRule type="cellIs" dxfId="4" priority="7" stopIfTrue="1" operator="greaterThan">
      <formula>0</formula>
    </cfRule>
  </conditionalFormatting>
  <conditionalFormatting sqref="W14">
    <cfRule type="cellIs" dxfId="3" priority="6" stopIfTrue="1" operator="greaterThan">
      <formula>0</formula>
    </cfRule>
  </conditionalFormatting>
  <conditionalFormatting sqref="AF14">
    <cfRule type="cellIs" dxfId="2" priority="3" stopIfTrue="1" operator="greaterThan">
      <formula>0</formula>
    </cfRule>
  </conditionalFormatting>
  <conditionalFormatting sqref="AE14">
    <cfRule type="cellIs" dxfId="1" priority="2" stopIfTrue="1" operator="greaterThan">
      <formula>0</formula>
    </cfRule>
  </conditionalFormatting>
  <conditionalFormatting sqref="D24:O24 D25">
    <cfRule type="top10" dxfId="0" priority="1" rank="13"/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2023-03-21T07:59:41Z</dcterms:modified>
</cp:coreProperties>
</file>