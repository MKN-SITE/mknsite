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Avaibility LINK Hexindo - Pama" sheetId="11" r:id="rId1"/>
  </sheets>
  <calcPr calcId="145621"/>
</workbook>
</file>

<file path=xl/calcChain.xml><?xml version="1.0" encoding="utf-8"?>
<calcChain xmlns="http://schemas.openxmlformats.org/spreadsheetml/2006/main">
  <c r="E28" i="11" l="1"/>
  <c r="E27" i="11"/>
  <c r="D28" i="11" l="1"/>
  <c r="D27" i="11"/>
  <c r="C27" i="11" l="1"/>
  <c r="B28" i="11"/>
  <c r="B27" i="11"/>
  <c r="C28" i="11" l="1"/>
  <c r="C31" i="11" l="1"/>
</calcChain>
</file>

<file path=xl/sharedStrings.xml><?xml version="1.0" encoding="utf-8"?>
<sst xmlns="http://schemas.openxmlformats.org/spreadsheetml/2006/main" count="56" uniqueCount="24">
  <si>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</si>
  <si>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</si>
  <si>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</si>
  <si>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</si>
  <si>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</si>
  <si>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</si>
  <si>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</si>
  <si>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</si>
  <si>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</si>
  <si>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</si>
  <si>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</si>
  <si>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</si>
  <si>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</si>
  <si>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</si>
  <si>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</si>
  <si>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</si>
  <si>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</si>
  <si>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Voip Gateway ( Link Telephone )</t>
  </si>
  <si>
    <t>Link Wireless   Hexindo to Pama Soulmate</t>
  </si>
  <si>
    <t>Radio Link &amp; Voip Gateway Hexindo - Pama Soulmate</t>
  </si>
  <si>
    <t>Remark Down Time</t>
  </si>
  <si>
    <t>3 Juni 22</t>
  </si>
  <si>
    <t>6 Juni 22</t>
  </si>
  <si>
    <t>5 Juni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</si>
</sst>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;@"/>
  </numFmts>
  <fonts count="40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name val="Tahoma"/>
      <family val="2"/>
    </font>
    <font>
      <b/>
      <sz val="10"/>
      <color rgb="FF000000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21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0" fillId="0" borderId="14" xfId="0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8" fillId="0" borderId="0" xfId="0" applyFont="1"/>
    <xf numFmtId="0" fontId="35" fillId="0" borderId="1" xfId="0" applyFont="1" applyBorder="1"/>
    <xf numFmtId="10" fontId="36" fillId="0" borderId="1" xfId="0" applyNumberFormat="1" applyFont="1" applyBorder="1" applyAlignment="1">
      <alignment horizontal="center"/>
    </xf>
    <xf numFmtId="46" fontId="36" fillId="0" borderId="1" xfId="0" applyNumberFormat="1" applyFont="1" applyBorder="1" applyAlignment="1">
      <alignment horizontal="center"/>
    </xf>
    <xf numFmtId="9" fontId="13" fillId="0" borderId="1" xfId="0" applyNumberFormat="1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34" fillId="0" borderId="22" xfId="0" applyFont="1" applyBorder="1" applyAlignment="1">
      <alignment horizontal="center"/>
    </xf>
    <xf numFmtId="46" fontId="36" fillId="0" borderId="20" xfId="0" applyNumberFormat="1" applyFont="1" applyBorder="1" applyAlignment="1">
      <alignment horizontal="center"/>
    </xf>
    <xf numFmtId="0" fontId="34" fillId="0" borderId="29" xfId="0" applyFont="1" applyBorder="1" applyAlignment="1">
      <alignment horizontal="center"/>
    </xf>
    <xf numFmtId="0" fontId="36" fillId="0" borderId="30" xfId="0" applyFont="1" applyBorder="1"/>
    <xf numFmtId="10" fontId="36" fillId="0" borderId="30" xfId="0" applyNumberFormat="1" applyFont="1" applyBorder="1" applyAlignment="1">
      <alignment horizontal="center"/>
    </xf>
    <xf numFmtId="46" fontId="36" fillId="0" borderId="30" xfId="0" applyNumberFormat="1" applyFont="1" applyBorder="1" applyAlignment="1">
      <alignment horizontal="center"/>
    </xf>
    <xf numFmtId="46" fontId="36" fillId="0" borderId="31" xfId="0" applyNumberFormat="1" applyFont="1" applyBorder="1" applyAlignment="1">
      <alignment horizontal="center"/>
    </xf>
    <xf numFmtId="0" fontId="37" fillId="0" borderId="3" xfId="0" applyFont="1" applyBorder="1"/>
    <xf numFmtId="0" fontId="0" fillId="0" borderId="2" xfId="0" applyBorder="1"/>
    <xf numFmtId="0" fontId="37" fillId="0" borderId="1" xfId="0" applyFont="1" applyBorder="1" applyAlignment="1">
      <alignment horizontal="center" vertical="center"/>
    </xf>
    <xf numFmtId="10" fontId="6" fillId="0" borderId="34" xfId="0" applyNumberFormat="1" applyFont="1" applyBorder="1" applyAlignment="1">
      <alignment vertical="center" wrapText="1"/>
    </xf>
    <xf numFmtId="10" fontId="6" fillId="0" borderId="27" xfId="0" applyNumberFormat="1" applyFont="1" applyBorder="1" applyAlignment="1">
      <alignment vertical="center" wrapText="1"/>
    </xf>
    <xf numFmtId="46" fontId="0" fillId="0" borderId="1" xfId="0" applyNumberFormat="1" applyFill="1" applyBorder="1"/>
    <xf numFmtId="46" fontId="0" fillId="0" borderId="34" xfId="0" applyNumberFormat="1" applyFill="1" applyBorder="1"/>
    <xf numFmtId="46" fontId="0" fillId="0" borderId="34" xfId="0" applyNumberFormat="1" applyBorder="1"/>
    <xf numFmtId="16" fontId="8" fillId="0" borderId="33" xfId="0" applyNumberFormat="1" applyFont="1" applyBorder="1" applyAlignment="1">
      <alignment horizontal="center"/>
    </xf>
    <xf numFmtId="0" fontId="0" fillId="0" borderId="37" xfId="0" applyBorder="1" applyAlignment="1">
      <alignment horizontal="left"/>
    </xf>
    <xf numFmtId="0" fontId="13" fillId="0" borderId="37" xfId="0" applyFont="1" applyBorder="1" applyAlignment="1">
      <alignment horizontal="left"/>
    </xf>
    <xf numFmtId="46" fontId="0" fillId="0" borderId="38" xfId="0" applyNumberFormat="1" applyFill="1" applyBorder="1"/>
    <xf numFmtId="46" fontId="0" fillId="0" borderId="38" xfId="0" applyNumberFormat="1" applyBorder="1"/>
    <xf numFmtId="46" fontId="0" fillId="0" borderId="27" xfId="0" applyNumberFormat="1" applyFill="1" applyBorder="1"/>
    <xf numFmtId="46" fontId="0" fillId="0" borderId="27" xfId="0" applyNumberFormat="1" applyBorder="1"/>
    <xf numFmtId="10" fontId="6" fillId="0" borderId="36" xfId="0" applyNumberFormat="1" applyFont="1" applyBorder="1" applyAlignment="1">
      <alignment vertical="center" wrapText="1"/>
    </xf>
    <xf numFmtId="0" fontId="37" fillId="0" borderId="1" xfId="0" applyFont="1" applyBorder="1"/>
    <xf numFmtId="0" fontId="6" fillId="0" borderId="27" xfId="0" applyFont="1" applyBorder="1" applyAlignment="1">
      <alignment horizontal="center"/>
    </xf>
    <xf numFmtId="0" fontId="37" fillId="0" borderId="27" xfId="0" applyFont="1" applyBorder="1"/>
    <xf numFmtId="0" fontId="37" fillId="0" borderId="27" xfId="0" applyFont="1" applyBorder="1" applyAlignment="1">
      <alignment horizontal="center" vertical="center"/>
    </xf>
    <xf numFmtId="0" fontId="6" fillId="33" borderId="39" xfId="0" applyFont="1" applyFill="1" applyBorder="1" applyAlignment="1">
      <alignment horizontal="center"/>
    </xf>
    <xf numFmtId="0" fontId="37" fillId="33" borderId="39" xfId="0" applyFont="1" applyFill="1" applyBorder="1"/>
    <xf numFmtId="0" fontId="37" fillId="33" borderId="39" xfId="0" applyFont="1" applyFill="1" applyBorder="1" applyAlignment="1">
      <alignment horizontal="center" vertical="center"/>
    </xf>
    <xf numFmtId="46" fontId="0" fillId="33" borderId="39" xfId="0" applyNumberFormat="1" applyFill="1" applyBorder="1"/>
    <xf numFmtId="10" fontId="6" fillId="33" borderId="39" xfId="0" applyNumberFormat="1" applyFont="1" applyFill="1" applyBorder="1" applyAlignment="1">
      <alignment vertical="center" wrapText="1"/>
    </xf>
    <xf numFmtId="10" fontId="6" fillId="0" borderId="0" xfId="0" applyNumberFormat="1" applyFont="1" applyBorder="1" applyAlignment="1">
      <alignment vertical="center" wrapText="1"/>
    </xf>
    <xf numFmtId="0" fontId="6" fillId="0" borderId="0" xfId="0" applyFont="1" applyBorder="1"/>
    <xf numFmtId="46" fontId="0" fillId="0" borderId="41" xfId="0" applyNumberFormat="1" applyBorder="1"/>
    <xf numFmtId="46" fontId="0" fillId="0" borderId="35" xfId="0" applyNumberFormat="1" applyBorder="1"/>
    <xf numFmtId="10" fontId="6" fillId="0" borderId="35" xfId="0" applyNumberFormat="1" applyFont="1" applyBorder="1" applyAlignment="1">
      <alignment vertical="center" wrapText="1"/>
    </xf>
    <xf numFmtId="16" fontId="8" fillId="0" borderId="42" xfId="0" applyNumberFormat="1" applyFont="1" applyBorder="1" applyAlignment="1">
      <alignment horizontal="center"/>
    </xf>
    <xf numFmtId="0" fontId="39" fillId="0" borderId="3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14" fontId="8" fillId="0" borderId="3" xfId="0" applyNumberFormat="1" applyFont="1" applyBorder="1" applyAlignment="1">
      <alignment horizontal="center" vertical="center" wrapText="1"/>
    </xf>
    <xf numFmtId="14" fontId="8" fillId="0" borderId="35" xfId="0" applyNumberFormat="1" applyFont="1" applyBorder="1" applyAlignment="1">
      <alignment horizontal="center" vertical="center" wrapText="1"/>
    </xf>
    <xf numFmtId="46" fontId="0" fillId="0" borderId="18" xfId="0" applyNumberFormat="1" applyBorder="1" applyAlignment="1">
      <alignment horizontal="center"/>
    </xf>
    <xf numFmtId="46" fontId="0" fillId="0" borderId="40" xfId="0" applyNumberFormat="1" applyBorder="1" applyAlignment="1">
      <alignment horizontal="center"/>
    </xf>
    <xf numFmtId="46" fontId="0" fillId="0" borderId="3" xfId="0" applyNumberFormat="1" applyBorder="1" applyAlignment="1">
      <alignment horizontal="center"/>
    </xf>
    <xf numFmtId="46" fontId="0" fillId="0" borderId="34" xfId="0" applyNumberFormat="1" applyBorder="1" applyAlignment="1">
      <alignment horizontal="center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8" xfId="0" applyNumberFormat="1" applyFont="1" applyBorder="1" applyAlignment="1">
      <alignment horizontal="center"/>
    </xf>
    <xf numFmtId="10" fontId="8" fillId="0" borderId="28" xfId="0" applyNumberFormat="1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10" fontId="6" fillId="0" borderId="34" xfId="0" applyNumberFormat="1" applyFont="1" applyBorder="1" applyAlignment="1">
      <alignment horizontal="center" vertical="center" wrapText="1"/>
    </xf>
    <xf numFmtId="10" fontId="6" fillId="0" borderId="34" xfId="0" applyNumberFormat="1" applyFont="1" applyBorder="1" applyAlignment="1">
      <alignment horizontal="left" vertical="center" wrapText="1"/>
    </xf>
    <xf numFmtId="10" fontId="6" fillId="0" borderId="26" xfId="0" applyNumberFormat="1" applyFont="1" applyBorder="1" applyAlignment="1">
      <alignment horizontal="left" vertical="center" wrapText="1"/>
    </xf>
    <xf numFmtId="10" fontId="6" fillId="0" borderId="27" xfId="0" applyNumberFormat="1" applyFont="1" applyBorder="1" applyAlignment="1">
      <alignment horizontal="left" vertical="center" wrapText="1"/>
    </xf>
    <xf numFmtId="165" fontId="8" fillId="0" borderId="3" xfId="0" applyNumberFormat="1" applyFont="1" applyBorder="1" applyAlignment="1">
      <alignment horizontal="center" vertical="center" wrapText="1"/>
    </xf>
    <xf numFmtId="165" fontId="8" fillId="0" borderId="35" xfId="0" applyNumberFormat="1" applyFont="1" applyBorder="1" applyAlignment="1">
      <alignment horizontal="center" vertical="center" wrapText="1"/>
    </xf>
    <xf numFmtId="15" fontId="8" fillId="0" borderId="26" xfId="0" applyNumberFormat="1" applyFont="1" applyBorder="1" applyAlignment="1">
      <alignment horizontal="center" vertical="center" wrapText="1"/>
    </xf>
    <xf numFmtId="15" fontId="8" fillId="0" borderId="36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41" xfId="0" applyFont="1" applyBorder="1" applyAlignment="1">
      <alignment horizontal="center" vertical="center"/>
    </xf>
    <xf numFmtId="0" fontId="0" fillId="34" borderId="0" xfId="0" applyFill="1"/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5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47"/>
  <sheetViews>
    <sheetView tabSelected="1" zoomScale="80" zoomScaleNormal="80" workbookViewId="0">
      <selection activeCell="I41" sqref="I41"/>
    </sheetView>
  </sheetViews>
  <sheetFormatPr defaultRowHeight="12.75" x14ac:dyDescent="0.2"/>
  <cols>
    <col min="1" max="1" width="5.7109375" style="2" customWidth="1"/>
    <col min="2" max="2" width="48.5703125" customWidth="1"/>
    <col min="3" max="3" width="19.5703125" customWidth="1"/>
    <col min="4" max="4" width="9.140625" style="12" customWidth="1"/>
    <col min="5" max="12" width="9.140625" style="14" customWidth="1"/>
    <col min="13" max="13" width="8.5703125" style="14" customWidth="1"/>
    <col min="14" max="14" width="9.140625" style="14" customWidth="1"/>
    <col min="15" max="15" width="10" style="14" customWidth="1"/>
    <col min="16" max="16" width="9.140625" style="14" customWidth="1"/>
    <col min="17" max="32" width="9.140625" customWidth="1"/>
    <col min="33" max="33" width="9.5703125" customWidth="1"/>
  </cols>
  <sheetData>
    <row r="1" spans="1:33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3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3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3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3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3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3" s="3" customFormat="1" x14ac:dyDescent="0.2">
      <c r="A7" s="5" t="s">
        <v>4</v>
      </c>
      <c r="B7" s="6"/>
      <c r="C7" s="37">
        <v>44713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3" s="3" customFormat="1" x14ac:dyDescent="0.2">
      <c r="A8" s="5" t="s">
        <v>5</v>
      </c>
      <c r="B8" s="8"/>
      <c r="C8" s="22">
        <v>30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3" s="3" customFormat="1" ht="13.5" thickBot="1" x14ac:dyDescent="0.25">
      <c r="C9" s="62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</row>
    <row r="10" spans="1:33" s="3" customFormat="1" x14ac:dyDescent="0.2">
      <c r="A10" s="92" t="s">
        <v>2</v>
      </c>
      <c r="B10" s="94" t="s">
        <v>0</v>
      </c>
      <c r="C10" s="96" t="s">
        <v>7</v>
      </c>
      <c r="D10" s="61">
        <v>44348</v>
      </c>
      <c r="E10" s="61">
        <v>44349</v>
      </c>
      <c r="F10" s="61">
        <v>44350</v>
      </c>
      <c r="G10" s="61">
        <v>44351</v>
      </c>
      <c r="H10" s="61">
        <v>44352</v>
      </c>
      <c r="I10" s="61">
        <v>44353</v>
      </c>
      <c r="J10" s="61">
        <v>44354</v>
      </c>
      <c r="K10" s="61">
        <v>44355</v>
      </c>
      <c r="L10" s="61">
        <v>44356</v>
      </c>
      <c r="M10" s="61">
        <v>44357</v>
      </c>
      <c r="N10" s="61">
        <v>44358</v>
      </c>
      <c r="O10" s="61">
        <v>44359</v>
      </c>
      <c r="P10" s="61">
        <v>44360</v>
      </c>
      <c r="Q10" s="61">
        <v>44361</v>
      </c>
      <c r="R10" s="61">
        <v>44362</v>
      </c>
      <c r="S10" s="61">
        <v>44363</v>
      </c>
      <c r="T10" s="61">
        <v>44364</v>
      </c>
      <c r="U10" s="61">
        <v>44365</v>
      </c>
      <c r="V10" s="61">
        <v>44366</v>
      </c>
      <c r="W10" s="61">
        <v>44367</v>
      </c>
      <c r="X10" s="61">
        <v>44368</v>
      </c>
      <c r="Y10" s="61">
        <v>44369</v>
      </c>
      <c r="Z10" s="61">
        <v>44370</v>
      </c>
      <c r="AA10" s="61">
        <v>44371</v>
      </c>
      <c r="AB10" s="61">
        <v>44372</v>
      </c>
      <c r="AC10" s="61">
        <v>44373</v>
      </c>
      <c r="AD10" s="61">
        <v>44374</v>
      </c>
      <c r="AE10" s="61">
        <v>44375</v>
      </c>
      <c r="AF10" s="61">
        <v>44376</v>
      </c>
      <c r="AG10" s="83">
        <v>44377</v>
      </c>
    </row>
    <row r="11" spans="1:33" s="1" customFormat="1" x14ac:dyDescent="0.2">
      <c r="A11" s="93"/>
      <c r="B11" s="95"/>
      <c r="C11" s="9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</row>
    <row r="12" spans="1:33" x14ac:dyDescent="0.2">
      <c r="A12" s="43"/>
      <c r="B12" s="34"/>
      <c r="C12" s="54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2"/>
      <c r="AG12" s="42"/>
    </row>
    <row r="13" spans="1:33" s="15" customFormat="1" ht="15" x14ac:dyDescent="0.25">
      <c r="A13" s="44">
        <v>1</v>
      </c>
      <c r="B13" s="53" t="s">
        <v>18</v>
      </c>
      <c r="C13" s="55" t="s">
        <v>16</v>
      </c>
      <c r="D13" s="58">
        <v>0</v>
      </c>
      <c r="E13" s="35">
        <v>0</v>
      </c>
      <c r="F13" s="35">
        <v>6.9560185185185185E-3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58">
        <v>0</v>
      </c>
      <c r="M13" s="35">
        <v>0</v>
      </c>
      <c r="N13" s="35">
        <v>0</v>
      </c>
      <c r="O13" s="35">
        <v>0</v>
      </c>
      <c r="P13" s="35">
        <v>0</v>
      </c>
      <c r="Q13" s="35">
        <v>0</v>
      </c>
      <c r="R13" s="35">
        <v>0</v>
      </c>
      <c r="S13" s="35">
        <v>0</v>
      </c>
      <c r="T13" s="35">
        <v>0</v>
      </c>
      <c r="U13" s="35">
        <v>0</v>
      </c>
      <c r="V13" s="35">
        <v>0</v>
      </c>
      <c r="W13" s="35">
        <v>0</v>
      </c>
      <c r="X13" s="35">
        <v>0</v>
      </c>
      <c r="Y13" s="35">
        <v>0</v>
      </c>
      <c r="Z13" s="35">
        <v>0</v>
      </c>
      <c r="AA13" s="35">
        <v>0</v>
      </c>
      <c r="AB13" s="35">
        <v>0</v>
      </c>
      <c r="AC13" s="35">
        <v>0</v>
      </c>
      <c r="AD13" s="35">
        <v>0</v>
      </c>
      <c r="AE13" s="35">
        <v>0</v>
      </c>
      <c r="AF13" s="35">
        <v>0</v>
      </c>
      <c r="AG13" s="35">
        <v>0</v>
      </c>
    </row>
    <row r="14" spans="1:33" s="15" customFormat="1" ht="15" x14ac:dyDescent="0.25">
      <c r="A14" s="44">
        <v>2</v>
      </c>
      <c r="B14" s="69" t="s">
        <v>17</v>
      </c>
      <c r="C14" s="55" t="s">
        <v>16</v>
      </c>
      <c r="D14" s="58">
        <v>0</v>
      </c>
      <c r="E14" s="35">
        <v>0</v>
      </c>
      <c r="F14" s="35">
        <v>6.9560185185185185E-3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58">
        <v>0</v>
      </c>
      <c r="M14" s="35">
        <v>0</v>
      </c>
      <c r="N14" s="35">
        <v>0</v>
      </c>
      <c r="O14" s="35">
        <v>0</v>
      </c>
      <c r="P14" s="35">
        <v>0</v>
      </c>
      <c r="Q14" s="35">
        <v>0</v>
      </c>
      <c r="R14" s="35">
        <v>7.1180555555555554E-3</v>
      </c>
      <c r="S14" s="35">
        <v>0</v>
      </c>
      <c r="T14" s="35">
        <v>1.0694444444444444E-2</v>
      </c>
      <c r="U14" s="35">
        <v>0</v>
      </c>
      <c r="V14" s="35">
        <v>0</v>
      </c>
      <c r="W14" s="35">
        <v>0</v>
      </c>
      <c r="X14" s="35">
        <v>7.1180555555555554E-3</v>
      </c>
      <c r="Y14" s="35">
        <v>0</v>
      </c>
      <c r="Z14" s="35">
        <v>1.0694444444444444E-2</v>
      </c>
      <c r="AA14" s="35">
        <v>1.7812499999999998E-2</v>
      </c>
      <c r="AB14" s="35">
        <v>0</v>
      </c>
      <c r="AC14" s="35">
        <v>0</v>
      </c>
      <c r="AD14" s="35">
        <v>3.2083333333333332E-2</v>
      </c>
      <c r="AE14" s="35">
        <v>0</v>
      </c>
      <c r="AF14" s="35">
        <v>0</v>
      </c>
      <c r="AG14" s="35">
        <v>1.7824074074074076E-2</v>
      </c>
    </row>
    <row r="15" spans="1:33" s="15" customFormat="1" ht="18" customHeight="1" thickBot="1" x14ac:dyDescent="0.3">
      <c r="A15" s="70"/>
      <c r="B15" s="71"/>
      <c r="C15" s="72"/>
      <c r="D15" s="66"/>
      <c r="E15" s="67"/>
      <c r="F15" s="67"/>
      <c r="G15" s="67"/>
      <c r="H15" s="67"/>
      <c r="I15" s="67"/>
      <c r="J15" s="67"/>
      <c r="K15" s="67"/>
      <c r="L15" s="66"/>
      <c r="M15" s="67"/>
      <c r="N15" s="67"/>
      <c r="O15" s="67"/>
      <c r="P15" s="67"/>
      <c r="Q15" s="67"/>
      <c r="R15" s="67"/>
      <c r="S15" s="67"/>
      <c r="T15" s="6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68"/>
    </row>
    <row r="16" spans="1:33" s="15" customFormat="1" ht="19.5" customHeight="1" thickBot="1" x14ac:dyDescent="0.3">
      <c r="A16" s="73"/>
      <c r="B16" s="74"/>
      <c r="C16" s="75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7"/>
      <c r="V16" s="77"/>
      <c r="W16" s="77"/>
      <c r="X16" s="77"/>
      <c r="Y16" s="77"/>
      <c r="Z16" s="77"/>
      <c r="AA16" s="77"/>
      <c r="AB16" s="77"/>
      <c r="AC16" s="77"/>
      <c r="AD16" s="77"/>
      <c r="AE16" s="77"/>
      <c r="AF16" s="77"/>
      <c r="AG16" s="77"/>
    </row>
    <row r="17" spans="1:33" s="15" customFormat="1" ht="15" customHeight="1" x14ac:dyDescent="0.2">
      <c r="A17" s="112">
        <v>3</v>
      </c>
      <c r="B17" s="115" t="s">
        <v>20</v>
      </c>
      <c r="C17" s="118" t="s">
        <v>21</v>
      </c>
      <c r="D17" s="119"/>
      <c r="E17" s="88"/>
      <c r="F17" s="89"/>
      <c r="G17" s="89"/>
      <c r="H17" s="89"/>
      <c r="I17" s="89"/>
      <c r="J17" s="89"/>
      <c r="K17" s="89"/>
      <c r="L17" s="64"/>
      <c r="M17" s="65"/>
      <c r="N17" s="65"/>
      <c r="O17" s="65"/>
      <c r="P17" s="65"/>
      <c r="Q17" s="65"/>
      <c r="R17" s="65"/>
      <c r="S17" s="65"/>
      <c r="T17" s="80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</row>
    <row r="18" spans="1:33" s="15" customFormat="1" x14ac:dyDescent="0.2">
      <c r="A18" s="113"/>
      <c r="B18" s="116"/>
      <c r="C18" s="84" t="s">
        <v>23</v>
      </c>
      <c r="D18" s="85"/>
      <c r="E18" s="90"/>
      <c r="F18" s="91"/>
      <c r="G18" s="91"/>
      <c r="H18" s="91"/>
      <c r="I18" s="91"/>
      <c r="J18" s="91"/>
      <c r="K18" s="91"/>
      <c r="L18" s="59"/>
      <c r="M18" s="60"/>
      <c r="N18" s="60"/>
      <c r="O18" s="60"/>
      <c r="P18" s="60"/>
      <c r="Q18" s="60"/>
      <c r="R18" s="60"/>
      <c r="S18" s="60"/>
      <c r="T18" s="81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</row>
    <row r="19" spans="1:33" s="15" customFormat="1" ht="15" customHeight="1" x14ac:dyDescent="0.2">
      <c r="A19" s="113"/>
      <c r="B19" s="116"/>
      <c r="C19" s="84" t="s">
        <v>22</v>
      </c>
      <c r="D19" s="85"/>
      <c r="E19" s="90"/>
      <c r="F19" s="91"/>
      <c r="G19" s="91"/>
      <c r="H19" s="91"/>
      <c r="I19" s="91"/>
      <c r="J19" s="91"/>
      <c r="K19" s="91"/>
      <c r="L19" s="59"/>
      <c r="M19" s="60"/>
      <c r="N19" s="60"/>
      <c r="O19" s="60"/>
      <c r="P19" s="60"/>
      <c r="Q19" s="60"/>
      <c r="R19" s="60"/>
      <c r="S19" s="60"/>
      <c r="T19" s="81"/>
      <c r="AC19" s="33"/>
    </row>
    <row r="20" spans="1:33" s="15" customFormat="1" ht="15" customHeight="1" x14ac:dyDescent="0.2">
      <c r="A20" s="113"/>
      <c r="B20" s="116"/>
      <c r="C20" s="86"/>
      <c r="D20" s="87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56"/>
      <c r="P20" s="56"/>
      <c r="Q20" s="56"/>
      <c r="R20" s="56"/>
      <c r="S20" s="56"/>
      <c r="T20" s="82"/>
      <c r="AC20" s="33"/>
    </row>
    <row r="21" spans="1:33" s="15" customFormat="1" ht="15" customHeight="1" x14ac:dyDescent="0.2">
      <c r="A21" s="113"/>
      <c r="B21" s="116"/>
      <c r="C21" s="108"/>
      <c r="D21" s="109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56"/>
      <c r="Q21" s="56"/>
      <c r="R21" s="56"/>
      <c r="S21" s="56"/>
      <c r="T21" s="82"/>
      <c r="AC21" s="33"/>
    </row>
    <row r="22" spans="1:33" s="15" customFormat="1" ht="15" customHeight="1" thickBot="1" x14ac:dyDescent="0.25">
      <c r="A22" s="114"/>
      <c r="B22" s="117"/>
      <c r="C22" s="110"/>
      <c r="D22" s="111"/>
      <c r="E22" s="106"/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57"/>
      <c r="Q22" s="57"/>
      <c r="R22" s="57"/>
      <c r="S22" s="57"/>
      <c r="T22" s="68"/>
      <c r="AC22" s="33"/>
    </row>
    <row r="23" spans="1:33" s="15" customFormat="1" x14ac:dyDescent="0.2">
      <c r="A23" s="16"/>
      <c r="D23" s="17"/>
      <c r="E23" s="18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</row>
    <row r="24" spans="1:33" s="15" customFormat="1" ht="13.5" thickBot="1" x14ac:dyDescent="0.25">
      <c r="A24" s="27" t="s">
        <v>11</v>
      </c>
      <c r="D24" s="17"/>
      <c r="E24" s="18"/>
      <c r="F24" s="19"/>
      <c r="G24" s="19"/>
      <c r="H24" s="19"/>
      <c r="I24" s="19"/>
      <c r="J24" s="19"/>
      <c r="K24" s="19"/>
      <c r="L24" s="19"/>
      <c r="M24" s="19"/>
      <c r="N24" s="19"/>
      <c r="P24" s="19"/>
    </row>
    <row r="25" spans="1:33" s="20" customFormat="1" x14ac:dyDescent="0.2">
      <c r="A25" s="100" t="s">
        <v>2</v>
      </c>
      <c r="B25" s="102" t="s">
        <v>8</v>
      </c>
      <c r="C25" s="102" t="s">
        <v>1</v>
      </c>
      <c r="D25" s="98" t="s">
        <v>6</v>
      </c>
      <c r="E25" s="99"/>
      <c r="F25" s="19"/>
      <c r="G25" s="19"/>
      <c r="H25" s="19"/>
      <c r="I25" s="19"/>
      <c r="J25" s="19"/>
      <c r="K25" s="19"/>
      <c r="L25" s="19"/>
      <c r="M25" s="19"/>
      <c r="N25" s="19"/>
      <c r="O25" s="15"/>
      <c r="P25" s="19"/>
      <c r="Q25" s="15"/>
      <c r="R25" s="15"/>
      <c r="S25" s="15"/>
      <c r="T25" s="15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3" x14ac:dyDescent="0.2">
      <c r="A26" s="101"/>
      <c r="B26" s="103"/>
      <c r="C26" s="103"/>
      <c r="D26" s="29" t="s">
        <v>9</v>
      </c>
      <c r="E26" s="45" t="s">
        <v>10</v>
      </c>
      <c r="F26" s="19"/>
      <c r="G26" s="19"/>
      <c r="H26" s="19"/>
      <c r="I26" s="19"/>
      <c r="J26" s="19"/>
      <c r="K26" s="19"/>
      <c r="L26" s="19"/>
      <c r="M26" s="19"/>
      <c r="N26" s="19"/>
      <c r="O26" s="15"/>
      <c r="P26" s="19"/>
      <c r="Q26" s="15"/>
      <c r="R26" s="15"/>
      <c r="S26" s="15"/>
      <c r="T26" s="15"/>
    </row>
    <row r="27" spans="1:33" ht="15.75" x14ac:dyDescent="0.25">
      <c r="A27" s="46">
        <v>1</v>
      </c>
      <c r="B27" s="39" t="str">
        <f>B13</f>
        <v>Link Wireless   Hexindo to Pama Soulmate</v>
      </c>
      <c r="C27" s="40">
        <f>1-(((D27*3600)+(LEFT(E27,2)*60)+RIGHT(E27,2))/((60*60*24)*$C$8))</f>
        <v>0.99976813271604936</v>
      </c>
      <c r="D27" s="41" t="str">
        <f>TEXT(SUM(D13:AG13),"[h]")</f>
        <v>0</v>
      </c>
      <c r="E27" s="47" t="str">
        <f>TEXT(SUM(D13:AG13),"mm ss")</f>
        <v>10 01</v>
      </c>
      <c r="F27" s="25"/>
      <c r="G27" s="19"/>
      <c r="H27" s="26"/>
      <c r="I27" s="19"/>
      <c r="J27" s="19"/>
      <c r="K27" s="19"/>
      <c r="L27" s="19"/>
      <c r="M27" s="19"/>
      <c r="N27" s="19"/>
      <c r="O27" s="15"/>
      <c r="P27" s="19"/>
      <c r="Q27" s="15"/>
      <c r="R27" s="15"/>
      <c r="S27" s="15"/>
      <c r="T27" s="15"/>
    </row>
    <row r="28" spans="1:33" ht="16.5" thickBot="1" x14ac:dyDescent="0.3">
      <c r="A28" s="48">
        <v>2</v>
      </c>
      <c r="B28" s="49" t="str">
        <f>B14</f>
        <v>Voip Gateway ( Link Telephone )</v>
      </c>
      <c r="C28" s="50">
        <f>1-(((D28*3600)+(LEFT(E28,2)*60)+RIGHT(E28,2))/((60*60*24)*$C$8))</f>
        <v>0.99632330246913581</v>
      </c>
      <c r="D28" s="51" t="str">
        <f>TEXT(SUM(D14:AG14),"[h]")</f>
        <v>2</v>
      </c>
      <c r="E28" s="52" t="str">
        <f>TEXT(SUM(D14:AG14),"mm ss")</f>
        <v>38 50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5"/>
      <c r="R28" s="15"/>
      <c r="S28" s="15"/>
      <c r="T28" s="15"/>
    </row>
    <row r="29" spans="1:33" x14ac:dyDescent="0.2">
      <c r="A29" s="16"/>
      <c r="B29" s="15"/>
      <c r="C29" s="15"/>
      <c r="D29" s="17"/>
      <c r="E29" s="18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5"/>
      <c r="R29" s="15"/>
      <c r="S29" s="15"/>
      <c r="T29" s="15"/>
    </row>
    <row r="30" spans="1:33" x14ac:dyDescent="0.2">
      <c r="A30" s="28" t="s">
        <v>14</v>
      </c>
      <c r="B30" s="20"/>
      <c r="C30" s="24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</row>
    <row r="31" spans="1:33" x14ac:dyDescent="0.2">
      <c r="A31" s="38" t="s">
        <v>19</v>
      </c>
      <c r="C31" s="29">
        <f>(SUM(C27:C28))/(100%*2)</f>
        <v>0.99804571759259253</v>
      </c>
      <c r="H31" s="36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3" spans="1:32" x14ac:dyDescent="0.2">
      <c r="B33" s="120"/>
    </row>
    <row r="34" spans="1:32" x14ac:dyDescent="0.2">
      <c r="A34" s="18"/>
    </row>
    <row r="35" spans="1:32" x14ac:dyDescent="0.2">
      <c r="B35" s="15"/>
    </row>
    <row r="36" spans="1:32" x14ac:dyDescent="0.2">
      <c r="Q36" s="32"/>
      <c r="R36" s="32"/>
      <c r="S36" s="32"/>
      <c r="T36" s="32"/>
    </row>
    <row r="38" spans="1:32" x14ac:dyDescent="0.2">
      <c r="J38" s="32"/>
    </row>
    <row r="39" spans="1:32" x14ac:dyDescent="0.2"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</row>
    <row r="40" spans="1:32" x14ac:dyDescent="0.2"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</row>
    <row r="41" spans="1:32" x14ac:dyDescent="0.2"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</row>
    <row r="42" spans="1:32" x14ac:dyDescent="0.2"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</row>
    <row r="44" spans="1:32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</row>
    <row r="45" spans="1:32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</row>
    <row r="46" spans="1:32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</row>
    <row r="47" spans="1:32" x14ac:dyDescent="0.2">
      <c r="F47" s="30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0"/>
      <c r="R47" s="30"/>
      <c r="S47" s="30"/>
      <c r="T47" s="30"/>
    </row>
  </sheetData>
  <mergeCells count="21">
    <mergeCell ref="A10:A11"/>
    <mergeCell ref="B10:B11"/>
    <mergeCell ref="C10:C11"/>
    <mergeCell ref="D25:E25"/>
    <mergeCell ref="A25:A26"/>
    <mergeCell ref="B25:B26"/>
    <mergeCell ref="C25:C26"/>
    <mergeCell ref="E20:N20"/>
    <mergeCell ref="E21:O21"/>
    <mergeCell ref="E22:O22"/>
    <mergeCell ref="C21:D21"/>
    <mergeCell ref="C22:D22"/>
    <mergeCell ref="A17:A22"/>
    <mergeCell ref="B17:B22"/>
    <mergeCell ref="C17:D17"/>
    <mergeCell ref="C18:D18"/>
    <mergeCell ref="C19:D19"/>
    <mergeCell ref="C20:D20"/>
    <mergeCell ref="E17:K17"/>
    <mergeCell ref="E18:K18"/>
    <mergeCell ref="E19:K19"/>
  </mergeCells>
  <phoneticPr fontId="9" type="noConversion"/>
  <conditionalFormatting sqref="Z14 D15:T16 E17:E19 L17:T19">
    <cfRule type="cellIs" dxfId="49" priority="121" stopIfTrue="1" operator="greaterThan">
      <formula>0</formula>
    </cfRule>
  </conditionalFormatting>
  <conditionalFormatting sqref="X14">
    <cfRule type="cellIs" dxfId="48" priority="103" stopIfTrue="1" operator="greaterThan">
      <formula>0</formula>
    </cfRule>
  </conditionalFormatting>
  <conditionalFormatting sqref="Y13:AA13 AC13">
    <cfRule type="cellIs" dxfId="47" priority="102" stopIfTrue="1" operator="greaterThan">
      <formula>0</formula>
    </cfRule>
  </conditionalFormatting>
  <conditionalFormatting sqref="E13:G13 X13 J13:K13 P13:Q13">
    <cfRule type="cellIs" dxfId="46" priority="100" stopIfTrue="1" operator="greaterThan">
      <formula>0</formula>
    </cfRule>
  </conditionalFormatting>
  <conditionalFormatting sqref="P14 J14:K14">
    <cfRule type="cellIs" dxfId="45" priority="95" stopIfTrue="1" operator="greaterThan">
      <formula>0</formula>
    </cfRule>
  </conditionalFormatting>
  <conditionalFormatting sqref="AC14">
    <cfRule type="cellIs" dxfId="44" priority="92" stopIfTrue="1" operator="greaterThan">
      <formula>0</formula>
    </cfRule>
  </conditionalFormatting>
  <conditionalFormatting sqref="AF13">
    <cfRule type="cellIs" dxfId="43" priority="90" stopIfTrue="1" operator="greaterThan">
      <formula>0</formula>
    </cfRule>
  </conditionalFormatting>
  <conditionalFormatting sqref="AF14">
    <cfRule type="cellIs" dxfId="42" priority="89" stopIfTrue="1" operator="greaterThan">
      <formula>0</formula>
    </cfRule>
  </conditionalFormatting>
  <conditionalFormatting sqref="AA14">
    <cfRule type="cellIs" dxfId="41" priority="79" stopIfTrue="1" operator="greaterThan">
      <formula>0</formula>
    </cfRule>
  </conditionalFormatting>
  <conditionalFormatting sqref="E14">
    <cfRule type="cellIs" dxfId="40" priority="77" stopIfTrue="1" operator="greaterThan">
      <formula>0</formula>
    </cfRule>
  </conditionalFormatting>
  <conditionalFormatting sqref="G14">
    <cfRule type="cellIs" dxfId="39" priority="76" stopIfTrue="1" operator="greaterThan">
      <formula>0</formula>
    </cfRule>
  </conditionalFormatting>
  <conditionalFormatting sqref="Y14">
    <cfRule type="cellIs" dxfId="38" priority="73" stopIfTrue="1" operator="greaterThan">
      <formula>0</formula>
    </cfRule>
  </conditionalFormatting>
  <conditionalFormatting sqref="R13">
    <cfRule type="cellIs" dxfId="37" priority="68" stopIfTrue="1" operator="greaterThan">
      <formula>0</formula>
    </cfRule>
  </conditionalFormatting>
  <conditionalFormatting sqref="R14">
    <cfRule type="cellIs" dxfId="36" priority="67" stopIfTrue="1" operator="greaterThan">
      <formula>0</formula>
    </cfRule>
  </conditionalFormatting>
  <conditionalFormatting sqref="S14">
    <cfRule type="cellIs" dxfId="34" priority="52" stopIfTrue="1" operator="greaterThan">
      <formula>0</formula>
    </cfRule>
  </conditionalFormatting>
  <conditionalFormatting sqref="S13">
    <cfRule type="cellIs" dxfId="33" priority="53" stopIfTrue="1" operator="greaterThan">
      <formula>0</formula>
    </cfRule>
  </conditionalFormatting>
  <conditionalFormatting sqref="T13">
    <cfRule type="cellIs" dxfId="32" priority="51" stopIfTrue="1" operator="greaterThan">
      <formula>0</formula>
    </cfRule>
  </conditionalFormatting>
  <conditionalFormatting sqref="T14">
    <cfRule type="cellIs" dxfId="31" priority="50" stopIfTrue="1" operator="greaterThan">
      <formula>0</formula>
    </cfRule>
  </conditionalFormatting>
  <conditionalFormatting sqref="U13">
    <cfRule type="cellIs" dxfId="30" priority="49" stopIfTrue="1" operator="greaterThan">
      <formula>0</formula>
    </cfRule>
  </conditionalFormatting>
  <conditionalFormatting sqref="U14">
    <cfRule type="cellIs" dxfId="29" priority="48" stopIfTrue="1" operator="greaterThan">
      <formula>0</formula>
    </cfRule>
  </conditionalFormatting>
  <conditionalFormatting sqref="V13">
    <cfRule type="cellIs" dxfId="28" priority="47" stopIfTrue="1" operator="greaterThan">
      <formula>0</formula>
    </cfRule>
  </conditionalFormatting>
  <conditionalFormatting sqref="V14">
    <cfRule type="cellIs" dxfId="27" priority="46" stopIfTrue="1" operator="greaterThan">
      <formula>0</formula>
    </cfRule>
  </conditionalFormatting>
  <conditionalFormatting sqref="W13">
    <cfRule type="cellIs" dxfId="26" priority="45" stopIfTrue="1" operator="greaterThan">
      <formula>0</formula>
    </cfRule>
  </conditionalFormatting>
  <conditionalFormatting sqref="W14">
    <cfRule type="cellIs" dxfId="25" priority="44" stopIfTrue="1" operator="greaterThan">
      <formula>0</formula>
    </cfRule>
  </conditionalFormatting>
  <conditionalFormatting sqref="AG14">
    <cfRule type="cellIs" dxfId="24" priority="27" stopIfTrue="1" operator="greaterThan">
      <formula>0</formula>
    </cfRule>
  </conditionalFormatting>
  <conditionalFormatting sqref="L13">
    <cfRule type="cellIs" dxfId="23" priority="32" stopIfTrue="1" operator="greaterThan">
      <formula>0</formula>
    </cfRule>
  </conditionalFormatting>
  <conditionalFormatting sqref="M13:O13">
    <cfRule type="cellIs" dxfId="22" priority="30" stopIfTrue="1" operator="greaterThan">
      <formula>0</formula>
    </cfRule>
  </conditionalFormatting>
  <conditionalFormatting sqref="M14:O14">
    <cfRule type="cellIs" dxfId="21" priority="29" stopIfTrue="1" operator="greaterThan">
      <formula>0</formula>
    </cfRule>
  </conditionalFormatting>
  <conditionalFormatting sqref="AG13">
    <cfRule type="cellIs" dxfId="20" priority="28" stopIfTrue="1" operator="greaterThan">
      <formula>0</formula>
    </cfRule>
  </conditionalFormatting>
  <conditionalFormatting sqref="AB13:AB14">
    <cfRule type="cellIs" dxfId="19" priority="22" stopIfTrue="1" operator="greaterThan">
      <formula>0</formula>
    </cfRule>
  </conditionalFormatting>
  <conditionalFormatting sqref="AD13:AE14">
    <cfRule type="cellIs" dxfId="18" priority="20" stopIfTrue="1" operator="greaterThan">
      <formula>0</formula>
    </cfRule>
  </conditionalFormatting>
  <conditionalFormatting sqref="F14">
    <cfRule type="cellIs" dxfId="17" priority="12" stopIfTrue="1" operator="greaterThan">
      <formula>0</formula>
    </cfRule>
  </conditionalFormatting>
  <conditionalFormatting sqref="L14">
    <cfRule type="cellIs" dxfId="16" priority="17" stopIfTrue="1" operator="greaterThan">
      <formula>0</formula>
    </cfRule>
  </conditionalFormatting>
  <conditionalFormatting sqref="D13">
    <cfRule type="cellIs" dxfId="15" priority="16" stopIfTrue="1" operator="greaterThan">
      <formula>0</formula>
    </cfRule>
  </conditionalFormatting>
  <conditionalFormatting sqref="D14">
    <cfRule type="cellIs" dxfId="13" priority="14" stopIfTrue="1" operator="greaterThan">
      <formula>0</formula>
    </cfRule>
  </conditionalFormatting>
  <conditionalFormatting sqref="H13">
    <cfRule type="cellIs" dxfId="10" priority="5" stopIfTrue="1" operator="greaterThan">
      <formula>0</formula>
    </cfRule>
  </conditionalFormatting>
  <conditionalFormatting sqref="H14">
    <cfRule type="cellIs" dxfId="8" priority="4" stopIfTrue="1" operator="greaterThan">
      <formula>0</formula>
    </cfRule>
  </conditionalFormatting>
  <conditionalFormatting sqref="I14">
    <cfRule type="cellIs" dxfId="6" priority="3" stopIfTrue="1" operator="greaterThan">
      <formula>0</formula>
    </cfRule>
  </conditionalFormatting>
  <conditionalFormatting sqref="I13">
    <cfRule type="cellIs" dxfId="4" priority="2" stopIfTrue="1" operator="greaterThan">
      <formula>0</formula>
    </cfRule>
  </conditionalFormatting>
  <conditionalFormatting sqref="Q14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LINK Hexindo - Pama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Telco Sangatta</cp:lastModifiedBy>
  <cp:lastPrinted>2007-08-03T02:53:39Z</cp:lastPrinted>
  <dcterms:created xsi:type="dcterms:W3CDTF">2006-10-16T02:50:45Z</dcterms:created>
  <dcterms:modified xsi:type="dcterms:W3CDTF">2022-07-01T01:09:21Z</dcterms:modified>
</cp:coreProperties>
</file>