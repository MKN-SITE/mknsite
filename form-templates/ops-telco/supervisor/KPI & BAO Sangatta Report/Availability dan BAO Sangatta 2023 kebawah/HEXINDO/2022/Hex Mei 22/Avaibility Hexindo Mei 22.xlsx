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33" i="11" l="1"/>
  <c r="D32" i="11"/>
  <c r="E32" i="11" l="1"/>
  <c r="C32" i="11" s="1"/>
  <c r="E33" i="11"/>
  <c r="B33" i="11"/>
  <c r="B32" i="11"/>
  <c r="C33" i="11" l="1"/>
  <c r="C36" i="11" l="1"/>
</calcChain>
</file>

<file path=xl/sharedStrings.xml><?xml version="1.0" encoding="utf-8"?>
<sst xmlns="http://schemas.openxmlformats.org/spreadsheetml/2006/main" count="79" uniqueCount="38">
  <si>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</si>
  <si>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</si>
  <si>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</si>
  <si>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</si>
  <si>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</si>
  <si>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</si>
  <si>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</si>
  <si>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</si>
  <si>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</si>
  <si>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</si>
  <si>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</si>
  <si>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</si>
  <si>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</si>
  <si>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</si>
  <si>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</si>
  <si>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</si>
  <si>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</si>
  <si>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</si>
  <si>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</si>
  <si>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</si>
  <si>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Remark </t>
  </si>
  <si>
    <t>Mei - 2022</t>
  </si>
  <si>
    <t>4 Mei 2022</t>
  </si>
  <si>
    <t>5 Mei 2022</t>
  </si>
  <si>
    <t>6 Mei 2022</t>
  </si>
  <si>
    <t>15 Mei 2022</t>
  </si>
  <si>
    <t>17 Mei 2022</t>
  </si>
  <si>
    <t>18 Mei 2022</t>
  </si>
  <si>
    <t>19 Mei 2022</t>
  </si>
  <si>
    <t>20 Mei 2022</t>
  </si>
  <si>
    <t>23 Mei 2022</t>
  </si>
  <si>
    <t xml:space="preserve">   Link to Surya Problem ( upgrade firmware )</t>
  </si>
  <si>
    <t xml:space="preserve">   Kabel putus di HEX TD,Replaced kabel utp</t>
  </si>
  <si>
    <t xml:space="preserve">   Intermitten</t>
  </si>
  <si>
    <t>26 Mei 2022</t>
  </si>
  <si>
    <t>29 Mei 2022</t>
  </si>
  <si>
    <t>30 Mei 2022</t>
  </si>
  <si>
    <t xml:space="preserve">   Genset mati di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</si>
</sst>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7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6" fillId="0" borderId="0"/>
  </cellStyleXfs>
  <cellXfs count="10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6" fillId="0" borderId="25" xfId="0" applyFont="1" applyBorder="1"/>
    <xf numFmtId="10" fontId="36" fillId="0" borderId="25" xfId="0" applyNumberFormat="1" applyFont="1" applyBorder="1" applyAlignment="1">
      <alignment horizontal="center"/>
    </xf>
    <xf numFmtId="46" fontId="36" fillId="0" borderId="25" xfId="0" applyNumberFormat="1" applyFont="1" applyBorder="1" applyAlignment="1">
      <alignment horizontal="center"/>
    </xf>
    <xf numFmtId="46" fontId="36" fillId="0" borderId="26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0" fontId="0" fillId="0" borderId="1" xfId="0" applyBorder="1"/>
    <xf numFmtId="10" fontId="6" fillId="0" borderId="0" xfId="0" applyNumberFormat="1" applyFont="1" applyBorder="1" applyAlignment="1">
      <alignment horizontal="left" vertical="center" wrapText="1"/>
    </xf>
    <xf numFmtId="46" fontId="6" fillId="0" borderId="0" xfId="0" applyNumberFormat="1" applyFont="1" applyBorder="1"/>
    <xf numFmtId="46" fontId="0" fillId="0" borderId="0" xfId="0" applyNumberFormat="1" applyBorder="1"/>
    <xf numFmtId="9" fontId="13" fillId="0" borderId="0" xfId="0" applyNumberFormat="1" applyFont="1" applyBorder="1" applyAlignment="1">
      <alignment horizontal="center"/>
    </xf>
    <xf numFmtId="15" fontId="6" fillId="0" borderId="30" xfId="0" applyNumberFormat="1" applyFont="1" applyBorder="1" applyAlignment="1">
      <alignment horizontal="center" vertical="center" wrapText="1"/>
    </xf>
    <xf numFmtId="10" fontId="6" fillId="0" borderId="30" xfId="0" applyNumberFormat="1" applyFont="1" applyBorder="1" applyAlignment="1">
      <alignment horizontal="center" vertical="center" wrapText="1"/>
    </xf>
    <xf numFmtId="0" fontId="37" fillId="0" borderId="14" xfId="0" applyFont="1" applyBorder="1"/>
    <xf numFmtId="0" fontId="6" fillId="0" borderId="21" xfId="0" applyFont="1" applyBorder="1" applyAlignment="1">
      <alignment horizontal="center"/>
    </xf>
    <xf numFmtId="0" fontId="6" fillId="0" borderId="0" xfId="0" applyFont="1" applyBorder="1"/>
    <xf numFmtId="10" fontId="6" fillId="0" borderId="1" xfId="0" applyNumberFormat="1" applyFont="1" applyBorder="1" applyAlignment="1">
      <alignment horizontal="center" vertical="center" wrapText="1"/>
    </xf>
    <xf numFmtId="10" fontId="6" fillId="0" borderId="31" xfId="0" applyNumberFormat="1" applyFont="1" applyBorder="1" applyAlignment="1">
      <alignment horizontal="center" vertical="center" wrapText="1"/>
    </xf>
    <xf numFmtId="46" fontId="0" fillId="0" borderId="29" xfId="0" applyNumberFormat="1" applyBorder="1"/>
    <xf numFmtId="0" fontId="37" fillId="0" borderId="2" xfId="0" applyFont="1" applyBorder="1" applyAlignment="1">
      <alignment horizontal="center" vertical="center"/>
    </xf>
    <xf numFmtId="46" fontId="0" fillId="0" borderId="2" xfId="0" applyNumberFormat="1" applyBorder="1"/>
    <xf numFmtId="15" fontId="6" fillId="0" borderId="32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/>
    </xf>
    <xf numFmtId="0" fontId="37" fillId="0" borderId="29" xfId="0" applyFont="1" applyBorder="1"/>
    <xf numFmtId="0" fontId="37" fillId="0" borderId="29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left" indent="4"/>
      <protection locked="0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29" xfId="0" applyNumberFormat="1" applyFont="1" applyBorder="1" applyAlignment="1">
      <alignment horizontal="left" vertical="center" wrapText="1"/>
    </xf>
    <xf numFmtId="10" fontId="6" fillId="0" borderId="30" xfId="0" applyNumberFormat="1" applyFont="1" applyBorder="1" applyAlignment="1">
      <alignment horizontal="left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3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6" fillId="0" borderId="28" xfId="0" applyNumberFormat="1" applyFont="1" applyBorder="1" applyAlignment="1">
      <alignment horizontal="left" vertical="center" wrapText="1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1" xfId="0" applyNumberFormat="1" applyFont="1" applyBorder="1" applyAlignment="1">
      <alignment horizontal="left" vertical="center" wrapText="1"/>
    </xf>
    <xf numFmtId="0" fontId="38" fillId="0" borderId="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</cellXfs>
  <cellStyles count="2137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Style 1" xfId="2136"/>
    <cellStyle name="Title" xfId="20" builtinId="15" customBuiltin="1"/>
    <cellStyle name="Total" xfId="35" builtinId="25" customBuiltin="1"/>
    <cellStyle name="Warning Text" xfId="33" builtinId="11" customBuiltin="1"/>
  </cellStyles>
  <dxfs count="6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R20" sqref="R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7" t="s">
        <v>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0" t="s">
        <v>2</v>
      </c>
      <c r="B10" s="92" t="s">
        <v>0</v>
      </c>
      <c r="C10" s="94" t="s">
        <v>7</v>
      </c>
      <c r="D10" s="54">
        <v>44682</v>
      </c>
      <c r="E10" s="54">
        <v>44683</v>
      </c>
      <c r="F10" s="54">
        <v>44684</v>
      </c>
      <c r="G10" s="54">
        <v>44685</v>
      </c>
      <c r="H10" s="54">
        <v>44686</v>
      </c>
      <c r="I10" s="54">
        <v>44687</v>
      </c>
      <c r="J10" s="54">
        <v>44688</v>
      </c>
      <c r="K10" s="54">
        <v>44689</v>
      </c>
      <c r="L10" s="54">
        <v>44690</v>
      </c>
      <c r="M10" s="54">
        <v>44691</v>
      </c>
      <c r="N10" s="54">
        <v>44692</v>
      </c>
      <c r="O10" s="54">
        <v>44693</v>
      </c>
      <c r="P10" s="54">
        <v>44694</v>
      </c>
      <c r="Q10" s="54">
        <v>44695</v>
      </c>
      <c r="R10" s="54">
        <v>44696</v>
      </c>
      <c r="S10" s="54">
        <v>44697</v>
      </c>
      <c r="T10" s="54">
        <v>44698</v>
      </c>
      <c r="U10" s="54">
        <v>44699</v>
      </c>
      <c r="V10" s="54">
        <v>44700</v>
      </c>
      <c r="W10" s="54">
        <v>44701</v>
      </c>
      <c r="X10" s="54">
        <v>44702</v>
      </c>
      <c r="Y10" s="54">
        <v>44703</v>
      </c>
      <c r="Z10" s="54">
        <v>44704</v>
      </c>
      <c r="AA10" s="54">
        <v>44705</v>
      </c>
      <c r="AB10" s="54">
        <v>44706</v>
      </c>
      <c r="AC10" s="54">
        <v>44707</v>
      </c>
      <c r="AD10" s="54">
        <v>44708</v>
      </c>
      <c r="AE10" s="54">
        <v>44709</v>
      </c>
      <c r="AF10" s="54">
        <v>44710</v>
      </c>
      <c r="AG10" s="54">
        <v>44711</v>
      </c>
      <c r="AH10" s="55">
        <v>44712</v>
      </c>
    </row>
    <row r="11" spans="1:34" s="1" customFormat="1" x14ac:dyDescent="0.2">
      <c r="A11" s="91"/>
      <c r="B11" s="93"/>
      <c r="C11" s="9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3"/>
      <c r="B12" s="34"/>
      <c r="C12" s="5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  <c r="AH12" s="58"/>
    </row>
    <row r="13" spans="1:34" s="15" customFormat="1" ht="15" x14ac:dyDescent="0.25">
      <c r="A13" s="44">
        <v>1</v>
      </c>
      <c r="B13" s="53" t="s">
        <v>18</v>
      </c>
      <c r="C13" s="57" t="s">
        <v>16</v>
      </c>
      <c r="D13" s="35">
        <v>0</v>
      </c>
      <c r="E13" s="35">
        <v>0</v>
      </c>
      <c r="F13" s="35">
        <v>0</v>
      </c>
      <c r="G13" s="35">
        <v>0.43263888888888885</v>
      </c>
      <c r="H13" s="35">
        <v>0.34009259259259261</v>
      </c>
      <c r="I13" s="35">
        <v>7.106481481481481E-3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3.5416666666666665E-3</v>
      </c>
      <c r="P13" s="35">
        <v>0</v>
      </c>
      <c r="Q13" s="35">
        <v>0</v>
      </c>
      <c r="R13" s="35">
        <v>3.5648148148148154E-3</v>
      </c>
      <c r="S13" s="35">
        <v>0</v>
      </c>
      <c r="T13" s="35">
        <v>2.1296296296296299E-2</v>
      </c>
      <c r="U13" s="35">
        <v>3.5532407407407405E-3</v>
      </c>
      <c r="V13" s="35">
        <v>3.9583333333333337E-3</v>
      </c>
      <c r="W13" s="35">
        <v>7.1296296296296307E-3</v>
      </c>
      <c r="X13" s="35">
        <v>0</v>
      </c>
      <c r="Y13" s="35">
        <v>0</v>
      </c>
      <c r="Z13" s="35">
        <v>7.1180555555555554E-3</v>
      </c>
      <c r="AA13" s="35">
        <v>0</v>
      </c>
      <c r="AB13" s="35">
        <v>0</v>
      </c>
      <c r="AC13" s="35">
        <v>3.5532407407407405E-3</v>
      </c>
      <c r="AD13" s="35">
        <v>0</v>
      </c>
      <c r="AE13" s="35">
        <v>0</v>
      </c>
      <c r="AF13" s="35">
        <v>3.5648148148148154E-3</v>
      </c>
      <c r="AG13" s="35">
        <v>3.5648148148148154E-3</v>
      </c>
      <c r="AH13" s="35">
        <v>0</v>
      </c>
    </row>
    <row r="14" spans="1:34" s="15" customFormat="1" ht="15" x14ac:dyDescent="0.25">
      <c r="A14" s="66">
        <v>2</v>
      </c>
      <c r="B14" s="65" t="s">
        <v>17</v>
      </c>
      <c r="C14" s="71" t="s">
        <v>16</v>
      </c>
      <c r="D14" s="72">
        <v>0</v>
      </c>
      <c r="E14" s="72">
        <v>0</v>
      </c>
      <c r="F14" s="72">
        <v>0</v>
      </c>
      <c r="G14" s="72">
        <v>0.43263888888888885</v>
      </c>
      <c r="H14" s="72">
        <v>0.34009259259259261</v>
      </c>
      <c r="I14" s="72">
        <v>7.106481481481481E-3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3.5416666666666665E-3</v>
      </c>
      <c r="P14" s="35">
        <v>0</v>
      </c>
      <c r="Q14" s="35">
        <v>0</v>
      </c>
      <c r="R14" s="35">
        <v>3.5648148148148154E-3</v>
      </c>
      <c r="S14" s="35">
        <v>0</v>
      </c>
      <c r="T14" s="35">
        <v>2.1296296296296299E-2</v>
      </c>
      <c r="U14" s="35">
        <v>3.5532407407407405E-3</v>
      </c>
      <c r="V14" s="35">
        <v>3.9583333333333337E-3</v>
      </c>
      <c r="W14" s="35">
        <v>7.1296296296296307E-3</v>
      </c>
      <c r="X14" s="35">
        <v>0</v>
      </c>
      <c r="Y14" s="35">
        <v>0</v>
      </c>
      <c r="Z14" s="35">
        <v>7.1180555555555554E-3</v>
      </c>
      <c r="AA14" s="35">
        <v>0</v>
      </c>
      <c r="AB14" s="35">
        <v>0</v>
      </c>
      <c r="AC14" s="35">
        <v>3.5532407407407405E-3</v>
      </c>
      <c r="AD14" s="35">
        <v>0</v>
      </c>
      <c r="AE14" s="35">
        <v>0</v>
      </c>
      <c r="AF14" s="35">
        <v>3.5648148148148154E-3</v>
      </c>
      <c r="AG14" s="35">
        <v>3.5648148148148154E-3</v>
      </c>
      <c r="AH14" s="35">
        <v>0</v>
      </c>
    </row>
    <row r="15" spans="1:34" s="15" customFormat="1" ht="18" customHeight="1" x14ac:dyDescent="0.25">
      <c r="A15" s="74"/>
      <c r="B15" s="75"/>
      <c r="C15" s="76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59"/>
      <c r="Q15" s="59"/>
      <c r="R15" s="59"/>
      <c r="S15" s="60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67"/>
    </row>
    <row r="16" spans="1:34" s="15" customFormat="1" ht="19.5" customHeight="1" x14ac:dyDescent="0.2">
      <c r="A16" s="87">
        <v>3</v>
      </c>
      <c r="B16" s="99" t="s">
        <v>20</v>
      </c>
      <c r="C16" s="73" t="s">
        <v>22</v>
      </c>
      <c r="D16" s="96" t="s">
        <v>31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7"/>
    </row>
    <row r="17" spans="1:34" s="15" customFormat="1" ht="19.5" customHeight="1" x14ac:dyDescent="0.2">
      <c r="A17" s="88"/>
      <c r="B17" s="100"/>
      <c r="C17" s="63" t="s">
        <v>23</v>
      </c>
      <c r="D17" s="82" t="s">
        <v>32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4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67"/>
    </row>
    <row r="18" spans="1:34" s="15" customFormat="1" ht="21.75" customHeight="1" x14ac:dyDescent="0.2">
      <c r="A18" s="88"/>
      <c r="B18" s="100"/>
      <c r="C18" s="64" t="s">
        <v>24</v>
      </c>
      <c r="D18" s="82" t="s">
        <v>33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7"/>
    </row>
    <row r="19" spans="1:34" s="15" customFormat="1" ht="21.75" customHeight="1" x14ac:dyDescent="0.2">
      <c r="A19" s="88"/>
      <c r="B19" s="100"/>
      <c r="C19" s="69" t="s">
        <v>25</v>
      </c>
      <c r="D19" s="82" t="s">
        <v>33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7"/>
    </row>
    <row r="20" spans="1:34" s="15" customFormat="1" ht="21.75" customHeight="1" x14ac:dyDescent="0.2">
      <c r="A20" s="88"/>
      <c r="B20" s="100"/>
      <c r="C20" s="64" t="s">
        <v>26</v>
      </c>
      <c r="D20" s="82" t="s">
        <v>37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4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1"/>
      <c r="AC20" s="59"/>
      <c r="AD20" s="59"/>
      <c r="AE20" s="59"/>
      <c r="AF20" s="59"/>
      <c r="AG20" s="59"/>
      <c r="AH20" s="67"/>
    </row>
    <row r="21" spans="1:34" s="15" customFormat="1" ht="20.100000000000001" customHeight="1" x14ac:dyDescent="0.2">
      <c r="A21" s="88"/>
      <c r="B21" s="100"/>
      <c r="C21" s="69" t="s">
        <v>27</v>
      </c>
      <c r="D21" s="82" t="s">
        <v>33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4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7"/>
    </row>
    <row r="22" spans="1:34" s="15" customFormat="1" ht="20.100000000000001" customHeight="1" x14ac:dyDescent="0.2">
      <c r="A22" s="88"/>
      <c r="B22" s="100"/>
      <c r="C22" s="68" t="s">
        <v>28</v>
      </c>
      <c r="D22" s="82" t="s">
        <v>33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4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67"/>
    </row>
    <row r="23" spans="1:34" s="15" customFormat="1" ht="20.100000000000001" customHeight="1" x14ac:dyDescent="0.2">
      <c r="A23" s="88"/>
      <c r="B23" s="100"/>
      <c r="C23" s="68" t="s">
        <v>29</v>
      </c>
      <c r="D23" s="82" t="s">
        <v>33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4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67"/>
    </row>
    <row r="24" spans="1:34" s="15" customFormat="1" ht="20.100000000000001" customHeight="1" x14ac:dyDescent="0.2">
      <c r="A24" s="88"/>
      <c r="B24" s="100"/>
      <c r="C24" s="68" t="s">
        <v>30</v>
      </c>
      <c r="D24" s="82" t="s">
        <v>33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4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7"/>
    </row>
    <row r="25" spans="1:34" s="15" customFormat="1" ht="20.100000000000001" customHeight="1" x14ac:dyDescent="0.2">
      <c r="A25" s="88"/>
      <c r="B25" s="100"/>
      <c r="C25" s="68" t="s">
        <v>34</v>
      </c>
      <c r="D25" s="82" t="s">
        <v>33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4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67"/>
    </row>
    <row r="26" spans="1:34" s="15" customFormat="1" ht="21" customHeight="1" x14ac:dyDescent="0.2">
      <c r="A26" s="88"/>
      <c r="B26" s="100"/>
      <c r="C26" s="68" t="s">
        <v>35</v>
      </c>
      <c r="D26" s="82" t="s">
        <v>33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4"/>
      <c r="P26" s="19"/>
    </row>
    <row r="27" spans="1:34" s="15" customFormat="1" ht="14.25" customHeight="1" x14ac:dyDescent="0.2">
      <c r="A27" s="89"/>
      <c r="B27" s="101"/>
      <c r="C27" s="68" t="s">
        <v>36</v>
      </c>
      <c r="D27" s="82" t="s">
        <v>33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4"/>
      <c r="P27" s="19"/>
      <c r="AC27" s="33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33"/>
      <c r="AD28" s="15"/>
      <c r="AE28" s="15"/>
      <c r="AF28" s="15"/>
      <c r="AG28" s="15"/>
      <c r="AH28" s="15"/>
    </row>
    <row r="29" spans="1:34" ht="13.5" thickBot="1" x14ac:dyDescent="0.25">
      <c r="A29" s="27" t="s">
        <v>11</v>
      </c>
      <c r="B29" s="15"/>
      <c r="C29" s="15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5"/>
      <c r="P29" s="19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33"/>
      <c r="AD29" s="15"/>
      <c r="AE29" s="15"/>
      <c r="AF29" s="15"/>
      <c r="AG29" s="15"/>
      <c r="AH29" s="15"/>
    </row>
    <row r="30" spans="1:34" x14ac:dyDescent="0.2">
      <c r="A30" s="78" t="s">
        <v>2</v>
      </c>
      <c r="B30" s="80" t="s">
        <v>8</v>
      </c>
      <c r="C30" s="80" t="s">
        <v>1</v>
      </c>
      <c r="D30" s="85" t="s">
        <v>6</v>
      </c>
      <c r="E30" s="86"/>
      <c r="F30" s="19"/>
      <c r="G30" s="19"/>
      <c r="H30" s="19"/>
      <c r="I30" s="19"/>
      <c r="J30" s="19"/>
      <c r="K30" s="19"/>
      <c r="L30" s="19"/>
      <c r="M30" s="19"/>
      <c r="N30" s="19"/>
      <c r="O30" s="15"/>
      <c r="P30" s="19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33"/>
      <c r="AD30" s="15"/>
      <c r="AE30" s="15"/>
      <c r="AF30" s="15"/>
      <c r="AG30" s="15"/>
      <c r="AH30" s="15"/>
    </row>
    <row r="31" spans="1:34" x14ac:dyDescent="0.2">
      <c r="A31" s="79"/>
      <c r="B31" s="81"/>
      <c r="C31" s="81"/>
      <c r="D31" s="29" t="s">
        <v>9</v>
      </c>
      <c r="E31" s="45" t="s">
        <v>10</v>
      </c>
      <c r="F31" s="19"/>
      <c r="G31" s="19"/>
      <c r="H31" s="19"/>
      <c r="I31" s="19"/>
      <c r="J31" s="77"/>
      <c r="K31" s="19"/>
      <c r="L31" s="19"/>
      <c r="M31" s="19"/>
      <c r="N31" s="19"/>
      <c r="O31" s="15"/>
      <c r="P31" s="62"/>
      <c r="Q31" s="15"/>
      <c r="R31" s="61"/>
      <c r="S31" s="15"/>
      <c r="T31" s="61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spans="1:34" ht="15.75" x14ac:dyDescent="0.25">
      <c r="A32" s="46">
        <v>1</v>
      </c>
      <c r="B32" s="39" t="str">
        <f>B13</f>
        <v>Link Wireless   Hexindo to Pama Soulmate</v>
      </c>
      <c r="C32" s="40">
        <f>1-(((D32*3600)+(LEFT(E32,2)*60)+RIGHT(E32,2))/((60*60*24)*$C$8))</f>
        <v>0.97299619175627239</v>
      </c>
      <c r="D32" s="41" t="str">
        <f>TEXT(SUM(D13:AG13),"[h]")</f>
        <v>20</v>
      </c>
      <c r="E32" s="47" t="str">
        <f>TEXT(SUM(D13:AF13),"mm ss")</f>
        <v>05 27</v>
      </c>
      <c r="F32" s="25"/>
      <c r="G32" s="19"/>
      <c r="H32" s="26"/>
      <c r="I32" s="19"/>
      <c r="J32" s="19"/>
      <c r="K32" s="19"/>
      <c r="L32" s="19"/>
      <c r="M32" s="19"/>
      <c r="N32" s="19"/>
      <c r="O32" s="15"/>
      <c r="P32" s="19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spans="1:34" ht="16.5" thickBot="1" x14ac:dyDescent="0.3">
      <c r="A33" s="48">
        <v>2</v>
      </c>
      <c r="B33" s="49" t="str">
        <f>B14</f>
        <v>Voip Gateway ( Link Telephone )</v>
      </c>
      <c r="C33" s="50">
        <f>1-(((D33*3600)+(LEFT(E33,2)*60)+RIGHT(E33,2))/((60*60*24)*$C$8))</f>
        <v>0.97299619175627239</v>
      </c>
      <c r="D33" s="51" t="str">
        <f>TEXT(SUM(D14:AG14),"[h]")</f>
        <v>20</v>
      </c>
      <c r="E33" s="52" t="str">
        <f>TEXT(SUM(D14:AF14),"mm ss")</f>
        <v>05 27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3"/>
      <c r="Q33" s="23"/>
      <c r="R33" s="23"/>
      <c r="S33" s="23"/>
      <c r="T33" s="23"/>
      <c r="U33" s="23"/>
      <c r="V33" s="60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0"/>
      <c r="AH33" s="20"/>
    </row>
    <row r="34" spans="1:34" x14ac:dyDescent="0.2">
      <c r="A34" s="16"/>
      <c r="B34" s="15"/>
      <c r="C34" s="15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1:34" x14ac:dyDescent="0.2">
      <c r="A35" s="28" t="s">
        <v>14</v>
      </c>
      <c r="B35" s="20"/>
      <c r="C35" s="24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pans="1:34" x14ac:dyDescent="0.2">
      <c r="A36" s="38" t="s">
        <v>19</v>
      </c>
      <c r="C36" s="29">
        <f>(SUM(C32:C33))/(100%*2)</f>
        <v>0.97299619175627239</v>
      </c>
      <c r="H36" s="36"/>
    </row>
    <row r="38" spans="1:34" x14ac:dyDescent="0.2">
      <c r="J38" s="61"/>
    </row>
    <row r="39" spans="1:34" x14ac:dyDescent="0.2"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3" spans="1:34" x14ac:dyDescent="0.2">
      <c r="J43" s="32"/>
    </row>
    <row r="47" spans="1:34" x14ac:dyDescent="0.2">
      <c r="P47" s="31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spans="1:34" x14ac:dyDescent="0.2">
      <c r="P48" s="3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 spans="6:32" x14ac:dyDescent="0.2">
      <c r="F49" s="30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spans="6:32" x14ac:dyDescent="0.2">
      <c r="F50" s="30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 spans="6:32" x14ac:dyDescent="0.2">
      <c r="F51" s="30"/>
      <c r="G51" s="31"/>
      <c r="H51" s="31"/>
      <c r="I51" s="31"/>
      <c r="J51" s="31"/>
      <c r="K51" s="31"/>
      <c r="L51" s="31"/>
      <c r="M51" s="31"/>
      <c r="N51" s="31"/>
      <c r="O51" s="31"/>
    </row>
    <row r="52" spans="6:32" x14ac:dyDescent="0.2">
      <c r="F52" s="30"/>
      <c r="G52" s="31"/>
      <c r="H52" s="31"/>
      <c r="I52" s="31"/>
      <c r="J52" s="31"/>
      <c r="K52" s="31"/>
      <c r="L52" s="31"/>
      <c r="M52" s="31"/>
      <c r="N52" s="31"/>
      <c r="O52" s="31"/>
    </row>
  </sheetData>
  <sheetProtection formatRows="0"/>
  <mergeCells count="21">
    <mergeCell ref="A10:A11"/>
    <mergeCell ref="B10:B11"/>
    <mergeCell ref="C10:C11"/>
    <mergeCell ref="D16:O16"/>
    <mergeCell ref="D17:O17"/>
    <mergeCell ref="A16:A27"/>
    <mergeCell ref="B16:B27"/>
    <mergeCell ref="A30:A31"/>
    <mergeCell ref="B30:B31"/>
    <mergeCell ref="C30:C31"/>
    <mergeCell ref="D18:O18"/>
    <mergeCell ref="D19:O19"/>
    <mergeCell ref="D20:O20"/>
    <mergeCell ref="D21:O21"/>
    <mergeCell ref="D22:O22"/>
    <mergeCell ref="D23:O23"/>
    <mergeCell ref="D24:O24"/>
    <mergeCell ref="D25:O25"/>
    <mergeCell ref="D27:O27"/>
    <mergeCell ref="D30:E30"/>
    <mergeCell ref="D26:O26"/>
  </mergeCells>
  <phoneticPr fontId="9" type="noConversion"/>
  <conditionalFormatting sqref="D15:O15">
    <cfRule type="cellIs" dxfId="60" priority="153" stopIfTrue="1" operator="greaterThan">
      <formula>0</formula>
    </cfRule>
  </conditionalFormatting>
  <conditionalFormatting sqref="X14">
    <cfRule type="cellIs" dxfId="59" priority="135" stopIfTrue="1" operator="greaterThan">
      <formula>0</formula>
    </cfRule>
  </conditionalFormatting>
  <conditionalFormatting sqref="Y13:Z13 AC13">
    <cfRule type="cellIs" dxfId="58" priority="134" stopIfTrue="1" operator="greaterThan">
      <formula>0</formula>
    </cfRule>
  </conditionalFormatting>
  <conditionalFormatting sqref="P13 E13:G13 X13 I13:K13">
    <cfRule type="cellIs" dxfId="57" priority="132" stopIfTrue="1" operator="greaterThan">
      <formula>0</formula>
    </cfRule>
  </conditionalFormatting>
  <conditionalFormatting sqref="P14 J14:K14">
    <cfRule type="cellIs" dxfId="56" priority="127" stopIfTrue="1" operator="greaterThan">
      <formula>0</formula>
    </cfRule>
  </conditionalFormatting>
  <conditionalFormatting sqref="AF13:AG14">
    <cfRule type="cellIs" dxfId="54" priority="122" stopIfTrue="1" operator="greaterThan">
      <formula>0</formula>
    </cfRule>
  </conditionalFormatting>
  <conditionalFormatting sqref="AF14">
    <cfRule type="cellIs" dxfId="53" priority="121" stopIfTrue="1" operator="greaterThan">
      <formula>0</formula>
    </cfRule>
  </conditionalFormatting>
  <conditionalFormatting sqref="AD13">
    <cfRule type="cellIs" dxfId="52" priority="112" stopIfTrue="1" operator="greaterThan">
      <formula>0</formula>
    </cfRule>
  </conditionalFormatting>
  <conditionalFormatting sqref="Y14">
    <cfRule type="cellIs" dxfId="51" priority="105" stopIfTrue="1" operator="greaterThan">
      <formula>0</formula>
    </cfRule>
  </conditionalFormatting>
  <conditionalFormatting sqref="H13">
    <cfRule type="cellIs" dxfId="50" priority="90" stopIfTrue="1" operator="greaterThan">
      <formula>0</formula>
    </cfRule>
  </conditionalFormatting>
  <conditionalFormatting sqref="F14">
    <cfRule type="cellIs" dxfId="49" priority="88" stopIfTrue="1" operator="greaterThan">
      <formula>0</formula>
    </cfRule>
  </conditionalFormatting>
  <conditionalFormatting sqref="AE13">
    <cfRule type="cellIs" dxfId="48" priority="86" stopIfTrue="1" operator="greaterThan">
      <formula>0</formula>
    </cfRule>
  </conditionalFormatting>
  <conditionalFormatting sqref="V13">
    <cfRule type="cellIs" dxfId="47" priority="79" stopIfTrue="1" operator="greaterThan">
      <formula>0</formula>
    </cfRule>
  </conditionalFormatting>
  <conditionalFormatting sqref="W13">
    <cfRule type="cellIs" dxfId="45" priority="77" stopIfTrue="1" operator="greaterThan">
      <formula>0</formula>
    </cfRule>
  </conditionalFormatting>
  <conditionalFormatting sqref="L13">
    <cfRule type="cellIs" dxfId="43" priority="64" stopIfTrue="1" operator="greaterThan">
      <formula>0</formula>
    </cfRule>
  </conditionalFormatting>
  <conditionalFormatting sqref="L14">
    <cfRule type="cellIs" dxfId="42" priority="63" stopIfTrue="1" operator="greaterThan">
      <formula>0</formula>
    </cfRule>
  </conditionalFormatting>
  <conditionalFormatting sqref="M13:O13">
    <cfRule type="cellIs" dxfId="41" priority="62" stopIfTrue="1" operator="greaterThan">
      <formula>0</formula>
    </cfRule>
  </conditionalFormatting>
  <conditionalFormatting sqref="M14:N14">
    <cfRule type="cellIs" dxfId="40" priority="61" stopIfTrue="1" operator="greaterThan">
      <formula>0</formula>
    </cfRule>
  </conditionalFormatting>
  <conditionalFormatting sqref="AG13">
    <cfRule type="cellIs" dxfId="39" priority="60" stopIfTrue="1" operator="greaterThan">
      <formula>0</formula>
    </cfRule>
  </conditionalFormatting>
  <conditionalFormatting sqref="AG14">
    <cfRule type="cellIs" dxfId="38" priority="59" stopIfTrue="1" operator="greaterThan">
      <formula>0</formula>
    </cfRule>
  </conditionalFormatting>
  <conditionalFormatting sqref="AD14">
    <cfRule type="cellIs" dxfId="37" priority="58" stopIfTrue="1" operator="greaterThan">
      <formula>0</formula>
    </cfRule>
  </conditionalFormatting>
  <conditionalFormatting sqref="AE14">
    <cfRule type="cellIs" dxfId="36" priority="57" stopIfTrue="1" operator="greaterThan">
      <formula>0</formula>
    </cfRule>
  </conditionalFormatting>
  <conditionalFormatting sqref="AB13:AB14">
    <cfRule type="cellIs" dxfId="35" priority="54" stopIfTrue="1" operator="greaterThan">
      <formula>0</formula>
    </cfRule>
  </conditionalFormatting>
  <conditionalFormatting sqref="AH13:AH14">
    <cfRule type="cellIs" dxfId="34" priority="50" stopIfTrue="1" operator="greaterThan">
      <formula>0</formula>
    </cfRule>
  </conditionalFormatting>
  <conditionalFormatting sqref="S15">
    <cfRule type="cellIs" dxfId="33" priority="44" stopIfTrue="1" operator="greaterThan">
      <formula>0</formula>
    </cfRule>
  </conditionalFormatting>
  <conditionalFormatting sqref="V33">
    <cfRule type="cellIs" dxfId="32" priority="30" stopIfTrue="1" operator="greaterThan">
      <formula>0</formula>
    </cfRule>
  </conditionalFormatting>
  <conditionalFormatting sqref="E14">
    <cfRule type="cellIs" dxfId="31" priority="28" stopIfTrue="1" operator="greaterThan">
      <formula>0</formula>
    </cfRule>
  </conditionalFormatting>
  <conditionalFormatting sqref="Q13:U13 Q14:S14">
    <cfRule type="cellIs" dxfId="30" priority="27" stopIfTrue="1" operator="greaterThan">
      <formula>0</formula>
    </cfRule>
  </conditionalFormatting>
  <conditionalFormatting sqref="T31">
    <cfRule type="cellIs" dxfId="29" priority="26" stopIfTrue="1" operator="greaterThan">
      <formula>0</formula>
    </cfRule>
  </conditionalFormatting>
  <conditionalFormatting sqref="AA13:AA14">
    <cfRule type="cellIs" dxfId="28" priority="24" stopIfTrue="1" operator="greaterThan">
      <formula>0</formula>
    </cfRule>
  </conditionalFormatting>
  <conditionalFormatting sqref="D13:D14">
    <cfRule type="cellIs" dxfId="27" priority="20" stopIfTrue="1" operator="greaterThan">
      <formula>0</formula>
    </cfRule>
  </conditionalFormatting>
  <conditionalFormatting sqref="G14">
    <cfRule type="cellIs" dxfId="26" priority="18" stopIfTrue="1" operator="greaterThan">
      <formula>0</formula>
    </cfRule>
  </conditionalFormatting>
  <conditionalFormatting sqref="H14">
    <cfRule type="cellIs" dxfId="25" priority="17" stopIfTrue="1" operator="greaterThan">
      <formula>0</formula>
    </cfRule>
  </conditionalFormatting>
  <conditionalFormatting sqref="J38">
    <cfRule type="cellIs" dxfId="24" priority="16" stopIfTrue="1" operator="greaterThan">
      <formula>0</formula>
    </cfRule>
  </conditionalFormatting>
  <conditionalFormatting sqref="I14">
    <cfRule type="cellIs" dxfId="23" priority="14" stopIfTrue="1" operator="greaterThan">
      <formula>0</formula>
    </cfRule>
  </conditionalFormatting>
  <conditionalFormatting sqref="R31">
    <cfRule type="cellIs" dxfId="22" priority="13" stopIfTrue="1" operator="greaterThan">
      <formula>0</formula>
    </cfRule>
  </conditionalFormatting>
  <conditionalFormatting sqref="O14">
    <cfRule type="cellIs" dxfId="21" priority="11" stopIfTrue="1" operator="greaterThan">
      <formula>0</formula>
    </cfRule>
  </conditionalFormatting>
  <conditionalFormatting sqref="AC14">
    <cfRule type="cellIs" dxfId="20" priority="10" stopIfTrue="1" operator="greaterThan">
      <formula>0</formula>
    </cfRule>
  </conditionalFormatting>
  <conditionalFormatting sqref="AB20">
    <cfRule type="cellIs" dxfId="18" priority="9" stopIfTrue="1" operator="greaterThan">
      <formula>0</formula>
    </cfRule>
  </conditionalFormatting>
  <conditionalFormatting sqref="V14">
    <cfRule type="cellIs" dxfId="9" priority="5" stopIfTrue="1" operator="greaterThan">
      <formula>0</formula>
    </cfRule>
  </conditionalFormatting>
  <conditionalFormatting sqref="W14">
    <cfRule type="cellIs" dxfId="7" priority="4" stopIfTrue="1" operator="greaterThan">
      <formula>0</formula>
    </cfRule>
  </conditionalFormatting>
  <conditionalFormatting sqref="T14:U14">
    <cfRule type="cellIs" dxfId="5" priority="3" stopIfTrue="1" operator="greaterThan">
      <formula>0</formula>
    </cfRule>
  </conditionalFormatting>
  <conditionalFormatting sqref="Z14">
    <cfRule type="cellIs" dxfId="1" priority="1" stopIfTrue="1" operator="greaterThan">
      <formula>0</formula>
    </cfRule>
  </conditionalFormatting>
  <pageMargins left="0.75" right="0.25" top="1" bottom="1" header="0.5" footer="0.5"/>
  <pageSetup paperSize="9" scale="26" orientation="portrait" horizontalDpi="4294967292" verticalDpi="4294967292" r:id="rId1"/>
  <headerFooter alignWithMargins="0"/>
  <rowBreaks count="2" manualBreakCount="2">
    <brk id="21" max="16383" man="1"/>
    <brk id="28" max="16383" man="1"/>
  </rowBreaks>
  <colBreaks count="2" manualBreakCount="2">
    <brk id="3" max="1048575" man="1"/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2022-06-01T01:06:22Z</dcterms:modified>
</cp:coreProperties>
</file>