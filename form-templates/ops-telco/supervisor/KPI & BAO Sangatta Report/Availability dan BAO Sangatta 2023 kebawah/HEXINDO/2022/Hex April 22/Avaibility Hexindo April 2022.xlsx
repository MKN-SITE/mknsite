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4525"/>
</workbook>
</file>

<file path=xl/calcChain.xml><?xml version="1.0" encoding="utf-8"?>
<calcChain xmlns="http://schemas.openxmlformats.org/spreadsheetml/2006/main">
  <c r="D23" i="11" l="1"/>
  <c r="D22" i="11"/>
  <c r="E22" i="11" l="1"/>
  <c r="C22" i="11" s="1"/>
  <c r="E23" i="11"/>
  <c r="B23" i="11"/>
  <c r="B22" i="11"/>
  <c r="C23" i="11" l="1"/>
  <c r="C26" i="11" l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<sst xmlns="http://schemas.openxmlformats.org/spreadsheetml/2006/main" count="55" uniqueCount="23">
  <si>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</si>
  <si>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</si>
  <si>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</si>
  <si>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</si>
  <si>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</si>
  <si>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</si>
  <si>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</si>
  <si>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</si>
  <si>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</si>
  <si>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</si>
  <si>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</si>
  <si>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</si>
  <si>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</si>
  <si>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</si>
  <si>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</si>
  <si>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</si>
  <si>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</si>
  <si>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</si>
  <si>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</si>
  <si>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</si>
  <si>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Remark Down Time</t>
  </si>
  <si>
    <t xml:space="preserve">              Audio code di HexTD stuck</t>
  </si>
  <si>
    <t xml:space="preserve">              Genset  di  saolmate 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</si>
</sst>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6" fillId="0" borderId="30" xfId="0" applyFont="1" applyBorder="1"/>
    <xf numFmtId="10" fontId="36" fillId="0" borderId="30" xfId="0" applyNumberFormat="1" applyFont="1" applyBorder="1" applyAlignment="1">
      <alignment horizontal="center"/>
    </xf>
    <xf numFmtId="46" fontId="36" fillId="0" borderId="30" xfId="0" applyNumberFormat="1" applyFont="1" applyBorder="1" applyAlignment="1">
      <alignment horizontal="center"/>
    </xf>
    <xf numFmtId="46" fontId="36" fillId="0" borderId="31" xfId="0" applyNumberFormat="1" applyFont="1" applyBorder="1" applyAlignment="1">
      <alignment horizontal="center"/>
    </xf>
    <xf numFmtId="0" fontId="37" fillId="0" borderId="3" xfId="0" applyFont="1" applyBorder="1"/>
    <xf numFmtId="16" fontId="8" fillId="0" borderId="3" xfId="0" applyNumberFormat="1" applyFont="1" applyBorder="1" applyAlignment="1">
      <alignment horizontal="center"/>
    </xf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34" xfId="0" applyNumberFormat="1" applyFont="1" applyBorder="1" applyAlignment="1">
      <alignment vertical="center" wrapText="1"/>
    </xf>
    <xf numFmtId="10" fontId="6" fillId="0" borderId="35" xfId="0" applyNumberFormat="1" applyFont="1" applyBorder="1" applyAlignment="1">
      <alignment vertical="center" wrapText="1"/>
    </xf>
    <xf numFmtId="10" fontId="6" fillId="0" borderId="27" xfId="0" applyNumberFormat="1" applyFont="1" applyBorder="1" applyAlignment="1">
      <alignment vertical="center" wrapText="1"/>
    </xf>
    <xf numFmtId="46" fontId="0" fillId="0" borderId="2" xfId="0" applyNumberFormat="1" applyBorder="1"/>
    <xf numFmtId="14" fontId="6" fillId="0" borderId="3" xfId="0" applyNumberFormat="1" applyFont="1" applyBorder="1" applyAlignment="1">
      <alignment vertical="center" wrapText="1"/>
    </xf>
    <xf numFmtId="46" fontId="0" fillId="0" borderId="1" xfId="0" applyNumberFormat="1" applyFill="1" applyBorder="1"/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8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38" fillId="0" borderId="14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0" fontId="6" fillId="0" borderId="34" xfId="0" applyNumberFormat="1" applyFont="1" applyBorder="1" applyAlignment="1">
      <alignment horizontal="center" vertical="center" wrapText="1"/>
    </xf>
    <xf numFmtId="10" fontId="6" fillId="0" borderId="3" xfId="0" applyNumberFormat="1" applyFont="1" applyBorder="1" applyAlignment="1">
      <alignment horizontal="left" vertical="center" wrapText="1"/>
    </xf>
    <xf numFmtId="10" fontId="6" fillId="0" borderId="34" xfId="0" applyNumberFormat="1" applyFont="1" applyBorder="1" applyAlignment="1">
      <alignment horizontal="left" vertical="center" wrapText="1"/>
    </xf>
    <xf numFmtId="10" fontId="6" fillId="0" borderId="26" xfId="0" applyNumberFormat="1" applyFont="1" applyBorder="1" applyAlignment="1">
      <alignment horizontal="left" vertical="center" wrapText="1"/>
    </xf>
    <xf numFmtId="10" fontId="6" fillId="0" borderId="27" xfId="0" applyNumberFormat="1" applyFont="1" applyBorder="1" applyAlignment="1">
      <alignment horizontal="left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37" xfId="0" applyNumberFormat="1" applyFont="1" applyBorder="1" applyAlignment="1">
      <alignment horizontal="center" vertical="center" wrapText="1"/>
    </xf>
    <xf numFmtId="15" fontId="6" fillId="0" borderId="26" xfId="0" applyNumberFormat="1" applyFont="1" applyBorder="1" applyAlignment="1">
      <alignment horizontal="center" vertical="center" wrapText="1"/>
    </xf>
    <xf numFmtId="10" fontId="6" fillId="0" borderId="36" xfId="0" applyNumberFormat="1" applyFont="1" applyBorder="1" applyAlignment="1">
      <alignment horizontal="center" vertical="center" wrapText="1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3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2"/>
  <sheetViews>
    <sheetView tabSelected="1" zoomScale="80" zoomScaleNormal="80" workbookViewId="0">
      <selection activeCell="B31" sqref="B31"/>
    </sheetView>
  </sheetViews>
  <sheetFormatPr defaultRowHeight="12.75" x14ac:dyDescent="0.2"/>
  <cols>
    <col min="1" max="1" width="5.7109375" style="2" customWidth="1"/>
    <col min="2" max="2" width="45.5703125" customWidth="1"/>
    <col min="3" max="3" width="16.140625" bestFit="1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37">
        <v>44652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ht="13.5" thickBot="1" x14ac:dyDescent="0.25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3" t="s">
        <v>2</v>
      </c>
      <c r="B10" s="65" t="s">
        <v>0</v>
      </c>
      <c r="C10" s="67" t="s">
        <v>7</v>
      </c>
      <c r="D10" s="54">
        <v>44287</v>
      </c>
      <c r="E10" s="54">
        <v>44288</v>
      </c>
      <c r="F10" s="54">
        <v>44289</v>
      </c>
      <c r="G10" s="54">
        <v>44290</v>
      </c>
      <c r="H10" s="54">
        <v>44291</v>
      </c>
      <c r="I10" s="54">
        <v>44292</v>
      </c>
      <c r="J10" s="54">
        <v>44293</v>
      </c>
      <c r="K10" s="54">
        <v>44294</v>
      </c>
      <c r="L10" s="54">
        <v>44295</v>
      </c>
      <c r="M10" s="54">
        <v>44296</v>
      </c>
      <c r="N10" s="54">
        <v>44297</v>
      </c>
      <c r="O10" s="54">
        <v>44298</v>
      </c>
      <c r="P10" s="54">
        <v>44299</v>
      </c>
      <c r="Q10" s="54">
        <v>44300</v>
      </c>
      <c r="R10" s="54">
        <v>44301</v>
      </c>
      <c r="S10" s="54">
        <v>44302</v>
      </c>
      <c r="T10" s="54">
        <v>44303</v>
      </c>
      <c r="U10" s="54">
        <v>44304</v>
      </c>
      <c r="V10" s="54">
        <v>44305</v>
      </c>
      <c r="W10" s="54">
        <v>44306</v>
      </c>
      <c r="X10" s="54">
        <v>44307</v>
      </c>
      <c r="Y10" s="54">
        <v>44308</v>
      </c>
      <c r="Z10" s="54">
        <v>44309</v>
      </c>
      <c r="AA10" s="54">
        <v>44310</v>
      </c>
      <c r="AB10" s="54">
        <v>44311</v>
      </c>
      <c r="AC10" s="54">
        <v>44312</v>
      </c>
      <c r="AD10" s="54">
        <v>44313</v>
      </c>
      <c r="AE10" s="54">
        <v>44314</v>
      </c>
      <c r="AF10" s="54">
        <v>44315</v>
      </c>
      <c r="AG10" s="90">
        <v>44316</v>
      </c>
    </row>
    <row r="11" spans="1:33" s="1" customFormat="1" x14ac:dyDescent="0.2">
      <c r="A11" s="64"/>
      <c r="B11" s="66"/>
      <c r="C11" s="6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3"/>
      <c r="B12" s="34"/>
      <c r="C12" s="55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</row>
    <row r="13" spans="1:33" s="15" customFormat="1" ht="15" x14ac:dyDescent="0.25">
      <c r="A13" s="44">
        <v>1</v>
      </c>
      <c r="B13" s="53" t="s">
        <v>18</v>
      </c>
      <c r="C13" s="56" t="s">
        <v>16</v>
      </c>
      <c r="D13" s="35">
        <v>4.1851851851851855E-2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62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5" customFormat="1" ht="15" x14ac:dyDescent="0.25">
      <c r="A14" s="44">
        <v>2</v>
      </c>
      <c r="B14" s="53" t="s">
        <v>17</v>
      </c>
      <c r="C14" s="56" t="s">
        <v>16</v>
      </c>
      <c r="D14" s="60">
        <v>4.1851851851851855E-2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62">
        <v>7.1284722222222222E-2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</v>
      </c>
      <c r="Z14" s="35">
        <v>0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</row>
    <row r="15" spans="1:33" s="15" customFormat="1" ht="18" customHeight="1" x14ac:dyDescent="0.2">
      <c r="A15" s="78">
        <v>3</v>
      </c>
      <c r="B15" s="75" t="s">
        <v>20</v>
      </c>
      <c r="C15" s="61"/>
      <c r="D15" s="57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8"/>
    </row>
    <row r="16" spans="1:33" s="15" customFormat="1" ht="19.5" customHeight="1" x14ac:dyDescent="0.2">
      <c r="A16" s="79"/>
      <c r="B16" s="76"/>
      <c r="C16" s="86">
        <v>44652</v>
      </c>
      <c r="D16" s="87"/>
      <c r="E16" s="82" t="s">
        <v>21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</row>
    <row r="17" spans="1:33" s="15" customFormat="1" ht="21.75" customHeight="1" thickBot="1" x14ac:dyDescent="0.25">
      <c r="A17" s="80"/>
      <c r="B17" s="77"/>
      <c r="C17" s="88">
        <v>44660</v>
      </c>
      <c r="D17" s="89"/>
      <c r="E17" s="84" t="s">
        <v>22</v>
      </c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</row>
    <row r="18" spans="1:33" s="15" customFormat="1" x14ac:dyDescent="0.2">
      <c r="A18" s="16"/>
      <c r="D18" s="17"/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33" s="15" customFormat="1" ht="13.5" thickBot="1" x14ac:dyDescent="0.25">
      <c r="A19" s="27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3"/>
    </row>
    <row r="20" spans="1:33" s="15" customFormat="1" x14ac:dyDescent="0.2">
      <c r="A20" s="71" t="s">
        <v>2</v>
      </c>
      <c r="B20" s="73" t="s">
        <v>8</v>
      </c>
      <c r="C20" s="73" t="s">
        <v>1</v>
      </c>
      <c r="D20" s="69" t="s">
        <v>6</v>
      </c>
      <c r="E20" s="70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3"/>
    </row>
    <row r="21" spans="1:33" s="15" customFormat="1" x14ac:dyDescent="0.2">
      <c r="A21" s="72"/>
      <c r="B21" s="74"/>
      <c r="C21" s="74"/>
      <c r="D21" s="29" t="s">
        <v>9</v>
      </c>
      <c r="E21" s="45" t="s">
        <v>10</v>
      </c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3"/>
    </row>
    <row r="22" spans="1:33" s="15" customFormat="1" ht="15.75" x14ac:dyDescent="0.25">
      <c r="A22" s="46">
        <v>1</v>
      </c>
      <c r="B22" s="39" t="str">
        <f>B13</f>
        <v>Link Wireless   Hexindo to Pama Soulmate</v>
      </c>
      <c r="C22" s="40">
        <f>1-(((D22*3600)+(LEFT(E22,2)*60)+RIGHT(E22,2))/((60*60*24)*$C$8))</f>
        <v>0.9986049382716049</v>
      </c>
      <c r="D22" s="41" t="str">
        <f>TEXT(SUM(D13:AG13),"[h]")</f>
        <v>1</v>
      </c>
      <c r="E22" s="47" t="str">
        <f>TEXT(SUM(D13:AF13),"mm ss")</f>
        <v>00 16</v>
      </c>
      <c r="F22" s="25"/>
      <c r="G22" s="19"/>
      <c r="H22" s="26"/>
      <c r="I22" s="19"/>
      <c r="J22" s="19"/>
      <c r="K22" s="19"/>
      <c r="L22" s="19"/>
      <c r="M22" s="19"/>
      <c r="N22" s="19"/>
      <c r="P22" s="19"/>
      <c r="AC22" s="33"/>
    </row>
    <row r="23" spans="1:33" s="15" customFormat="1" ht="16.5" thickBot="1" x14ac:dyDescent="0.3">
      <c r="A23" s="48">
        <v>2</v>
      </c>
      <c r="B23" s="49" t="str">
        <f>B14</f>
        <v>Voip Gateway ( Link Telephone )</v>
      </c>
      <c r="C23" s="50">
        <f>1-(((D23*3600)+(LEFT(E23,2)*60)+RIGHT(E23,2))/((60*60*24)*$C$8))</f>
        <v>0.99622878086419753</v>
      </c>
      <c r="D23" s="51" t="str">
        <f>TEXT(SUM(D14:AG14),"[h]")</f>
        <v>2</v>
      </c>
      <c r="E23" s="52" t="str">
        <f>TEXT(SUM(D14:AF14),"mm ss")</f>
        <v>42 55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3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3" s="20" customFormat="1" x14ac:dyDescent="0.2">
      <c r="A25" s="28" t="s">
        <v>14</v>
      </c>
      <c r="C25" s="24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3" x14ac:dyDescent="0.2">
      <c r="A26" s="38" t="s">
        <v>19</v>
      </c>
      <c r="C26" s="29">
        <f>(SUM(C22:C23))/(100%*2)</f>
        <v>0.99741685956790116</v>
      </c>
      <c r="H26" s="36"/>
    </row>
    <row r="29" spans="1:33" x14ac:dyDescent="0.2">
      <c r="A29" s="18"/>
    </row>
    <row r="30" spans="1:33" x14ac:dyDescent="0.2">
      <c r="B30" s="15"/>
    </row>
    <row r="31" spans="1:33" x14ac:dyDescent="0.2"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3" spans="6:32" x14ac:dyDescent="0.2">
      <c r="J33" s="32"/>
    </row>
    <row r="39" spans="6:32" x14ac:dyDescent="0.2">
      <c r="F39" s="30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6:32" x14ac:dyDescent="0.2">
      <c r="F40" s="30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6:32" x14ac:dyDescent="0.2">
      <c r="F41" s="30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6:32" x14ac:dyDescent="0.2">
      <c r="F42" s="30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</sheetData>
  <mergeCells count="14">
    <mergeCell ref="A10:A11"/>
    <mergeCell ref="B10:B11"/>
    <mergeCell ref="C10:C11"/>
    <mergeCell ref="D20:E20"/>
    <mergeCell ref="A20:A21"/>
    <mergeCell ref="B20:B21"/>
    <mergeCell ref="C20:C21"/>
    <mergeCell ref="B15:B17"/>
    <mergeCell ref="A15:A17"/>
    <mergeCell ref="E15:N15"/>
    <mergeCell ref="E16:O16"/>
    <mergeCell ref="E17:O17"/>
    <mergeCell ref="C16:D16"/>
    <mergeCell ref="C17:D17"/>
  </mergeCells>
  <phoneticPr fontId="9" type="noConversion"/>
  <conditionalFormatting sqref="Z14">
    <cfRule type="cellIs" dxfId="36" priority="104" stopIfTrue="1" operator="greaterThan">
      <formula>0</formula>
    </cfRule>
  </conditionalFormatting>
  <conditionalFormatting sqref="X14">
    <cfRule type="cellIs" dxfId="35" priority="86" stopIfTrue="1" operator="greaterThan">
      <formula>0</formula>
    </cfRule>
  </conditionalFormatting>
  <conditionalFormatting sqref="Y13:AA13 AC13">
    <cfRule type="cellIs" dxfId="34" priority="85" stopIfTrue="1" operator="greaterThan">
      <formula>0</formula>
    </cfRule>
  </conditionalFormatting>
  <conditionalFormatting sqref="P13:Q13 E13:G13 X13 I13:K13">
    <cfRule type="cellIs" dxfId="33" priority="83" stopIfTrue="1" operator="greaterThan">
      <formula>0</formula>
    </cfRule>
  </conditionalFormatting>
  <conditionalFormatting sqref="P14:Q14 I14:K14">
    <cfRule type="cellIs" dxfId="32" priority="78" stopIfTrue="1" operator="greaterThan">
      <formula>0</formula>
    </cfRule>
  </conditionalFormatting>
  <conditionalFormatting sqref="AC14">
    <cfRule type="cellIs" dxfId="31" priority="75" stopIfTrue="1" operator="greaterThan">
      <formula>0</formula>
    </cfRule>
  </conditionalFormatting>
  <conditionalFormatting sqref="AF13">
    <cfRule type="cellIs" dxfId="30" priority="73" stopIfTrue="1" operator="greaterThan">
      <formula>0</formula>
    </cfRule>
  </conditionalFormatting>
  <conditionalFormatting sqref="AF14">
    <cfRule type="cellIs" dxfId="29" priority="72" stopIfTrue="1" operator="greaterThan">
      <formula>0</formula>
    </cfRule>
  </conditionalFormatting>
  <conditionalFormatting sqref="AA14">
    <cfRule type="cellIs" dxfId="28" priority="62" stopIfTrue="1" operator="greaterThan">
      <formula>0</formula>
    </cfRule>
  </conditionalFormatting>
  <conditionalFormatting sqref="E14">
    <cfRule type="cellIs" dxfId="27" priority="60" stopIfTrue="1" operator="greaterThan">
      <formula>0</formula>
    </cfRule>
  </conditionalFormatting>
  <conditionalFormatting sqref="G14">
    <cfRule type="cellIs" dxfId="26" priority="59" stopIfTrue="1" operator="greaterThan">
      <formula>0</formula>
    </cfRule>
  </conditionalFormatting>
  <conditionalFormatting sqref="Y14">
    <cfRule type="cellIs" dxfId="25" priority="56" stopIfTrue="1" operator="greaterThan">
      <formula>0</formula>
    </cfRule>
  </conditionalFormatting>
  <conditionalFormatting sqref="R13">
    <cfRule type="cellIs" dxfId="24" priority="51" stopIfTrue="1" operator="greaterThan">
      <formula>0</formula>
    </cfRule>
  </conditionalFormatting>
  <conditionalFormatting sqref="R14">
    <cfRule type="cellIs" dxfId="23" priority="50" stopIfTrue="1" operator="greaterThan">
      <formula>0</formula>
    </cfRule>
  </conditionalFormatting>
  <conditionalFormatting sqref="H13">
    <cfRule type="cellIs" dxfId="22" priority="41" stopIfTrue="1" operator="greaterThan">
      <formula>0</formula>
    </cfRule>
  </conditionalFormatting>
  <conditionalFormatting sqref="H14">
    <cfRule type="cellIs" dxfId="21" priority="40" stopIfTrue="1" operator="greaterThan">
      <formula>0</formula>
    </cfRule>
  </conditionalFormatting>
  <conditionalFormatting sqref="F14">
    <cfRule type="cellIs" dxfId="20" priority="39" stopIfTrue="1" operator="greaterThan">
      <formula>0</formula>
    </cfRule>
  </conditionalFormatting>
  <conditionalFormatting sqref="S13">
    <cfRule type="cellIs" dxfId="19" priority="36" stopIfTrue="1" operator="greaterThan">
      <formula>0</formula>
    </cfRule>
  </conditionalFormatting>
  <conditionalFormatting sqref="S14">
    <cfRule type="cellIs" dxfId="18" priority="35" stopIfTrue="1" operator="greaterThan">
      <formula>0</formula>
    </cfRule>
  </conditionalFormatting>
  <conditionalFormatting sqref="T13">
    <cfRule type="cellIs" dxfId="17" priority="34" stopIfTrue="1" operator="greaterThan">
      <formula>0</formula>
    </cfRule>
  </conditionalFormatting>
  <conditionalFormatting sqref="T14">
    <cfRule type="cellIs" dxfId="16" priority="33" stopIfTrue="1" operator="greaterThan">
      <formula>0</formula>
    </cfRule>
  </conditionalFormatting>
  <conditionalFormatting sqref="U13">
    <cfRule type="cellIs" dxfId="15" priority="32" stopIfTrue="1" operator="greaterThan">
      <formula>0</formula>
    </cfRule>
  </conditionalFormatting>
  <conditionalFormatting sqref="U14">
    <cfRule type="cellIs" dxfId="14" priority="31" stopIfTrue="1" operator="greaterThan">
      <formula>0</formula>
    </cfRule>
  </conditionalFormatting>
  <conditionalFormatting sqref="V13">
    <cfRule type="cellIs" dxfId="13" priority="30" stopIfTrue="1" operator="greaterThan">
      <formula>0</formula>
    </cfRule>
  </conditionalFormatting>
  <conditionalFormatting sqref="V14">
    <cfRule type="cellIs" dxfId="12" priority="29" stopIfTrue="1" operator="greaterThan">
      <formula>0</formula>
    </cfRule>
  </conditionalFormatting>
  <conditionalFormatting sqref="W13">
    <cfRule type="cellIs" dxfId="11" priority="28" stopIfTrue="1" operator="greaterThan">
      <formula>0</formula>
    </cfRule>
  </conditionalFormatting>
  <conditionalFormatting sqref="W14">
    <cfRule type="cellIs" dxfId="10" priority="27" stopIfTrue="1" operator="greaterThan">
      <formula>0</formula>
    </cfRule>
  </conditionalFormatting>
  <conditionalFormatting sqref="D13">
    <cfRule type="cellIs" dxfId="9" priority="17" stopIfTrue="1" operator="greaterThan">
      <formula>0</formula>
    </cfRule>
  </conditionalFormatting>
  <conditionalFormatting sqref="L13">
    <cfRule type="cellIs" dxfId="8" priority="15" stopIfTrue="1" operator="greaterThan">
      <formula>0</formula>
    </cfRule>
  </conditionalFormatting>
  <conditionalFormatting sqref="L14">
    <cfRule type="cellIs" dxfId="7" priority="14" stopIfTrue="1" operator="greaterThan">
      <formula>0</formula>
    </cfRule>
  </conditionalFormatting>
  <conditionalFormatting sqref="M13:O13">
    <cfRule type="cellIs" dxfId="6" priority="13" stopIfTrue="1" operator="greaterThan">
      <formula>0</formula>
    </cfRule>
  </conditionalFormatting>
  <conditionalFormatting sqref="M14:O14">
    <cfRule type="cellIs" dxfId="5" priority="12" stopIfTrue="1" operator="greaterThan">
      <formula>0</formula>
    </cfRule>
  </conditionalFormatting>
  <conditionalFormatting sqref="AG13">
    <cfRule type="cellIs" dxfId="4" priority="11" stopIfTrue="1" operator="greaterThan">
      <formula>0</formula>
    </cfRule>
  </conditionalFormatting>
  <conditionalFormatting sqref="AG14">
    <cfRule type="cellIs" dxfId="3" priority="10" stopIfTrue="1" operator="greaterThan">
      <formula>0</formula>
    </cfRule>
  </conditionalFormatting>
  <conditionalFormatting sqref="AB13:AB14">
    <cfRule type="cellIs" dxfId="2" priority="5" stopIfTrue="1" operator="greaterThan">
      <formula>0</formula>
    </cfRule>
  </conditionalFormatting>
  <conditionalFormatting sqref="AD13:AE14">
    <cfRule type="cellIs" dxfId="1" priority="3" stopIfTrue="1" operator="greaterThan">
      <formula>0</formula>
    </cfRule>
  </conditionalFormatting>
  <conditionalFormatting sqref="D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2022-04-29T08:18:03Z</dcterms:modified>
</cp:coreProperties>
</file>