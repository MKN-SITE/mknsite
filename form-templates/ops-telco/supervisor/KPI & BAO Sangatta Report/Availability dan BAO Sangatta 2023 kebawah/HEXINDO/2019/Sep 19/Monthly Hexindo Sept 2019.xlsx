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Downtime LINK Hexindo - Pama" sheetId="11" r:id="rId1"/>
  </sheets>
  <calcPr calcId="144525"/>
</workbook>
</file>

<file path=xl/calcChain.xml><?xml version="1.0" encoding="utf-8"?>
<calcChain xmlns="http://schemas.openxmlformats.org/spreadsheetml/2006/main">
  <c r="D20" i="11" l="1"/>
  <c r="E20" i="11"/>
  <c r="E21" i="11"/>
  <c r="D21" i="11"/>
  <c r="B21" i="11"/>
  <c r="B20" i="11"/>
  <c r="C21" i="11" l="1"/>
  <c r="C20" i="11"/>
  <c r="C24" i="11" l="1"/>
</calcChain>
</file>

<file path=xl/sharedStrings.xml><?xml version="1.0" encoding="utf-8"?>
<sst xmlns="http://schemas.openxmlformats.org/spreadsheetml/2006/main" count="58" uniqueCount="25">
  <si>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</si>
  <si>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</si>
  <si>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</si>
  <si>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</si>
  <si>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</si>
  <si>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</si>
  <si>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</si>
  <si>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</si>
  <si>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</si>
  <si>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</si>
  <si>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</si>
  <si>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</si>
  <si>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</si>
  <si>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</si>
  <si>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</si>
  <si>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</si>
  <si>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</si>
  <si>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</si>
  <si>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</si>
  <si>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</si>
  <si>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</si>
  <si>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24:00:00 AM</t>
  </si>
  <si>
    <t>Surya Tower Mati Listrik</t>
  </si>
  <si>
    <t>Reposisi AP/ Wireless di Hexindo TD dari Gedung Warehouse ke Gedung rebuild.</t>
  </si>
  <si>
    <t>Hexindo TD ke Surya tower low signal karena terhalang pohon.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</si>
</sst>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8" fillId="0" borderId="0" xfId="0" applyFont="1"/>
    <xf numFmtId="0" fontId="35" fillId="0" borderId="1" xfId="0" applyFont="1" applyBorder="1"/>
    <xf numFmtId="0" fontId="36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37" fillId="0" borderId="1" xfId="0" applyFont="1" applyBorder="1"/>
    <xf numFmtId="0" fontId="37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38" fillId="0" borderId="5" xfId="0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left" vertical="top" wrapText="1"/>
    </xf>
    <xf numFmtId="0" fontId="6" fillId="0" borderId="1" xfId="0" applyFont="1" applyBorder="1"/>
    <xf numFmtId="10" fontId="6" fillId="0" borderId="4" xfId="0" applyNumberFormat="1" applyFont="1" applyBorder="1" applyAlignment="1">
      <alignment horizontal="left" vertical="top" wrapText="1"/>
    </xf>
    <xf numFmtId="10" fontId="6" fillId="0" borderId="16" xfId="0" applyNumberFormat="1" applyFont="1" applyBorder="1" applyAlignment="1">
      <alignment horizontal="left" vertical="top" wrapText="1"/>
    </xf>
    <xf numFmtId="10" fontId="6" fillId="0" borderId="2" xfId="0" applyNumberFormat="1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0"/>
  <sheetViews>
    <sheetView tabSelected="1" topLeftCell="U1" zoomScale="98" zoomScaleNormal="98" workbookViewId="0">
      <selection activeCell="W8" sqref="W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1.28515625" style="14" customWidth="1"/>
    <col min="7" max="7" width="10" style="14" bestFit="1" customWidth="1"/>
    <col min="8" max="8" width="10.5703125" style="14" customWidth="1"/>
    <col min="9" max="16" width="10" style="14" bestFit="1" customWidth="1"/>
    <col min="17" max="17" width="10" bestFit="1" customWidth="1"/>
    <col min="18" max="18" width="10.7109375" customWidth="1"/>
    <col min="19" max="21" width="10" bestFit="1" customWidth="1"/>
    <col min="22" max="23" width="9.140625" bestFit="1" customWidth="1"/>
    <col min="24" max="27" width="10" bestFit="1" customWidth="1"/>
    <col min="28" max="28" width="10.5703125" customWidth="1"/>
    <col min="29" max="29" width="10" bestFit="1" customWidth="1"/>
    <col min="30" max="30" width="9.7109375" customWidth="1"/>
    <col min="31" max="31" width="10" bestFit="1" customWidth="1"/>
    <col min="32" max="32" width="10" customWidth="1"/>
    <col min="33" max="33" width="11.8554687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8">
        <v>43738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4" t="s">
        <v>2</v>
      </c>
      <c r="B10" s="64" t="s">
        <v>0</v>
      </c>
      <c r="C10" s="64" t="s">
        <v>7</v>
      </c>
      <c r="D10" s="23">
        <v>43709</v>
      </c>
      <c r="E10" s="23">
        <v>43710</v>
      </c>
      <c r="F10" s="23">
        <v>43711</v>
      </c>
      <c r="G10" s="23">
        <v>43712</v>
      </c>
      <c r="H10" s="23">
        <v>43713</v>
      </c>
      <c r="I10" s="23">
        <v>43714</v>
      </c>
      <c r="J10" s="23">
        <v>43715</v>
      </c>
      <c r="K10" s="23">
        <v>43716</v>
      </c>
      <c r="L10" s="23">
        <v>43717</v>
      </c>
      <c r="M10" s="23">
        <v>43718</v>
      </c>
      <c r="N10" s="23">
        <v>43719</v>
      </c>
      <c r="O10" s="23">
        <v>43720</v>
      </c>
      <c r="P10" s="23">
        <v>43721</v>
      </c>
      <c r="Q10" s="23">
        <v>43722</v>
      </c>
      <c r="R10" s="23">
        <v>43723</v>
      </c>
      <c r="S10" s="23">
        <v>43724</v>
      </c>
      <c r="T10" s="23">
        <v>43725</v>
      </c>
      <c r="U10" s="23">
        <v>43726</v>
      </c>
      <c r="V10" s="23">
        <v>43727</v>
      </c>
      <c r="W10" s="23">
        <v>43728</v>
      </c>
      <c r="X10" s="23">
        <v>43729</v>
      </c>
      <c r="Y10" s="23">
        <v>43730</v>
      </c>
      <c r="Z10" s="23">
        <v>43731</v>
      </c>
      <c r="AA10" s="23">
        <v>43732</v>
      </c>
      <c r="AB10" s="23">
        <v>43733</v>
      </c>
      <c r="AC10" s="23">
        <v>43734</v>
      </c>
      <c r="AD10" s="23">
        <v>43735</v>
      </c>
      <c r="AE10" s="23">
        <v>43736</v>
      </c>
      <c r="AF10" s="23">
        <v>43737</v>
      </c>
      <c r="AG10" s="57">
        <v>43738</v>
      </c>
    </row>
    <row r="11" spans="1:33" s="1" customFormat="1" x14ac:dyDescent="0.2">
      <c r="A11" s="65"/>
      <c r="B11" s="65"/>
      <c r="C11" s="6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2"/>
      <c r="B12" s="43"/>
      <c r="C12" s="4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15" customFormat="1" ht="15" x14ac:dyDescent="0.25">
      <c r="A13" s="39">
        <v>1</v>
      </c>
      <c r="B13" s="55" t="s">
        <v>19</v>
      </c>
      <c r="C13" s="56" t="s">
        <v>17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0.40972222222222227</v>
      </c>
      <c r="V13" s="46" t="s">
        <v>21</v>
      </c>
      <c r="W13" s="46">
        <v>0.41666666666666669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6.9444444444444434E-2</v>
      </c>
    </row>
    <row r="14" spans="1:33" s="15" customFormat="1" ht="15" x14ac:dyDescent="0.25">
      <c r="A14" s="39">
        <v>2</v>
      </c>
      <c r="B14" s="55" t="s">
        <v>18</v>
      </c>
      <c r="C14" s="56" t="s">
        <v>17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0.33333333333333331</v>
      </c>
      <c r="T14" s="46">
        <v>0.375</v>
      </c>
      <c r="U14" s="46">
        <v>0.40972222222222227</v>
      </c>
      <c r="V14" s="46" t="s">
        <v>21</v>
      </c>
      <c r="W14" s="46">
        <v>0.41666666666666669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6.9444444444444434E-2</v>
      </c>
    </row>
    <row r="15" spans="1:33" s="15" customFormat="1" ht="179.25" customHeight="1" x14ac:dyDescent="0.2">
      <c r="A15" s="25"/>
      <c r="B15" s="58" t="s">
        <v>14</v>
      </c>
      <c r="C15" s="45"/>
      <c r="D15" s="41"/>
      <c r="E15" s="24"/>
      <c r="F15" s="59"/>
      <c r="G15" s="41"/>
      <c r="H15" s="59"/>
      <c r="I15" s="41"/>
      <c r="J15" s="24"/>
      <c r="K15" s="40"/>
      <c r="L15" s="41"/>
      <c r="M15" s="24"/>
      <c r="N15" s="41"/>
      <c r="O15" s="41"/>
      <c r="P15" s="41"/>
      <c r="Q15" s="41"/>
      <c r="R15" s="41"/>
      <c r="S15" s="61" t="s">
        <v>24</v>
      </c>
      <c r="T15" s="63"/>
      <c r="U15" s="61" t="s">
        <v>23</v>
      </c>
      <c r="V15" s="62"/>
      <c r="W15" s="63"/>
      <c r="X15" s="24"/>
      <c r="Y15" s="41"/>
      <c r="Z15" s="41"/>
      <c r="AA15" s="40"/>
      <c r="AB15" s="41"/>
      <c r="AC15" s="41"/>
      <c r="AD15" s="41"/>
      <c r="AE15" s="60"/>
      <c r="AF15" s="41"/>
      <c r="AG15" s="59" t="s">
        <v>22</v>
      </c>
    </row>
    <row r="16" spans="1:33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8" t="s">
        <v>2</v>
      </c>
      <c r="B18" s="68" t="s">
        <v>8</v>
      </c>
      <c r="C18" s="68" t="s">
        <v>1</v>
      </c>
      <c r="D18" s="66" t="s">
        <v>6</v>
      </c>
      <c r="E18" s="67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9"/>
      <c r="B19" s="69"/>
      <c r="C19" s="69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49">
        <v>1</v>
      </c>
      <c r="B20" s="51" t="str">
        <f>B13</f>
        <v>Link Wireless   Hexindo to Pama Soulmate</v>
      </c>
      <c r="C20" s="53">
        <f>1-(((D20*3600)+(LEFT(E20,2)*60)+RIGHT(E20,2))/((60*60*24)*$C$8))</f>
        <v>0.97013888888888888</v>
      </c>
      <c r="D20" s="54" t="str">
        <f>TEXT(SUM(D13:AG13),"[h]")</f>
        <v>21</v>
      </c>
      <c r="E20" s="54" t="str">
        <f>TEXT(SUM(D13:AG13),"mm ss")</f>
        <v>30 00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49">
        <v>2</v>
      </c>
      <c r="B21" s="52" t="str">
        <f>B14</f>
        <v>Voip Gateway ( Link Telephone )</v>
      </c>
      <c r="C21" s="53">
        <f>1-(((D21*3600)+(LEFT(E21,2)*60)+RIGHT(E21,2))/((60*60*24)*$C$8))</f>
        <v>0.94652777777777775</v>
      </c>
      <c r="D21" s="54" t="str">
        <f>TEXT(SUM(D14:AG14),"[h]")</f>
        <v>38</v>
      </c>
      <c r="E21" s="54" t="str">
        <f>TEXT(SUM(D14:AG14),"mm ss")</f>
        <v>30 00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50" t="s">
        <v>20</v>
      </c>
      <c r="C24" s="34">
        <f>(SUM(C20:C21))/(100%*2)</f>
        <v>0.95833333333333326</v>
      </c>
      <c r="H24" s="47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9">
    <mergeCell ref="D18:E18"/>
    <mergeCell ref="A18:A19"/>
    <mergeCell ref="B18:B19"/>
    <mergeCell ref="C18:C19"/>
    <mergeCell ref="U15:W15"/>
    <mergeCell ref="S15:T15"/>
    <mergeCell ref="A10:A11"/>
    <mergeCell ref="B10:B11"/>
    <mergeCell ref="C10:C11"/>
  </mergeCells>
  <phoneticPr fontId="9" type="noConversion"/>
  <conditionalFormatting sqref="Z14">
    <cfRule type="cellIs" dxfId="30" priority="68" stopIfTrue="1" operator="greaterThan">
      <formula>0</formula>
    </cfRule>
  </conditionalFormatting>
  <conditionalFormatting sqref="U14:X14">
    <cfRule type="cellIs" dxfId="29" priority="50" stopIfTrue="1" operator="greaterThan">
      <formula>0</formula>
    </cfRule>
  </conditionalFormatting>
  <conditionalFormatting sqref="Y13:AA13 AC13">
    <cfRule type="cellIs" dxfId="28" priority="49" stopIfTrue="1" operator="greaterThan">
      <formula>0</formula>
    </cfRule>
  </conditionalFormatting>
  <conditionalFormatting sqref="P13:Q13 D13:G13 U13:X13 I13:N13">
    <cfRule type="cellIs" dxfId="27" priority="47" stopIfTrue="1" operator="greaterThan">
      <formula>0</formula>
    </cfRule>
  </conditionalFormatting>
  <conditionalFormatting sqref="P14:Q14 I14:N14">
    <cfRule type="cellIs" dxfId="26" priority="42" stopIfTrue="1" operator="greaterThan">
      <formula>0</formula>
    </cfRule>
  </conditionalFormatting>
  <conditionalFormatting sqref="AG13">
    <cfRule type="cellIs" dxfId="25" priority="40" stopIfTrue="1" operator="greaterThan">
      <formula>0</formula>
    </cfRule>
  </conditionalFormatting>
  <conditionalFormatting sqref="AC14">
    <cfRule type="cellIs" dxfId="24" priority="39" stopIfTrue="1" operator="greaterThan">
      <formula>0</formula>
    </cfRule>
  </conditionalFormatting>
  <conditionalFormatting sqref="AF13">
    <cfRule type="cellIs" dxfId="23" priority="37" stopIfTrue="1" operator="greaterThan">
      <formula>0</formula>
    </cfRule>
  </conditionalFormatting>
  <conditionalFormatting sqref="AF14">
    <cfRule type="cellIs" dxfId="22" priority="36" stopIfTrue="1" operator="greaterThan">
      <formula>0</formula>
    </cfRule>
  </conditionalFormatting>
  <conditionalFormatting sqref="AD14">
    <cfRule type="cellIs" dxfId="21" priority="31" stopIfTrue="1" operator="greaterThan">
      <formula>0</formula>
    </cfRule>
  </conditionalFormatting>
  <conditionalFormatting sqref="O13:O14">
    <cfRule type="cellIs" dxfId="20" priority="29" stopIfTrue="1" operator="greaterThan">
      <formula>0</formula>
    </cfRule>
  </conditionalFormatting>
  <conditionalFormatting sqref="AD13">
    <cfRule type="cellIs" dxfId="19" priority="27" stopIfTrue="1" operator="greaterThan">
      <formula>0</formula>
    </cfRule>
  </conditionalFormatting>
  <conditionalFormatting sqref="AA14">
    <cfRule type="cellIs" dxfId="18" priority="26" stopIfTrue="1" operator="greaterThan">
      <formula>0</formula>
    </cfRule>
  </conditionalFormatting>
  <conditionalFormatting sqref="D14">
    <cfRule type="cellIs" dxfId="17" priority="25" stopIfTrue="1" operator="greaterThan">
      <formula>0</formula>
    </cfRule>
  </conditionalFormatting>
  <conditionalFormatting sqref="E14">
    <cfRule type="cellIs" dxfId="16" priority="24" stopIfTrue="1" operator="greaterThan">
      <formula>0</formula>
    </cfRule>
  </conditionalFormatting>
  <conditionalFormatting sqref="G14">
    <cfRule type="cellIs" dxfId="15" priority="23" stopIfTrue="1" operator="greaterThan">
      <formula>0</formula>
    </cfRule>
  </conditionalFormatting>
  <conditionalFormatting sqref="Y14">
    <cfRule type="cellIs" dxfId="14" priority="20" stopIfTrue="1" operator="greaterThan">
      <formula>0</formula>
    </cfRule>
  </conditionalFormatting>
  <conditionalFormatting sqref="AG14">
    <cfRule type="cellIs" dxfId="13" priority="19" stopIfTrue="1" operator="greaterThan">
      <formula>0</formula>
    </cfRule>
  </conditionalFormatting>
  <conditionalFormatting sqref="R13">
    <cfRule type="cellIs" dxfId="12" priority="15" stopIfTrue="1" operator="greaterThan">
      <formula>0</formula>
    </cfRule>
  </conditionalFormatting>
  <conditionalFormatting sqref="R14">
    <cfRule type="cellIs" dxfId="11" priority="14" stopIfTrue="1" operator="greaterThan">
      <formula>0</formula>
    </cfRule>
  </conditionalFormatting>
  <conditionalFormatting sqref="AB13">
    <cfRule type="cellIs" dxfId="10" priority="13" stopIfTrue="1" operator="greaterThan">
      <formula>0</formula>
    </cfRule>
  </conditionalFormatting>
  <conditionalFormatting sqref="AB14">
    <cfRule type="cellIs" dxfId="9" priority="12" stopIfTrue="1" operator="greaterThan">
      <formula>0</formula>
    </cfRule>
  </conditionalFormatting>
  <conditionalFormatting sqref="S14">
    <cfRule type="cellIs" dxfId="8" priority="9" stopIfTrue="1" operator="greaterThan">
      <formula>0</formula>
    </cfRule>
  </conditionalFormatting>
  <conditionalFormatting sqref="S13">
    <cfRule type="cellIs" dxfId="7" priority="8" stopIfTrue="1" operator="greaterThan">
      <formula>0</formula>
    </cfRule>
  </conditionalFormatting>
  <conditionalFormatting sqref="T14">
    <cfRule type="cellIs" dxfId="6" priority="7" stopIfTrue="1" operator="greaterThan">
      <formula>0</formula>
    </cfRule>
  </conditionalFormatting>
  <conditionalFormatting sqref="T13">
    <cfRule type="cellIs" dxfId="5" priority="6" stopIfTrue="1" operator="greaterThan">
      <formula>0</formula>
    </cfRule>
  </conditionalFormatting>
  <conditionalFormatting sqref="H13">
    <cfRule type="cellIs" dxfId="4" priority="5" stopIfTrue="1" operator="greaterThan">
      <formula>0</formula>
    </cfRule>
  </conditionalFormatting>
  <conditionalFormatting sqref="H14">
    <cfRule type="cellIs" dxfId="3" priority="4" stopIfTrue="1" operator="greaterThan">
      <formula>0</formula>
    </cfRule>
  </conditionalFormatting>
  <conditionalFormatting sqref="F14">
    <cfRule type="cellIs" dxfId="2" priority="3" stopIfTrue="1" operator="greaterThan">
      <formula>0</formula>
    </cfRule>
  </conditionalFormatting>
  <conditionalFormatting sqref="AE14">
    <cfRule type="cellIs" dxfId="1" priority="2" stopIfTrue="1" operator="greaterThan">
      <formula>0</formula>
    </cfRule>
  </conditionalFormatting>
  <conditionalFormatting sqref="AE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WP</cp:lastModifiedBy>
  <cp:lastPrinted>2007-08-03T02:53:39Z</cp:lastPrinted>
  <dcterms:created xsi:type="dcterms:W3CDTF">2006-10-16T02:50:45Z</dcterms:created>
  <dcterms:modified xsi:type="dcterms:W3CDTF">2019-10-04T00:40:39Z</dcterms:modified>
</cp:coreProperties>
</file>