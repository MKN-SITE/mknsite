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Hexindo - Pama" sheetId="11" r:id="rId1"/>
  </sheets>
  <calcPr calcId="145621"/>
</workbook>
</file>

<file path=xl/calcChain.xml><?xml version="1.0" encoding="utf-8"?>
<calcChain xmlns="http://schemas.openxmlformats.org/spreadsheetml/2006/main">
  <c r="D20" i="11" l="1"/>
  <c r="E20" i="11"/>
  <c r="E21" i="11"/>
  <c r="D21" i="11"/>
  <c r="B21" i="11"/>
  <c r="B20" i="11"/>
  <c r="C20" i="11" l="1"/>
  <c r="C21" i="11"/>
  <c r="C24" i="11" l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<sst xmlns="http://schemas.openxmlformats.org/spreadsheetml/2006/main" count="54" uniqueCount="21">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</sst>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4" fillId="0" borderId="1" xfId="0" applyFont="1" applyBorder="1" applyAlignment="1">
      <alignment horizontal="center"/>
    </xf>
    <xf numFmtId="0" fontId="8" fillId="0" borderId="0" xfId="0" applyFont="1"/>
    <xf numFmtId="0" fontId="35" fillId="0" borderId="1" xfId="0" applyFont="1" applyBorder="1"/>
    <xf numFmtId="0" fontId="36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0" fontId="37" fillId="0" borderId="1" xfId="0" applyFont="1" applyBorder="1"/>
    <xf numFmtId="0" fontId="37" fillId="0" borderId="1" xfId="0" applyFont="1" applyBorder="1" applyAlignment="1">
      <alignment horizontal="center" vertical="center"/>
    </xf>
    <xf numFmtId="0" fontId="38" fillId="0" borderId="5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1" xfId="0" applyFont="1" applyBorder="1"/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tabSelected="1" topLeftCell="A7" zoomScale="98" zoomScaleNormal="98" workbookViewId="0">
      <selection activeCell="C15" sqref="C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21" width="10" bestFit="1" customWidth="1"/>
    <col min="22" max="23" width="9.140625" bestFit="1" customWidth="1"/>
    <col min="24" max="29" width="10" bestFit="1" customWidth="1"/>
    <col min="30" max="30" width="9.7109375" customWidth="1"/>
    <col min="31" max="31" width="10" bestFit="1" customWidth="1"/>
    <col min="32" max="33" width="10" customWidth="1"/>
    <col min="34" max="34" width="11.5703125" bestFit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8">
        <v>43646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8" t="s">
        <v>2</v>
      </c>
      <c r="B10" s="58" t="s">
        <v>0</v>
      </c>
      <c r="C10" s="58" t="s">
        <v>7</v>
      </c>
      <c r="D10" s="23">
        <v>43647</v>
      </c>
      <c r="E10" s="23">
        <v>43648</v>
      </c>
      <c r="F10" s="23">
        <v>43649</v>
      </c>
      <c r="G10" s="23">
        <v>43650</v>
      </c>
      <c r="H10" s="23">
        <v>43651</v>
      </c>
      <c r="I10" s="23">
        <v>43652</v>
      </c>
      <c r="J10" s="23">
        <v>43653</v>
      </c>
      <c r="K10" s="23">
        <v>43654</v>
      </c>
      <c r="L10" s="23">
        <v>43655</v>
      </c>
      <c r="M10" s="23">
        <v>43656</v>
      </c>
      <c r="N10" s="23">
        <v>43657</v>
      </c>
      <c r="O10" s="23">
        <v>43658</v>
      </c>
      <c r="P10" s="23">
        <v>43659</v>
      </c>
      <c r="Q10" s="23">
        <v>43660</v>
      </c>
      <c r="R10" s="23">
        <v>43661</v>
      </c>
      <c r="S10" s="23">
        <v>43662</v>
      </c>
      <c r="T10" s="23">
        <v>43663</v>
      </c>
      <c r="U10" s="23">
        <v>43664</v>
      </c>
      <c r="V10" s="23">
        <v>43665</v>
      </c>
      <c r="W10" s="23">
        <v>43666</v>
      </c>
      <c r="X10" s="23">
        <v>43667</v>
      </c>
      <c r="Y10" s="23">
        <v>43668</v>
      </c>
      <c r="Z10" s="23">
        <v>43669</v>
      </c>
      <c r="AA10" s="23">
        <v>43670</v>
      </c>
      <c r="AB10" s="23">
        <v>43671</v>
      </c>
      <c r="AC10" s="23">
        <v>43672</v>
      </c>
      <c r="AD10" s="23">
        <v>43673</v>
      </c>
      <c r="AE10" s="23">
        <v>43674</v>
      </c>
      <c r="AF10" s="23">
        <v>43675</v>
      </c>
      <c r="AG10" s="23">
        <v>43676</v>
      </c>
      <c r="AH10" s="65">
        <v>43677</v>
      </c>
    </row>
    <row r="11" spans="1:34" s="1" customFormat="1" x14ac:dyDescent="0.2">
      <c r="A11" s="59"/>
      <c r="B11" s="59"/>
      <c r="C11" s="5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42"/>
      <c r="B12" s="43"/>
      <c r="C12" s="4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 s="15" customFormat="1" ht="15" x14ac:dyDescent="0.25">
      <c r="A13" s="39">
        <v>1</v>
      </c>
      <c r="B13" s="55" t="s">
        <v>19</v>
      </c>
      <c r="C13" s="56" t="s">
        <v>17</v>
      </c>
      <c r="D13" s="46">
        <v>7.0254629629629634E-3</v>
      </c>
      <c r="E13" s="46">
        <v>0</v>
      </c>
      <c r="F13" s="46">
        <v>2.1053240740740744E-2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0.12450231481481482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46">
        <v>0</v>
      </c>
    </row>
    <row r="14" spans="1:34" s="15" customFormat="1" ht="15" x14ac:dyDescent="0.25">
      <c r="A14" s="39">
        <v>2</v>
      </c>
      <c r="B14" s="55" t="s">
        <v>18</v>
      </c>
      <c r="C14" s="56" t="s">
        <v>17</v>
      </c>
      <c r="D14" s="46">
        <v>1.3969907407407408E-2</v>
      </c>
      <c r="E14" s="46">
        <v>0</v>
      </c>
      <c r="F14" s="46">
        <v>2.7928240740740743E-2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6">
        <v>0</v>
      </c>
      <c r="AH14" s="46">
        <v>0</v>
      </c>
    </row>
    <row r="15" spans="1:34" s="15" customFormat="1" ht="179.25" customHeight="1" x14ac:dyDescent="0.2">
      <c r="A15" s="25"/>
      <c r="B15" s="57" t="s">
        <v>14</v>
      </c>
      <c r="C15" s="45"/>
      <c r="D15" s="41"/>
      <c r="E15" s="24"/>
      <c r="F15" s="24"/>
      <c r="G15" s="41"/>
      <c r="H15" s="41"/>
      <c r="I15" s="64"/>
      <c r="J15" s="41"/>
      <c r="K15" s="40"/>
      <c r="L15" s="41"/>
      <c r="M15" s="24"/>
      <c r="N15" s="41"/>
      <c r="O15" s="41"/>
      <c r="P15" s="41"/>
      <c r="Q15" s="41"/>
      <c r="R15" s="41"/>
      <c r="S15" s="41"/>
      <c r="T15" s="24"/>
      <c r="U15" s="24"/>
      <c r="V15" s="41"/>
      <c r="W15" s="41"/>
      <c r="X15" s="24"/>
      <c r="Y15" s="41"/>
      <c r="Z15" s="41"/>
      <c r="AA15" s="40"/>
      <c r="AB15" s="41"/>
      <c r="AC15" s="41"/>
      <c r="AD15" s="41"/>
      <c r="AE15" s="41"/>
      <c r="AF15" s="41"/>
      <c r="AG15" s="41"/>
      <c r="AH15" s="64"/>
    </row>
    <row r="16" spans="1:34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3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3" s="15" customFormat="1" x14ac:dyDescent="0.2">
      <c r="A18" s="62" t="s">
        <v>2</v>
      </c>
      <c r="B18" s="62" t="s">
        <v>8</v>
      </c>
      <c r="C18" s="62" t="s">
        <v>1</v>
      </c>
      <c r="D18" s="60" t="s">
        <v>6</v>
      </c>
      <c r="E18" s="61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3" s="15" customFormat="1" x14ac:dyDescent="0.2">
      <c r="A19" s="63"/>
      <c r="B19" s="63"/>
      <c r="C19" s="63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ht="15.75" x14ac:dyDescent="0.25">
      <c r="A20" s="49">
        <v>1</v>
      </c>
      <c r="B20" s="51" t="str">
        <f>B13</f>
        <v>Link Wireless   Hexindo to Pama Soulmate</v>
      </c>
      <c r="C20" s="53">
        <f>1-(((D20*3600)+(LEFT(E20,2)*60)+RIGHT(E20,2))/((60*60*24)*$C$8))</f>
        <v>0.99491396604938276</v>
      </c>
      <c r="D20" s="54" t="str">
        <f>TEXT(SUM(D13:AG13),"[h]")</f>
        <v>3</v>
      </c>
      <c r="E20" s="54" t="str">
        <f>TEXT(SUM(D13:AG13),"mm ss")</f>
        <v>39 43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3" s="15" customFormat="1" ht="15.75" x14ac:dyDescent="0.25">
      <c r="A21" s="49">
        <v>2</v>
      </c>
      <c r="B21" s="52" t="str">
        <f>B14</f>
        <v>Voip Gateway ( Link Telephone )</v>
      </c>
      <c r="C21" s="53">
        <f>1-(((D21*3600)+(LEFT(E21,2)*60)+RIGHT(E21,2))/((60*60*24)*$C$8))</f>
        <v>0.99860339506172835</v>
      </c>
      <c r="D21" s="54" t="str">
        <f>TEXT(SUM(D14:AG14),"[h]")</f>
        <v>1</v>
      </c>
      <c r="E21" s="54" t="str">
        <f>TEXT(SUM(D14:AG14),"mm ss")</f>
        <v>00 20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3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x14ac:dyDescent="0.2">
      <c r="A24" s="50" t="s">
        <v>20</v>
      </c>
      <c r="C24" s="34">
        <f>(SUM(C20:C21))/(100%*2)</f>
        <v>0.9967586805555555</v>
      </c>
      <c r="H24" s="47"/>
    </row>
    <row r="29" spans="1:33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7" spans="6:33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spans="6:33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spans="6:33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spans="6:33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Z14">
    <cfRule type="cellIs" dxfId="26" priority="55" stopIfTrue="1" operator="greaterThan">
      <formula>0</formula>
    </cfRule>
  </conditionalFormatting>
  <conditionalFormatting sqref="T14:U14 X14">
    <cfRule type="cellIs" dxfId="25" priority="37" stopIfTrue="1" operator="greaterThan">
      <formula>0</formula>
    </cfRule>
  </conditionalFormatting>
  <conditionalFormatting sqref="Y13:AC13">
    <cfRule type="cellIs" dxfId="24" priority="36" stopIfTrue="1" operator="greaterThan">
      <formula>0</formula>
    </cfRule>
  </conditionalFormatting>
  <conditionalFormatting sqref="P13:X13 D13:N13">
    <cfRule type="cellIs" dxfId="23" priority="34" stopIfTrue="1" operator="greaterThan">
      <formula>0</formula>
    </cfRule>
  </conditionalFormatting>
  <conditionalFormatting sqref="F14 P14:Q14 H14:N14">
    <cfRule type="cellIs" dxfId="22" priority="29" stopIfTrue="1" operator="greaterThan">
      <formula>0</formula>
    </cfRule>
  </conditionalFormatting>
  <conditionalFormatting sqref="AG13">
    <cfRule type="cellIs" dxfId="21" priority="27" stopIfTrue="1" operator="greaterThan">
      <formula>0</formula>
    </cfRule>
  </conditionalFormatting>
  <conditionalFormatting sqref="AC14">
    <cfRule type="cellIs" dxfId="20" priority="26" stopIfTrue="1" operator="greaterThan">
      <formula>0</formula>
    </cfRule>
  </conditionalFormatting>
  <conditionalFormatting sqref="AF13">
    <cfRule type="cellIs" dxfId="19" priority="24" stopIfTrue="1" operator="greaterThan">
      <formula>0</formula>
    </cfRule>
  </conditionalFormatting>
  <conditionalFormatting sqref="AF14">
    <cfRule type="cellIs" dxfId="18" priority="23" stopIfTrue="1" operator="greaterThan">
      <formula>0</formula>
    </cfRule>
  </conditionalFormatting>
  <conditionalFormatting sqref="AD14">
    <cfRule type="cellIs" dxfId="17" priority="18" stopIfTrue="1" operator="greaterThan">
      <formula>0</formula>
    </cfRule>
  </conditionalFormatting>
  <conditionalFormatting sqref="AE14">
    <cfRule type="cellIs" dxfId="16" priority="17" stopIfTrue="1" operator="greaterThan">
      <formula>0</formula>
    </cfRule>
  </conditionalFormatting>
  <conditionalFormatting sqref="O13:O14">
    <cfRule type="cellIs" dxfId="15" priority="16" stopIfTrue="1" operator="greaterThan">
      <formula>0</formula>
    </cfRule>
  </conditionalFormatting>
  <conditionalFormatting sqref="AE13">
    <cfRule type="cellIs" dxfId="14" priority="15" stopIfTrue="1" operator="greaterThan">
      <formula>0</formula>
    </cfRule>
  </conditionalFormatting>
  <conditionalFormatting sqref="AD13">
    <cfRule type="cellIs" dxfId="13" priority="14" stopIfTrue="1" operator="greaterThan">
      <formula>0</formula>
    </cfRule>
  </conditionalFormatting>
  <conditionalFormatting sqref="AA14">
    <cfRule type="cellIs" dxfId="12" priority="13" stopIfTrue="1" operator="greaterThan">
      <formula>0</formula>
    </cfRule>
  </conditionalFormatting>
  <conditionalFormatting sqref="D14">
    <cfRule type="cellIs" dxfId="11" priority="12" stopIfTrue="1" operator="greaterThan">
      <formula>0</formula>
    </cfRule>
  </conditionalFormatting>
  <conditionalFormatting sqref="E14">
    <cfRule type="cellIs" dxfId="10" priority="11" stopIfTrue="1" operator="greaterThan">
      <formula>0</formula>
    </cfRule>
  </conditionalFormatting>
  <conditionalFormatting sqref="G14">
    <cfRule type="cellIs" dxfId="9" priority="10" stopIfTrue="1" operator="greaterThan">
      <formula>0</formula>
    </cfRule>
  </conditionalFormatting>
  <conditionalFormatting sqref="AB14">
    <cfRule type="cellIs" dxfId="8" priority="9" stopIfTrue="1" operator="greaterThan">
      <formula>0</formula>
    </cfRule>
  </conditionalFormatting>
  <conditionalFormatting sqref="R14">
    <cfRule type="cellIs" dxfId="7" priority="8" stopIfTrue="1" operator="greaterThan">
      <formula>0</formula>
    </cfRule>
  </conditionalFormatting>
  <conditionalFormatting sqref="Y14">
    <cfRule type="cellIs" dxfId="6" priority="7" stopIfTrue="1" operator="greaterThan">
      <formula>0</formula>
    </cfRule>
  </conditionalFormatting>
  <conditionalFormatting sqref="AG14">
    <cfRule type="cellIs" dxfId="5" priority="6" stopIfTrue="1" operator="greaterThan">
      <formula>0</formula>
    </cfRule>
  </conditionalFormatting>
  <conditionalFormatting sqref="S14">
    <cfRule type="cellIs" dxfId="4" priority="5" stopIfTrue="1" operator="greaterThan">
      <formula>0</formula>
    </cfRule>
  </conditionalFormatting>
  <conditionalFormatting sqref="V14">
    <cfRule type="cellIs" dxfId="3" priority="4" stopIfTrue="1" operator="greaterThan">
      <formula>0</formula>
    </cfRule>
  </conditionalFormatting>
  <conditionalFormatting sqref="W14">
    <cfRule type="cellIs" dxfId="2" priority="3" stopIfTrue="1" operator="greaterThan">
      <formula>0</formula>
    </cfRule>
  </conditionalFormatting>
  <conditionalFormatting sqref="AH13">
    <cfRule type="cellIs" dxfId="1" priority="2" stopIfTrue="1" operator="greaterThan">
      <formula>0</formula>
    </cfRule>
  </conditionalFormatting>
  <conditionalFormatting sqref="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2007-08-03T02:53:39Z</cp:lastPrinted>
  <dcterms:created xsi:type="dcterms:W3CDTF">2006-10-16T02:50:45Z</dcterms:created>
  <dcterms:modified xsi:type="dcterms:W3CDTF">2021-12-03T08:18:01Z</dcterms:modified>
</cp:coreProperties>
</file>