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/>
</workbook>
</file>

<file path=xl/calcChain.xml><?xml version="1.0" encoding="utf-8"?>
<calcChain xmlns="http://schemas.openxmlformats.org/spreadsheetml/2006/main">
  <c r="D20" i="11" l="1"/>
  <c r="E20" i="11"/>
  <c r="E21" i="11"/>
  <c r="D21" i="11"/>
  <c r="C21" i="11"/>
  <c r="B21" i="11"/>
  <c r="B20" i="11"/>
  <c r="C20" i="11"/>
  <c r="C24" i="1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<sst xmlns="http://schemas.openxmlformats.org/spreadsheetml/2006/main" count="56" uniqueCount="23">
  <si>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</si>
  <si>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</si>
  <si>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</si>
  <si>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</si>
  <si>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</si>
  <si>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</si>
  <si>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</si>
  <si>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</si>
  <si>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</si>
  <si>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</si>
  <si>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</si>
  <si>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</si>
  <si>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</si>
  <si>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</si>
  <si>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</si>
  <si>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</si>
  <si>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</si>
  <si>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</si>
  <si>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</si>
  <si>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</si>
  <si>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</si>
  <si>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Adaptor POE Rusak</t>
  </si>
  <si>
    <t>Modem Voip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</si>
</sst>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topLeftCell="Q1" zoomScale="98" zoomScaleNormal="98" workbookViewId="0">
      <selection activeCell="AF24" sqref="AF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  <col min="32" max="33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0">
        <v>43466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6" t="s">
        <v>2</v>
      </c>
      <c r="B10" s="56" t="s">
        <v>0</v>
      </c>
      <c r="C10" s="56" t="s">
        <v>7</v>
      </c>
      <c r="D10" s="23">
        <v>43466</v>
      </c>
      <c r="E10" s="23">
        <v>43467</v>
      </c>
      <c r="F10" s="23">
        <v>43468</v>
      </c>
      <c r="G10" s="23">
        <v>43469</v>
      </c>
      <c r="H10" s="23">
        <v>43470</v>
      </c>
      <c r="I10" s="23">
        <v>43471</v>
      </c>
      <c r="J10" s="23">
        <v>43472</v>
      </c>
      <c r="K10" s="23">
        <v>43473</v>
      </c>
      <c r="L10" s="23">
        <v>43474</v>
      </c>
      <c r="M10" s="23">
        <v>43475</v>
      </c>
      <c r="N10" s="23">
        <v>43476</v>
      </c>
      <c r="O10" s="23">
        <v>43477</v>
      </c>
      <c r="P10" s="23">
        <v>43478</v>
      </c>
      <c r="Q10" s="23">
        <v>43479</v>
      </c>
      <c r="R10" s="23">
        <v>43480</v>
      </c>
      <c r="S10" s="23">
        <v>43481</v>
      </c>
      <c r="T10" s="23">
        <v>43482</v>
      </c>
      <c r="U10" s="23">
        <v>43483</v>
      </c>
      <c r="V10" s="23">
        <v>43484</v>
      </c>
      <c r="W10" s="23">
        <v>43485</v>
      </c>
      <c r="X10" s="23">
        <v>43486</v>
      </c>
      <c r="Y10" s="23">
        <v>43487</v>
      </c>
      <c r="Z10" s="23">
        <v>43488</v>
      </c>
      <c r="AA10" s="23">
        <v>43489</v>
      </c>
      <c r="AB10" s="23">
        <v>43490</v>
      </c>
      <c r="AC10" s="23">
        <v>43491</v>
      </c>
      <c r="AD10" s="23">
        <v>43492</v>
      </c>
      <c r="AE10" s="23">
        <v>43493</v>
      </c>
      <c r="AF10" s="23">
        <v>43494</v>
      </c>
      <c r="AG10" s="23">
        <v>43495</v>
      </c>
      <c r="AH10" s="23">
        <v>43496</v>
      </c>
    </row>
    <row r="11" spans="1:34" s="1" customFormat="1" x14ac:dyDescent="0.2">
      <c r="A11" s="57"/>
      <c r="B11" s="57"/>
      <c r="C11" s="5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3"/>
      <c r="B12" s="44"/>
      <c r="C12" s="4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.75" x14ac:dyDescent="0.25">
      <c r="A13" s="39">
        <v>1</v>
      </c>
      <c r="B13" s="40" t="s">
        <v>20</v>
      </c>
      <c r="C13" s="40" t="s">
        <v>17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0.25631944444444443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</row>
    <row r="14" spans="1:34" s="15" customFormat="1" ht="15.75" x14ac:dyDescent="0.25">
      <c r="A14" s="39">
        <v>2</v>
      </c>
      <c r="B14" s="40" t="s">
        <v>19</v>
      </c>
      <c r="C14" s="40" t="s">
        <v>17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0.25631944444444443</v>
      </c>
      <c r="P14" s="48">
        <v>0</v>
      </c>
      <c r="Q14" s="48">
        <v>0</v>
      </c>
      <c r="R14" s="48">
        <v>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>
        <v>0.27999999999999997</v>
      </c>
      <c r="AF14" s="48">
        <v>0</v>
      </c>
      <c r="AG14" s="48">
        <v>0</v>
      </c>
      <c r="AH14" s="48">
        <v>0</v>
      </c>
    </row>
    <row r="15" spans="1:34" s="15" customFormat="1" ht="179.25" customHeight="1" x14ac:dyDescent="0.2">
      <c r="A15" s="25"/>
      <c r="B15" s="46" t="s">
        <v>14</v>
      </c>
      <c r="C15" s="47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 t="s">
        <v>21</v>
      </c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/>
      <c r="AE15" s="42" t="s">
        <v>22</v>
      </c>
      <c r="AF15" s="42"/>
      <c r="AG15" s="42"/>
      <c r="AH15" s="42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0" t="s">
        <v>2</v>
      </c>
      <c r="B18" s="60" t="s">
        <v>8</v>
      </c>
      <c r="C18" s="60" t="s">
        <v>1</v>
      </c>
      <c r="D18" s="58" t="s">
        <v>6</v>
      </c>
      <c r="E18" s="59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1"/>
      <c r="B19" s="61"/>
      <c r="C19" s="61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52">
        <v>1</v>
      </c>
      <c r="B20" s="51" t="str">
        <f>B13</f>
        <v>Link Wireless   Hexindo to Pama Soulmate</v>
      </c>
      <c r="C20" s="53">
        <f>1-(((D20*3600)+(LEFT(E20,2)*60)+RIGHT(E20,2))/((60*60*24)*$C$8))</f>
        <v>0.99173163082437277</v>
      </c>
      <c r="D20" s="54" t="str">
        <f>TEXT(SUM(D13:AG13),"[h]")</f>
        <v>6</v>
      </c>
      <c r="E20" s="54" t="str">
        <f>TEXT(SUM(D13:AG13),"mm ss")</f>
        <v>09 06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52">
        <v>2</v>
      </c>
      <c r="B21" s="55" t="str">
        <f>B14</f>
        <v>Voip Gateway ( Link Telephone )</v>
      </c>
      <c r="C21" s="53">
        <f>1-(((D21*3600)+(LEFT(E21,2)*60)+RIGHT(E21,2))/((60*60*24)*$C$8))</f>
        <v>0.98269937275985664</v>
      </c>
      <c r="D21" s="54" t="str">
        <f>TEXT(SUM(D14:AG14),"[h]")</f>
        <v>12</v>
      </c>
      <c r="E21" s="54" t="str">
        <f>TEXT(SUM(D14:AG14),"mm ss")</f>
        <v>52 18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15" t="s">
        <v>18</v>
      </c>
      <c r="C24" s="34">
        <f>(SUM(C20:C21))/(100%*2)</f>
        <v>0.9872155017921147</v>
      </c>
      <c r="H24" s="49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AB14">
    <cfRule type="cellIs" dxfId="15" priority="38" stopIfTrue="1" operator="greaterThan">
      <formula>0</formula>
    </cfRule>
  </conditionalFormatting>
  <conditionalFormatting sqref="T14:X14">
    <cfRule type="cellIs" dxfId="14" priority="20" stopIfTrue="1" operator="greaterThan">
      <formula>0</formula>
    </cfRule>
  </conditionalFormatting>
  <conditionalFormatting sqref="Y13:AE13">
    <cfRule type="cellIs" dxfId="13" priority="19" stopIfTrue="1" operator="greaterThan">
      <formula>0</formula>
    </cfRule>
  </conditionalFormatting>
  <conditionalFormatting sqref="D13:X13">
    <cfRule type="cellIs" dxfId="12" priority="17" stopIfTrue="1" operator="greaterThan">
      <formula>0</formula>
    </cfRule>
  </conditionalFormatting>
  <conditionalFormatting sqref="S14">
    <cfRule type="cellIs" dxfId="11" priority="14" stopIfTrue="1" operator="greaterThan">
      <formula>0</formula>
    </cfRule>
  </conditionalFormatting>
  <conditionalFormatting sqref="D14:N14 P14:R14">
    <cfRule type="cellIs" dxfId="10" priority="12" stopIfTrue="1" operator="greaterThan">
      <formula>0</formula>
    </cfRule>
  </conditionalFormatting>
  <conditionalFormatting sqref="AG14">
    <cfRule type="cellIs" dxfId="9" priority="11" stopIfTrue="1" operator="greaterThan">
      <formula>0</formula>
    </cfRule>
  </conditionalFormatting>
  <conditionalFormatting sqref="AG13">
    <cfRule type="cellIs" dxfId="8" priority="10" stopIfTrue="1" operator="greaterThan">
      <formula>0</formula>
    </cfRule>
  </conditionalFormatting>
  <conditionalFormatting sqref="AC14">
    <cfRule type="cellIs" dxfId="7" priority="9" stopIfTrue="1" operator="greaterThan">
      <formula>0</formula>
    </cfRule>
  </conditionalFormatting>
  <conditionalFormatting sqref="AE14">
    <cfRule type="cellIs" dxfId="6" priority="8" stopIfTrue="1" operator="greaterThan">
      <formula>0</formula>
    </cfRule>
  </conditionalFormatting>
  <conditionalFormatting sqref="AF13">
    <cfRule type="cellIs" dxfId="5" priority="7" stopIfTrue="1" operator="greaterThan">
      <formula>0</formula>
    </cfRule>
  </conditionalFormatting>
  <conditionalFormatting sqref="AF14">
    <cfRule type="cellIs" dxfId="4" priority="6" stopIfTrue="1" operator="greaterThan">
      <formula>0</formula>
    </cfRule>
  </conditionalFormatting>
  <conditionalFormatting sqref="AH14">
    <cfRule type="cellIs" dxfId="3" priority="5" stopIfTrue="1" operator="greaterThan">
      <formula>0</formula>
    </cfRule>
  </conditionalFormatting>
  <conditionalFormatting sqref="AH13">
    <cfRule type="cellIs" dxfId="2" priority="4" stopIfTrue="1" operator="greaterThan">
      <formula>0</formula>
    </cfRule>
  </conditionalFormatting>
  <conditionalFormatting sqref="O14">
    <cfRule type="cellIs" dxfId="1" priority="2" stopIfTrue="1" operator="greaterThan">
      <formula>0</formula>
    </cfRule>
  </conditionalFormatting>
  <conditionalFormatting sqref="AD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2019-02-02T04:24:32Z</dcterms:modified>
</cp:coreProperties>
</file>