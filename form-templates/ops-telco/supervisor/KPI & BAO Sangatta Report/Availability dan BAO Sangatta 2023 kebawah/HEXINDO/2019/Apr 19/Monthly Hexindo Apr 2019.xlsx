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TELCO\MONTHLY REPORT AVAIBILITY\HEXINDO\2019\Apr 19\"/>
    </mc:Choice>
  </mc:AlternateContent>
  <bookViews>
    <workbookView xWindow="0" yWindow="300" windowWidth="15480" windowHeight="11340"/>
  </bookViews>
  <sheets>
    <sheet name="Downtime LINK Hexindo - Pama So" sheetId="11" r:id="rId1"/>
  </sheets>
  <calcPr calcId="162913"/>
</workbook>
</file>

<file path=xl/calcChain.xml><?xml version="1.0" encoding="utf-8"?>
<calcChain xmlns="http://schemas.openxmlformats.org/spreadsheetml/2006/main">
  <c r="D20" i="11" l="1"/>
  <c r="E20" i="11"/>
  <c r="C20" i="11"/>
  <c r="E21" i="11"/>
  <c r="D21" i="11"/>
  <c r="C21" i="11" s="1"/>
  <c r="C24" i="11" s="1"/>
  <c r="B21" i="11"/>
  <c r="B20" i="11"/>
</calcChain>
</file>

<file path=xl/sharedStrings.xml><?xml version="1.0" encoding="utf-8"?>
<sst xmlns="http://schemas.openxmlformats.org/spreadsheetml/2006/main" count="56" uniqueCount="22">
  <si>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</si>
  <si>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</si>
  <si>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</si>
  <si>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</si>
  <si>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</si>
  <si>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</si>
  <si>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</si>
  <si>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</si>
  <si>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</si>
  <si>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</si>
  <si>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</si>
  <si>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</si>
  <si>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</si>
  <si>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</si>
  <si>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</si>
  <si>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</si>
  <si>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</si>
  <si>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</si>
  <si>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</si>
  <si>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</si>
  <si>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</si>
  <si>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>Audiocode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</si>
</sst>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34" fillId="0" borderId="1" xfId="0" applyFont="1" applyBorder="1" applyAlignment="1">
      <alignment horizontal="center"/>
    </xf>
    <xf numFmtId="0" fontId="8" fillId="0" borderId="0" xfId="0" applyFont="1"/>
    <xf numFmtId="0" fontId="35" fillId="0" borderId="1" xfId="0" applyFont="1" applyBorder="1"/>
    <xf numFmtId="0" fontId="36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0" fontId="37" fillId="0" borderId="1" xfId="0" applyFont="1" applyBorder="1"/>
    <xf numFmtId="0" fontId="37" fillId="0" borderId="1" xfId="0" applyFont="1" applyBorder="1" applyAlignment="1">
      <alignment horizontal="center" vertical="center"/>
    </xf>
    <xf numFmtId="0" fontId="38" fillId="0" borderId="5" xfId="0" applyFont="1" applyBorder="1" applyAlignment="1">
      <alignment horizontal="left" vertic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0"/>
  <sheetViews>
    <sheetView tabSelected="1" topLeftCell="A2" zoomScale="98" zoomScaleNormal="98" workbookViewId="0">
      <selection activeCell="AG15" sqref="AG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29" width="10" bestFit="1" customWidth="1"/>
    <col min="30" max="30" width="9.7109375" customWidth="1"/>
    <col min="31" max="31" width="10" bestFit="1" customWidth="1"/>
    <col min="32" max="33" width="10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48">
        <v>43585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59" t="s">
        <v>2</v>
      </c>
      <c r="B10" s="59" t="s">
        <v>0</v>
      </c>
      <c r="C10" s="59" t="s">
        <v>7</v>
      </c>
      <c r="D10" s="23">
        <v>43556</v>
      </c>
      <c r="E10" s="23">
        <v>43557</v>
      </c>
      <c r="F10" s="23">
        <v>43558</v>
      </c>
      <c r="G10" s="23">
        <v>43559</v>
      </c>
      <c r="H10" s="23">
        <v>43560</v>
      </c>
      <c r="I10" s="23">
        <v>43561</v>
      </c>
      <c r="J10" s="23">
        <v>43562</v>
      </c>
      <c r="K10" s="23">
        <v>43563</v>
      </c>
      <c r="L10" s="23">
        <v>43564</v>
      </c>
      <c r="M10" s="23">
        <v>43565</v>
      </c>
      <c r="N10" s="23">
        <v>43566</v>
      </c>
      <c r="O10" s="23">
        <v>43567</v>
      </c>
      <c r="P10" s="23">
        <v>43568</v>
      </c>
      <c r="Q10" s="23">
        <v>43569</v>
      </c>
      <c r="R10" s="23">
        <v>43570</v>
      </c>
      <c r="S10" s="23">
        <v>43571</v>
      </c>
      <c r="T10" s="23">
        <v>43572</v>
      </c>
      <c r="U10" s="23">
        <v>43573</v>
      </c>
      <c r="V10" s="23">
        <v>43574</v>
      </c>
      <c r="W10" s="23">
        <v>43575</v>
      </c>
      <c r="X10" s="23">
        <v>43576</v>
      </c>
      <c r="Y10" s="23">
        <v>43577</v>
      </c>
      <c r="Z10" s="23">
        <v>43578</v>
      </c>
      <c r="AA10" s="23">
        <v>43579</v>
      </c>
      <c r="AB10" s="23">
        <v>43580</v>
      </c>
      <c r="AC10" s="23">
        <v>43581</v>
      </c>
      <c r="AD10" s="23">
        <v>43582</v>
      </c>
      <c r="AE10" s="23">
        <v>43583</v>
      </c>
      <c r="AF10" s="23">
        <v>43584</v>
      </c>
      <c r="AG10" s="58">
        <v>43585</v>
      </c>
    </row>
    <row r="11" spans="1:33" s="1" customFormat="1" x14ac:dyDescent="0.2">
      <c r="A11" s="60"/>
      <c r="B11" s="60"/>
      <c r="C11" s="60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2"/>
      <c r="B12" s="43"/>
      <c r="C12" s="4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 s="15" customFormat="1" ht="15" x14ac:dyDescent="0.25">
      <c r="A13" s="39">
        <v>1</v>
      </c>
      <c r="B13" s="55" t="s">
        <v>19</v>
      </c>
      <c r="C13" s="56" t="s">
        <v>17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46">
        <v>0</v>
      </c>
    </row>
    <row r="14" spans="1:33" s="15" customFormat="1" ht="15" x14ac:dyDescent="0.25">
      <c r="A14" s="39">
        <v>2</v>
      </c>
      <c r="B14" s="55" t="s">
        <v>18</v>
      </c>
      <c r="C14" s="56" t="s">
        <v>17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0.64583333333333337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0.70833333333333337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6">
        <v>0.43124999999999997</v>
      </c>
    </row>
    <row r="15" spans="1:33" s="15" customFormat="1" ht="179.25" customHeight="1" x14ac:dyDescent="0.2">
      <c r="A15" s="25"/>
      <c r="B15" s="57" t="s">
        <v>14</v>
      </c>
      <c r="C15" s="45"/>
      <c r="D15" s="41"/>
      <c r="E15" s="24"/>
      <c r="F15" s="24"/>
      <c r="G15" s="41"/>
      <c r="H15" s="41"/>
      <c r="I15" s="41"/>
      <c r="J15" s="24"/>
      <c r="K15" s="40"/>
      <c r="L15" s="41"/>
      <c r="M15" s="24"/>
      <c r="N15" s="41"/>
      <c r="O15" s="41"/>
      <c r="P15" s="41"/>
      <c r="Q15" s="41"/>
      <c r="R15" s="41" t="s">
        <v>21</v>
      </c>
      <c r="S15" s="41"/>
      <c r="T15" s="24"/>
      <c r="U15" s="24"/>
      <c r="V15" s="24"/>
      <c r="W15" s="24"/>
      <c r="X15" s="24"/>
      <c r="Y15" s="41" t="s">
        <v>21</v>
      </c>
      <c r="Z15" s="41"/>
      <c r="AA15" s="40"/>
      <c r="AB15" s="41"/>
      <c r="AC15" s="41"/>
      <c r="AD15" s="41"/>
      <c r="AE15" s="41"/>
      <c r="AF15" s="41"/>
      <c r="AG15" s="41" t="s">
        <v>21</v>
      </c>
    </row>
    <row r="16" spans="1:33" s="15" customFormat="1" x14ac:dyDescent="0.2">
      <c r="A16" s="16"/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33" s="15" customFormat="1" x14ac:dyDescent="0.2">
      <c r="A17" s="32" t="s">
        <v>11</v>
      </c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38"/>
    </row>
    <row r="18" spans="1:33" s="15" customFormat="1" x14ac:dyDescent="0.2">
      <c r="A18" s="63" t="s">
        <v>2</v>
      </c>
      <c r="B18" s="63" t="s">
        <v>8</v>
      </c>
      <c r="C18" s="63" t="s">
        <v>1</v>
      </c>
      <c r="D18" s="61" t="s">
        <v>6</v>
      </c>
      <c r="E18" s="62"/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38"/>
    </row>
    <row r="19" spans="1:33" s="15" customFormat="1" x14ac:dyDescent="0.2">
      <c r="A19" s="64"/>
      <c r="B19" s="64"/>
      <c r="C19" s="64"/>
      <c r="D19" s="30" t="s">
        <v>9</v>
      </c>
      <c r="E19" s="31" t="s">
        <v>10</v>
      </c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8"/>
    </row>
    <row r="20" spans="1:33" s="15" customFormat="1" ht="15.75" x14ac:dyDescent="0.25">
      <c r="A20" s="49">
        <v>1</v>
      </c>
      <c r="B20" s="51" t="str">
        <f>B13</f>
        <v>Link Wireless   Hexindo to Pama Soulmate</v>
      </c>
      <c r="C20" s="53">
        <f>1-(((D20*3600)+(LEFT(E20,2)*60)+RIGHT(E20,2))/((60*60*24)*$C$8))</f>
        <v>1</v>
      </c>
      <c r="D20" s="54" t="str">
        <f>TEXT(SUM(D13:AG13),"[h]")</f>
        <v>0</v>
      </c>
      <c r="E20" s="54" t="str">
        <f>TEXT(SUM(D13:AG13),"mm ss")</f>
        <v>00 00</v>
      </c>
      <c r="F20" s="28"/>
      <c r="G20" s="19"/>
      <c r="H20" s="29"/>
      <c r="I20" s="19"/>
      <c r="J20" s="19"/>
      <c r="K20" s="19"/>
      <c r="L20" s="19"/>
      <c r="M20" s="19"/>
      <c r="N20" s="19"/>
      <c r="P20" s="19"/>
      <c r="AC20" s="38"/>
    </row>
    <row r="21" spans="1:33" s="15" customFormat="1" ht="15.75" x14ac:dyDescent="0.25">
      <c r="A21" s="49">
        <v>2</v>
      </c>
      <c r="B21" s="52" t="str">
        <f>B14</f>
        <v>Voip Gateway ( Link Telephone )</v>
      </c>
      <c r="C21" s="53">
        <f>1-(((D21*3600)+(LEFT(E21,2)*60)+RIGHT(E21,2))/((60*60*24)*$C$8))</f>
        <v>0.94048611111111113</v>
      </c>
      <c r="D21" s="54" t="str">
        <f>TEXT(SUM(D14:AG14),"[h]")</f>
        <v>42</v>
      </c>
      <c r="E21" s="54" t="str">
        <f>TEXT(SUM(D14:AG14),"mm ss")</f>
        <v>51 00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3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3" s="20" customFormat="1" x14ac:dyDescent="0.2">
      <c r="A23" s="33" t="s">
        <v>15</v>
      </c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</row>
    <row r="24" spans="1:33" x14ac:dyDescent="0.2">
      <c r="A24" s="50" t="s">
        <v>20</v>
      </c>
      <c r="C24" s="34">
        <f>(SUM(C20:C21))/(100%*2)</f>
        <v>0.97024305555555557</v>
      </c>
      <c r="H24" s="47"/>
    </row>
    <row r="29" spans="1:33" x14ac:dyDescent="0.2"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</row>
    <row r="37" spans="6:33" x14ac:dyDescent="0.2">
      <c r="F37" s="35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</row>
    <row r="38" spans="6:33" x14ac:dyDescent="0.2">
      <c r="F38" s="35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</row>
    <row r="39" spans="6:33" x14ac:dyDescent="0.2">
      <c r="F39" s="35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</row>
    <row r="40" spans="6:33" x14ac:dyDescent="0.2">
      <c r="F40" s="35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</row>
  </sheetData>
  <mergeCells count="7">
    <mergeCell ref="A10:A11"/>
    <mergeCell ref="B10:B11"/>
    <mergeCell ref="C10:C11"/>
    <mergeCell ref="D18:E18"/>
    <mergeCell ref="A18:A19"/>
    <mergeCell ref="B18:B19"/>
    <mergeCell ref="C18:C19"/>
  </mergeCells>
  <phoneticPr fontId="9" type="noConversion"/>
  <conditionalFormatting sqref="Y14:Z14">
    <cfRule type="cellIs" dxfId="20" priority="47" stopIfTrue="1" operator="greaterThan">
      <formula>0</formula>
    </cfRule>
  </conditionalFormatting>
  <conditionalFormatting sqref="T14:X14">
    <cfRule type="cellIs" dxfId="19" priority="29" stopIfTrue="1" operator="greaterThan">
      <formula>0</formula>
    </cfRule>
  </conditionalFormatting>
  <conditionalFormatting sqref="Y13:AC13">
    <cfRule type="cellIs" dxfId="18" priority="28" stopIfTrue="1" operator="greaterThan">
      <formula>0</formula>
    </cfRule>
  </conditionalFormatting>
  <conditionalFormatting sqref="P13:X13 D13:N13">
    <cfRule type="cellIs" dxfId="17" priority="26" stopIfTrue="1" operator="greaterThan">
      <formula>0</formula>
    </cfRule>
  </conditionalFormatting>
  <conditionalFormatting sqref="S14">
    <cfRule type="cellIs" dxfId="16" priority="23" stopIfTrue="1" operator="greaterThan">
      <formula>0</formula>
    </cfRule>
  </conditionalFormatting>
  <conditionalFormatting sqref="F14 P14:R14 H14:N14">
    <cfRule type="cellIs" dxfId="15" priority="21" stopIfTrue="1" operator="greaterThan">
      <formula>0</formula>
    </cfRule>
  </conditionalFormatting>
  <conditionalFormatting sqref="AG14">
    <cfRule type="cellIs" dxfId="14" priority="20" stopIfTrue="1" operator="greaterThan">
      <formula>0</formula>
    </cfRule>
  </conditionalFormatting>
  <conditionalFormatting sqref="AG13">
    <cfRule type="cellIs" dxfId="13" priority="19" stopIfTrue="1" operator="greaterThan">
      <formula>0</formula>
    </cfRule>
  </conditionalFormatting>
  <conditionalFormatting sqref="AC14">
    <cfRule type="cellIs" dxfId="12" priority="18" stopIfTrue="1" operator="greaterThan">
      <formula>0</formula>
    </cfRule>
  </conditionalFormatting>
  <conditionalFormatting sqref="AF13">
    <cfRule type="cellIs" dxfId="11" priority="16" stopIfTrue="1" operator="greaterThan">
      <formula>0</formula>
    </cfRule>
  </conditionalFormatting>
  <conditionalFormatting sqref="AF14">
    <cfRule type="cellIs" dxfId="10" priority="15" stopIfTrue="1" operator="greaterThan">
      <formula>0</formula>
    </cfRule>
  </conditionalFormatting>
  <conditionalFormatting sqref="AD14">
    <cfRule type="cellIs" dxfId="9" priority="10" stopIfTrue="1" operator="greaterThan">
      <formula>0</formula>
    </cfRule>
  </conditionalFormatting>
  <conditionalFormatting sqref="AE14">
    <cfRule type="cellIs" dxfId="8" priority="9" stopIfTrue="1" operator="greaterThan">
      <formula>0</formula>
    </cfRule>
  </conditionalFormatting>
  <conditionalFormatting sqref="O13:O14">
    <cfRule type="cellIs" dxfId="7" priority="8" stopIfTrue="1" operator="greaterThan">
      <formula>0</formula>
    </cfRule>
  </conditionalFormatting>
  <conditionalFormatting sqref="AE13">
    <cfRule type="cellIs" dxfId="6" priority="7" stopIfTrue="1" operator="greaterThan">
      <formula>0</formula>
    </cfRule>
  </conditionalFormatting>
  <conditionalFormatting sqref="AD13">
    <cfRule type="cellIs" dxfId="5" priority="6" stopIfTrue="1" operator="greaterThan">
      <formula>0</formula>
    </cfRule>
  </conditionalFormatting>
  <conditionalFormatting sqref="AA14">
    <cfRule type="cellIs" dxfId="4" priority="5" stopIfTrue="1" operator="greaterThan">
      <formula>0</formula>
    </cfRule>
  </conditionalFormatting>
  <conditionalFormatting sqref="D14">
    <cfRule type="cellIs" dxfId="3" priority="4" stopIfTrue="1" operator="greaterThan">
      <formula>0</formula>
    </cfRule>
  </conditionalFormatting>
  <conditionalFormatting sqref="E14">
    <cfRule type="cellIs" dxfId="2" priority="3" stopIfTrue="1" operator="greaterThan">
      <formula>0</formula>
    </cfRule>
  </conditionalFormatting>
  <conditionalFormatting sqref="G14">
    <cfRule type="cellIs" dxfId="1" priority="2" stopIfTrue="1" operator="greaterThan">
      <formula>0</formula>
    </cfRule>
  </conditionalFormatting>
  <conditionalFormatting sqref="AB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Rahmat Efendy</cp:lastModifiedBy>
  <cp:lastPrinted>2007-08-03T02:53:39Z</cp:lastPrinted>
  <dcterms:created xsi:type="dcterms:W3CDTF">2006-10-16T02:50:45Z</dcterms:created>
  <dcterms:modified xsi:type="dcterms:W3CDTF">2019-05-13T04:06:05Z</dcterms:modified>
</cp:coreProperties>
</file>