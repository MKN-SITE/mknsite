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Downtime LINK Hexindo - Pama" sheetId="11" r:id="rId1"/>
  </sheets>
  <calcPr calcId="144525"/>
</workbook>
</file>

<file path=xl/calcChain.xml><?xml version="1.0" encoding="utf-8"?>
<calcChain xmlns="http://schemas.openxmlformats.org/spreadsheetml/2006/main">
  <c r="D20" i="11" l="1"/>
  <c r="E20" i="11"/>
  <c r="C20" i="11"/>
  <c r="E21" i="11"/>
  <c r="D21" i="11"/>
  <c r="C21" i="11" s="1"/>
  <c r="C24" i="11" s="1"/>
  <c r="B21" i="11"/>
  <c r="B20" i="1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<sst xmlns="http://schemas.openxmlformats.org/spreadsheetml/2006/main" count="55" uniqueCount="23">
  <si>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</si>
  <si>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</si>
  <si>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</si>
  <si>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</si>
  <si>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</si>
  <si>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</si>
  <si>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</si>
  <si>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</si>
  <si>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</si>
  <si>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</si>
  <si>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</si>
  <si>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</si>
  <si>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</si>
  <si>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</si>
  <si>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</si>
  <si>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</si>
  <si>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</si>
  <si>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</si>
  <si>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</si>
  <si>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</si>
  <si>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</si>
  <si>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Audiocodes Soulmate error</t>
  </si>
  <si>
    <t>Audiocodes TD failed (replace &amp; reconfigure)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</si>
</sst>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center"/>
    </xf>
    <xf numFmtId="0" fontId="8" fillId="0" borderId="0" xfId="0" applyFont="1"/>
    <xf numFmtId="0" fontId="35" fillId="0" borderId="1" xfId="0" applyFont="1" applyBorder="1"/>
    <xf numFmtId="0" fontId="36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0" fontId="37" fillId="0" borderId="1" xfId="0" applyFont="1" applyBorder="1"/>
    <xf numFmtId="0" fontId="37" fillId="0" borderId="1" xfId="0" applyFont="1" applyBorder="1" applyAlignment="1">
      <alignment horizontal="center" vertical="center"/>
    </xf>
    <xf numFmtId="0" fontId="3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0"/>
  <sheetViews>
    <sheetView tabSelected="1" zoomScale="98" zoomScaleNormal="98" workbookViewId="0">
      <selection activeCell="I21" sqref="I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1" width="10" bestFit="1" customWidth="1"/>
    <col min="22" max="23" width="9.140625" bestFit="1" customWidth="1"/>
    <col min="24" max="29" width="10" bestFit="1" customWidth="1"/>
    <col min="30" max="30" width="9.7109375" customWidth="1"/>
    <col min="31" max="31" width="10" bestFit="1" customWidth="1"/>
    <col min="32" max="33" width="10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8">
        <v>43646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8" t="s">
        <v>2</v>
      </c>
      <c r="B10" s="58" t="s">
        <v>0</v>
      </c>
      <c r="C10" s="58" t="s">
        <v>7</v>
      </c>
      <c r="D10" s="23">
        <v>43617</v>
      </c>
      <c r="E10" s="23">
        <v>43618</v>
      </c>
      <c r="F10" s="23">
        <v>43619</v>
      </c>
      <c r="G10" s="23">
        <v>43620</v>
      </c>
      <c r="H10" s="23">
        <v>43621</v>
      </c>
      <c r="I10" s="23">
        <v>43622</v>
      </c>
      <c r="J10" s="23">
        <v>43623</v>
      </c>
      <c r="K10" s="23">
        <v>43624</v>
      </c>
      <c r="L10" s="23">
        <v>43625</v>
      </c>
      <c r="M10" s="23">
        <v>43626</v>
      </c>
      <c r="N10" s="23">
        <v>43627</v>
      </c>
      <c r="O10" s="23">
        <v>43628</v>
      </c>
      <c r="P10" s="23">
        <v>43629</v>
      </c>
      <c r="Q10" s="23">
        <v>43630</v>
      </c>
      <c r="R10" s="23">
        <v>43631</v>
      </c>
      <c r="S10" s="23">
        <v>43632</v>
      </c>
      <c r="T10" s="23">
        <v>43633</v>
      </c>
      <c r="U10" s="23">
        <v>43634</v>
      </c>
      <c r="V10" s="23">
        <v>43635</v>
      </c>
      <c r="W10" s="23">
        <v>43636</v>
      </c>
      <c r="X10" s="23">
        <v>43637</v>
      </c>
      <c r="Y10" s="23">
        <v>43638</v>
      </c>
      <c r="Z10" s="23">
        <v>43639</v>
      </c>
      <c r="AA10" s="23">
        <v>43640</v>
      </c>
      <c r="AB10" s="23">
        <v>43641</v>
      </c>
      <c r="AC10" s="23">
        <v>43642</v>
      </c>
      <c r="AD10" s="23">
        <v>43643</v>
      </c>
      <c r="AE10" s="23">
        <v>43644</v>
      </c>
      <c r="AF10" s="23">
        <v>43645</v>
      </c>
      <c r="AG10" s="23">
        <v>43646</v>
      </c>
    </row>
    <row r="11" spans="1:33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2"/>
      <c r="B12" s="43"/>
      <c r="C12" s="4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15" customFormat="1" ht="15" x14ac:dyDescent="0.25">
      <c r="A13" s="39">
        <v>1</v>
      </c>
      <c r="B13" s="55" t="s">
        <v>19</v>
      </c>
      <c r="C13" s="56" t="s">
        <v>17</v>
      </c>
      <c r="D13" s="46">
        <v>0</v>
      </c>
      <c r="E13" s="46">
        <v>0</v>
      </c>
      <c r="F13" s="46">
        <v>0</v>
      </c>
      <c r="G13" s="46">
        <v>0</v>
      </c>
      <c r="H13" s="46">
        <v>0</v>
      </c>
      <c r="I13" s="46">
        <v>0</v>
      </c>
      <c r="J13" s="46">
        <v>0</v>
      </c>
      <c r="K13" s="46">
        <v>0</v>
      </c>
      <c r="L13" s="46">
        <v>0</v>
      </c>
      <c r="M13" s="46">
        <v>0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</row>
    <row r="14" spans="1:33" s="15" customFormat="1" ht="15" x14ac:dyDescent="0.25">
      <c r="A14" s="39">
        <v>2</v>
      </c>
      <c r="B14" s="55" t="s">
        <v>18</v>
      </c>
      <c r="C14" s="56" t="s">
        <v>17</v>
      </c>
      <c r="D14" s="46">
        <v>0</v>
      </c>
      <c r="E14" s="46">
        <v>0</v>
      </c>
      <c r="F14" s="46">
        <v>0</v>
      </c>
      <c r="G14" s="46">
        <v>0</v>
      </c>
      <c r="H14" s="46">
        <v>0</v>
      </c>
      <c r="I14" s="46">
        <v>0</v>
      </c>
      <c r="J14" s="46">
        <v>0</v>
      </c>
      <c r="K14" s="46">
        <v>0</v>
      </c>
      <c r="L14" s="46">
        <v>0</v>
      </c>
      <c r="M14" s="46">
        <v>0</v>
      </c>
      <c r="N14" s="46">
        <v>0</v>
      </c>
      <c r="O14" s="46">
        <v>0</v>
      </c>
      <c r="P14" s="46">
        <v>0</v>
      </c>
      <c r="Q14" s="46">
        <v>0</v>
      </c>
      <c r="R14" s="46">
        <v>0</v>
      </c>
      <c r="S14" s="46">
        <v>0</v>
      </c>
      <c r="T14" s="46">
        <v>0</v>
      </c>
      <c r="U14" s="46">
        <v>0</v>
      </c>
      <c r="V14" s="46">
        <v>0.49027777777777781</v>
      </c>
      <c r="W14" s="46">
        <v>0.17013888888888887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6">
        <v>0</v>
      </c>
      <c r="AG14" s="46">
        <v>0</v>
      </c>
    </row>
    <row r="15" spans="1:33" s="15" customFormat="1" ht="179.25" customHeight="1" x14ac:dyDescent="0.2">
      <c r="A15" s="25"/>
      <c r="B15" s="57" t="s">
        <v>14</v>
      </c>
      <c r="C15" s="45"/>
      <c r="D15" s="41"/>
      <c r="E15" s="24"/>
      <c r="F15" s="24"/>
      <c r="G15" s="41"/>
      <c r="H15" s="41"/>
      <c r="I15" s="41"/>
      <c r="J15" s="24"/>
      <c r="K15" s="40"/>
      <c r="L15" s="41"/>
      <c r="M15" s="24"/>
      <c r="N15" s="41"/>
      <c r="O15" s="41"/>
      <c r="P15" s="41"/>
      <c r="Q15" s="41"/>
      <c r="R15" s="41"/>
      <c r="S15" s="41"/>
      <c r="T15" s="24"/>
      <c r="U15" s="24"/>
      <c r="V15" s="41" t="s">
        <v>22</v>
      </c>
      <c r="W15" s="41" t="s">
        <v>21</v>
      </c>
      <c r="X15" s="24"/>
      <c r="Y15" s="41"/>
      <c r="Z15" s="41"/>
      <c r="AA15" s="40"/>
      <c r="AB15" s="41"/>
      <c r="AC15" s="41"/>
      <c r="AD15" s="41"/>
      <c r="AE15" s="41"/>
      <c r="AF15" s="41"/>
      <c r="AG15" s="41"/>
    </row>
    <row r="16" spans="1:33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2" t="s">
        <v>2</v>
      </c>
      <c r="B18" s="62" t="s">
        <v>8</v>
      </c>
      <c r="C18" s="62" t="s">
        <v>1</v>
      </c>
      <c r="D18" s="60" t="s">
        <v>6</v>
      </c>
      <c r="E18" s="61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3"/>
      <c r="B19" s="63"/>
      <c r="C19" s="63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49">
        <v>1</v>
      </c>
      <c r="B20" s="51" t="str">
        <f>B13</f>
        <v>Link Wireless   Hexindo to Pama Soulmate</v>
      </c>
      <c r="C20" s="53">
        <f>1-(((D20*3600)+(LEFT(E20,2)*60)+RIGHT(E20,2))/((60*60*24)*$C$8))</f>
        <v>1</v>
      </c>
      <c r="D20" s="54" t="str">
        <f>TEXT(SUM(D13:AG13),"[h]")</f>
        <v>0</v>
      </c>
      <c r="E20" s="54" t="str">
        <f>TEXT(SUM(D13:AG13),"mm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49">
        <v>2</v>
      </c>
      <c r="B21" s="52" t="str">
        <f>B14</f>
        <v>Voip Gateway ( Link Telephone )</v>
      </c>
      <c r="C21" s="53">
        <f>1-(((D21*3600)+(LEFT(E21,2)*60)+RIGHT(E21,2))/((60*60*24)*$C$8))</f>
        <v>0.97798611111111111</v>
      </c>
      <c r="D21" s="54" t="str">
        <f>TEXT(SUM(D14:AG14),"[h]")</f>
        <v>15</v>
      </c>
      <c r="E21" s="54" t="str">
        <f>TEXT(SUM(D14:AG14),"mm ss")</f>
        <v>51 00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50" t="s">
        <v>20</v>
      </c>
      <c r="C24" s="34">
        <f>(SUM(C20:C21))/(100%*2)</f>
        <v>0.9889930555555555</v>
      </c>
      <c r="H24" s="47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Z14">
    <cfRule type="cellIs" dxfId="28" priority="51" stopIfTrue="1" operator="greaterThan">
      <formula>0</formula>
    </cfRule>
  </conditionalFormatting>
  <conditionalFormatting sqref="T14:X14">
    <cfRule type="cellIs" dxfId="27" priority="33" stopIfTrue="1" operator="greaterThan">
      <formula>0</formula>
    </cfRule>
  </conditionalFormatting>
  <conditionalFormatting sqref="Y13:AC13">
    <cfRule type="cellIs" dxfId="26" priority="32" stopIfTrue="1" operator="greaterThan">
      <formula>0</formula>
    </cfRule>
  </conditionalFormatting>
  <conditionalFormatting sqref="P13:X13 D13:N13">
    <cfRule type="cellIs" dxfId="25" priority="30" stopIfTrue="1" operator="greaterThan">
      <formula>0</formula>
    </cfRule>
  </conditionalFormatting>
  <conditionalFormatting sqref="F14 P14:Q14 H14:N14">
    <cfRule type="cellIs" dxfId="23" priority="25" stopIfTrue="1" operator="greaterThan">
      <formula>0</formula>
    </cfRule>
  </conditionalFormatting>
  <conditionalFormatting sqref="AG13">
    <cfRule type="cellIs" dxfId="21" priority="23" stopIfTrue="1" operator="greaterThan">
      <formula>0</formula>
    </cfRule>
  </conditionalFormatting>
  <conditionalFormatting sqref="AC14">
    <cfRule type="cellIs" dxfId="20" priority="22" stopIfTrue="1" operator="greaterThan">
      <formula>0</formula>
    </cfRule>
  </conditionalFormatting>
  <conditionalFormatting sqref="AF13">
    <cfRule type="cellIs" dxfId="19" priority="20" stopIfTrue="1" operator="greaterThan">
      <formula>0</formula>
    </cfRule>
  </conditionalFormatting>
  <conditionalFormatting sqref="AF14">
    <cfRule type="cellIs" dxfId="18" priority="19" stopIfTrue="1" operator="greaterThan">
      <formula>0</formula>
    </cfRule>
  </conditionalFormatting>
  <conditionalFormatting sqref="AD14">
    <cfRule type="cellIs" dxfId="17" priority="14" stopIfTrue="1" operator="greaterThan">
      <formula>0</formula>
    </cfRule>
  </conditionalFormatting>
  <conditionalFormatting sqref="AE14">
    <cfRule type="cellIs" dxfId="16" priority="13" stopIfTrue="1" operator="greaterThan">
      <formula>0</formula>
    </cfRule>
  </conditionalFormatting>
  <conditionalFormatting sqref="O13:O14">
    <cfRule type="cellIs" dxfId="15" priority="12" stopIfTrue="1" operator="greaterThan">
      <formula>0</formula>
    </cfRule>
  </conditionalFormatting>
  <conditionalFormatting sqref="AE13">
    <cfRule type="cellIs" dxfId="14" priority="11" stopIfTrue="1" operator="greaterThan">
      <formula>0</formula>
    </cfRule>
  </conditionalFormatting>
  <conditionalFormatting sqref="AD13">
    <cfRule type="cellIs" dxfId="13" priority="10" stopIfTrue="1" operator="greaterThan">
      <formula>0</formula>
    </cfRule>
  </conditionalFormatting>
  <conditionalFormatting sqref="AA14">
    <cfRule type="cellIs" dxfId="12" priority="9" stopIfTrue="1" operator="greaterThan">
      <formula>0</formula>
    </cfRule>
  </conditionalFormatting>
  <conditionalFormatting sqref="D14">
    <cfRule type="cellIs" dxfId="11" priority="8" stopIfTrue="1" operator="greaterThan">
      <formula>0</formula>
    </cfRule>
  </conditionalFormatting>
  <conditionalFormatting sqref="E14">
    <cfRule type="cellIs" dxfId="10" priority="7" stopIfTrue="1" operator="greaterThan">
      <formula>0</formula>
    </cfRule>
  </conditionalFormatting>
  <conditionalFormatting sqref="G14">
    <cfRule type="cellIs" dxfId="9" priority="6" stopIfTrue="1" operator="greaterThan">
      <formula>0</formula>
    </cfRule>
  </conditionalFormatting>
  <conditionalFormatting sqref="AB14">
    <cfRule type="cellIs" dxfId="8" priority="5" stopIfTrue="1" operator="greaterThan">
      <formula>0</formula>
    </cfRule>
  </conditionalFormatting>
  <conditionalFormatting sqref="R14">
    <cfRule type="cellIs" dxfId="7" priority="4" stopIfTrue="1" operator="greaterThan">
      <formula>0</formula>
    </cfRule>
  </conditionalFormatting>
  <conditionalFormatting sqref="Y14">
    <cfRule type="cellIs" dxfId="5" priority="3" stopIfTrue="1" operator="greaterThan">
      <formula>0</formula>
    </cfRule>
  </conditionalFormatting>
  <conditionalFormatting sqref="AG14">
    <cfRule type="cellIs" dxfId="3" priority="2" stopIfTrue="1" operator="greaterThan">
      <formula>0</formula>
    </cfRule>
  </conditionalFormatting>
  <conditionalFormatting sqref="S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user</cp:lastModifiedBy>
  <cp:lastPrinted>2007-08-03T02:53:39Z</cp:lastPrinted>
  <dcterms:created xsi:type="dcterms:W3CDTF">2006-10-16T02:50:45Z</dcterms:created>
  <dcterms:modified xsi:type="dcterms:W3CDTF">2019-07-05T07:54:30Z</dcterms:modified>
</cp:coreProperties>
</file>