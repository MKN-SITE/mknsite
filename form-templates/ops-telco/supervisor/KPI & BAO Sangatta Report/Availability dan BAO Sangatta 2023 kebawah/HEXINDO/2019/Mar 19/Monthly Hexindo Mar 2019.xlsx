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ELCO\MONTHLY REPORT AVAIBILITY\HEXINDO\2019\Mar 19\"/>
    </mc:Choice>
  </mc:AlternateContent>
  <bookViews>
    <workbookView xWindow="0" yWindow="300" windowWidth="15480" windowHeight="11340"/>
  </bookViews>
  <sheets>
    <sheet name="Downtime LINK Hexindo - Pama So" sheetId="11" r:id="rId1"/>
  </sheets>
  <calcPr calcId="162913"/>
</workbook>
</file>

<file path=xl/calcChain.xml><?xml version="1.0" encoding="utf-8"?>
<calcChain xmlns="http://schemas.openxmlformats.org/spreadsheetml/2006/main">
  <c r="D20" i="11" l="1"/>
  <c r="C20" i="11" s="1"/>
  <c r="E20" i="11"/>
  <c r="E21" i="11"/>
  <c r="D21" i="11"/>
  <c r="B21" i="11"/>
  <c r="B20" i="11"/>
  <c r="C21" i="11" l="1"/>
  <c r="C24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<sst xmlns="http://schemas.openxmlformats.org/spreadsheetml/2006/main" count="55" uniqueCount="22">
  <si>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</si>
  <si>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</si>
  <si>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</si>
  <si>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</si>
  <si>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</si>
  <si>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</si>
  <si>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</si>
  <si>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</si>
  <si>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</si>
  <si>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</si>
  <si>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</si>
  <si>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</si>
  <si>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</si>
  <si>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</si>
  <si>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</si>
  <si>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</si>
  <si>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</si>
  <si>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</si>
  <si>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</si>
  <si>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</si>
  <si>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</si>
  <si>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Audio Codes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</si>
</sst>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8" fillId="0" borderId="0" xfId="0" applyFont="1"/>
    <xf numFmtId="0" fontId="35" fillId="0" borderId="1" xfId="0" applyFont="1" applyBorder="1"/>
    <xf numFmtId="0" fontId="36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0" fontId="3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topLeftCell="A12" zoomScale="98" zoomScaleNormal="98" workbookViewId="0">
      <selection activeCell="Z15" sqref="Z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8">
        <v>43555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43525</v>
      </c>
      <c r="E10" s="23">
        <v>43526</v>
      </c>
      <c r="F10" s="23">
        <v>43527</v>
      </c>
      <c r="G10" s="23">
        <v>43528</v>
      </c>
      <c r="H10" s="23">
        <v>43529</v>
      </c>
      <c r="I10" s="23">
        <v>43530</v>
      </c>
      <c r="J10" s="23">
        <v>43531</v>
      </c>
      <c r="K10" s="23">
        <v>43532</v>
      </c>
      <c r="L10" s="23">
        <v>43533</v>
      </c>
      <c r="M10" s="23">
        <v>43534</v>
      </c>
      <c r="N10" s="23">
        <v>43535</v>
      </c>
      <c r="O10" s="23">
        <v>43536</v>
      </c>
      <c r="P10" s="23">
        <v>43537</v>
      </c>
      <c r="Q10" s="23">
        <v>43538</v>
      </c>
      <c r="R10" s="23">
        <v>43539</v>
      </c>
      <c r="S10" s="23">
        <v>43540</v>
      </c>
      <c r="T10" s="23">
        <v>43541</v>
      </c>
      <c r="U10" s="23">
        <v>43542</v>
      </c>
      <c r="V10" s="23">
        <v>43543</v>
      </c>
      <c r="W10" s="23">
        <v>43544</v>
      </c>
      <c r="X10" s="23">
        <v>43545</v>
      </c>
      <c r="Y10" s="23">
        <v>43546</v>
      </c>
      <c r="Z10" s="23">
        <v>43547</v>
      </c>
      <c r="AA10" s="23">
        <v>43548</v>
      </c>
      <c r="AB10" s="23">
        <v>43549</v>
      </c>
      <c r="AC10" s="23">
        <v>43550</v>
      </c>
      <c r="AD10" s="23">
        <v>43551</v>
      </c>
      <c r="AE10" s="23">
        <v>43552</v>
      </c>
      <c r="AF10" s="23">
        <v>43553</v>
      </c>
      <c r="AG10" s="23">
        <v>43554</v>
      </c>
      <c r="AH10" s="23">
        <v>43555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" x14ac:dyDescent="0.25">
      <c r="A13" s="39">
        <v>1</v>
      </c>
      <c r="B13" s="55" t="s">
        <v>19</v>
      </c>
      <c r="C13" s="56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</row>
    <row r="14" spans="1:34" s="15" customFormat="1" ht="15" x14ac:dyDescent="0.25">
      <c r="A14" s="39">
        <v>2</v>
      </c>
      <c r="B14" s="55" t="s">
        <v>18</v>
      </c>
      <c r="C14" s="56" t="s">
        <v>17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0.26471064814814815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</row>
    <row r="15" spans="1:34" s="15" customFormat="1" ht="179.25" customHeight="1" x14ac:dyDescent="0.2">
      <c r="A15" s="25"/>
      <c r="B15" s="57" t="s">
        <v>14</v>
      </c>
      <c r="C15" s="45"/>
      <c r="D15" s="41"/>
      <c r="E15" s="24"/>
      <c r="F15" s="24"/>
      <c r="G15" s="41"/>
      <c r="H15" s="41"/>
      <c r="I15" s="41"/>
      <c r="J15" s="24"/>
      <c r="K15" s="40"/>
      <c r="L15" s="41"/>
      <c r="M15" s="24"/>
      <c r="N15" s="41"/>
      <c r="O15" s="41"/>
      <c r="P15" s="41"/>
      <c r="Q15" s="41"/>
      <c r="R15" s="41"/>
      <c r="S15" s="41"/>
      <c r="T15" s="24"/>
      <c r="U15" s="24"/>
      <c r="V15" s="24"/>
      <c r="W15" s="24"/>
      <c r="X15" s="24"/>
      <c r="Y15" s="24"/>
      <c r="Z15" s="41"/>
      <c r="AA15" s="40"/>
      <c r="AB15" s="41" t="s">
        <v>21</v>
      </c>
      <c r="AC15" s="41"/>
      <c r="AD15" s="41"/>
      <c r="AE15" s="41"/>
      <c r="AF15" s="41"/>
      <c r="AG15" s="41"/>
      <c r="AH15" s="41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49">
        <v>1</v>
      </c>
      <c r="B20" s="51" t="str">
        <f>B13</f>
        <v>Link Wireless   Hexindo to Pama Soulmate</v>
      </c>
      <c r="C20" s="53">
        <f>1-(((D20*3600)+(LEFT(E20,2)*60)+RIGHT(E20,2))/((60*60*24)*$C$8))</f>
        <v>1</v>
      </c>
      <c r="D20" s="54" t="str">
        <f>TEXT(SUM(D13:AG13),"[h]")</f>
        <v>0</v>
      </c>
      <c r="E20" s="54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49">
        <v>2</v>
      </c>
      <c r="B21" s="52" t="str">
        <f>B14</f>
        <v>Voip Gateway ( Link Telephone )</v>
      </c>
      <c r="C21" s="53">
        <f>1-(((D21*3600)+(LEFT(E21,2)*60)+RIGHT(E21,2))/((60*60*24)*$C$8))</f>
        <v>0.99146094683393071</v>
      </c>
      <c r="D21" s="54" t="str">
        <f>TEXT(SUM(D14:AG14),"[h]")</f>
        <v>6</v>
      </c>
      <c r="E21" s="54" t="str">
        <f>TEXT(SUM(D14:AG14),"mm ss")</f>
        <v>21 11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50" t="s">
        <v>20</v>
      </c>
      <c r="C24" s="34">
        <f>(SUM(C20:C21))/(100%*2)</f>
        <v>0.99573047341696541</v>
      </c>
      <c r="H24" s="47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Z14 AB14">
    <cfRule type="cellIs" dxfId="21" priority="46" stopIfTrue="1" operator="greaterThan">
      <formula>0</formula>
    </cfRule>
  </conditionalFormatting>
  <conditionalFormatting sqref="T14:X14">
    <cfRule type="cellIs" dxfId="20" priority="28" stopIfTrue="1" operator="greaterThan">
      <formula>0</formula>
    </cfRule>
  </conditionalFormatting>
  <conditionalFormatting sqref="Y13:AC13">
    <cfRule type="cellIs" dxfId="19" priority="27" stopIfTrue="1" operator="greaterThan">
      <formula>0</formula>
    </cfRule>
  </conditionalFormatting>
  <conditionalFormatting sqref="P13:X13 D13:N13">
    <cfRule type="cellIs" dxfId="18" priority="25" stopIfTrue="1" operator="greaterThan">
      <formula>0</formula>
    </cfRule>
  </conditionalFormatting>
  <conditionalFormatting sqref="S14">
    <cfRule type="cellIs" dxfId="17" priority="22" stopIfTrue="1" operator="greaterThan">
      <formula>0</formula>
    </cfRule>
  </conditionalFormatting>
  <conditionalFormatting sqref="F14 P14:R14 H14:N14">
    <cfRule type="cellIs" dxfId="16" priority="20" stopIfTrue="1" operator="greaterThan">
      <formula>0</formula>
    </cfRule>
  </conditionalFormatting>
  <conditionalFormatting sqref="AG14">
    <cfRule type="cellIs" dxfId="15" priority="19" stopIfTrue="1" operator="greaterThan">
      <formula>0</formula>
    </cfRule>
  </conditionalFormatting>
  <conditionalFormatting sqref="AG13">
    <cfRule type="cellIs" dxfId="14" priority="18" stopIfTrue="1" operator="greaterThan">
      <formula>0</formula>
    </cfRule>
  </conditionalFormatting>
  <conditionalFormatting sqref="AC14">
    <cfRule type="cellIs" dxfId="13" priority="17" stopIfTrue="1" operator="greaterThan">
      <formula>0</formula>
    </cfRule>
  </conditionalFormatting>
  <conditionalFormatting sqref="AF13">
    <cfRule type="cellIs" dxfId="12" priority="15" stopIfTrue="1" operator="greaterThan">
      <formula>0</formula>
    </cfRule>
  </conditionalFormatting>
  <conditionalFormatting sqref="AF14">
    <cfRule type="cellIs" dxfId="11" priority="14" stopIfTrue="1" operator="greaterThan">
      <formula>0</formula>
    </cfRule>
  </conditionalFormatting>
  <conditionalFormatting sqref="AH14">
    <cfRule type="cellIs" dxfId="10" priority="13" stopIfTrue="1" operator="greaterThan">
      <formula>0</formula>
    </cfRule>
  </conditionalFormatting>
  <conditionalFormatting sqref="AH13">
    <cfRule type="cellIs" dxfId="9" priority="12" stopIfTrue="1" operator="greaterThan">
      <formula>0</formula>
    </cfRule>
  </conditionalFormatting>
  <conditionalFormatting sqref="AD14">
    <cfRule type="cellIs" dxfId="8" priority="9" stopIfTrue="1" operator="greaterThan">
      <formula>0</formula>
    </cfRule>
  </conditionalFormatting>
  <conditionalFormatting sqref="AE14">
    <cfRule type="cellIs" dxfId="7" priority="8" stopIfTrue="1" operator="greaterThan">
      <formula>0</formula>
    </cfRule>
  </conditionalFormatting>
  <conditionalFormatting sqref="O13:O14">
    <cfRule type="cellIs" dxfId="6" priority="7" stopIfTrue="1" operator="greaterThan">
      <formula>0</formula>
    </cfRule>
  </conditionalFormatting>
  <conditionalFormatting sqref="AE13">
    <cfRule type="cellIs" dxfId="5" priority="6" stopIfTrue="1" operator="greaterThan">
      <formula>0</formula>
    </cfRule>
  </conditionalFormatting>
  <conditionalFormatting sqref="AD13">
    <cfRule type="cellIs" dxfId="4" priority="5" stopIfTrue="1" operator="greaterThan">
      <formula>0</formula>
    </cfRule>
  </conditionalFormatting>
  <conditionalFormatting sqref="AA14">
    <cfRule type="cellIs" dxfId="3" priority="4" stopIfTrue="1" operator="greaterThan">
      <formula>0</formula>
    </cfRule>
  </conditionalFormatting>
  <conditionalFormatting sqref="D14">
    <cfRule type="cellIs" dxfId="2" priority="3" stopIfTrue="1" operator="greaterThan">
      <formula>0</formula>
    </cfRule>
  </conditionalFormatting>
  <conditionalFormatting sqref="E14">
    <cfRule type="cellIs" dxfId="1" priority="2" stopIfTrue="1" operator="greaterThan">
      <formula>0</formula>
    </cfRule>
  </conditionalFormatting>
  <conditionalFormatting sqref="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Rahmat Efendy</cp:lastModifiedBy>
  <cp:lastPrinted>2007-08-03T02:53:39Z</cp:lastPrinted>
  <dcterms:created xsi:type="dcterms:W3CDTF">2006-10-16T02:50:45Z</dcterms:created>
  <dcterms:modified xsi:type="dcterms:W3CDTF">2019-04-06T06:07:25Z</dcterms:modified>
</cp:coreProperties>
</file>