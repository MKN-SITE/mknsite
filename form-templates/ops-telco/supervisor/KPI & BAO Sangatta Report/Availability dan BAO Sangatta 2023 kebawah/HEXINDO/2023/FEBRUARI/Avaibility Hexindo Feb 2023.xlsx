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E32" i="11" l="1"/>
  <c r="E33" i="11"/>
  <c r="D32" i="11"/>
  <c r="D33" i="11" l="1"/>
  <c r="B33" i="11"/>
  <c r="B32" i="11"/>
  <c r="C32" i="11" l="1"/>
  <c r="C33" i="11"/>
  <c r="C36" i="11" l="1"/>
</calcChain>
</file>

<file path=xl/sharedStrings.xml><?xml version="1.0" encoding="utf-8"?>
<sst xmlns="http://schemas.openxmlformats.org/spreadsheetml/2006/main" count="61" uniqueCount="23">
  <si>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</si>
  <si>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</si>
  <si>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</si>
  <si>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</si>
  <si>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</si>
  <si>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</si>
  <si>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</si>
  <si>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</si>
  <si>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</si>
  <si>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</si>
  <si>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</si>
  <si>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</si>
  <si>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</si>
  <si>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</si>
  <si>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</si>
  <si>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</si>
  <si>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</si>
  <si>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</si>
  <si>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</si>
  <si>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</si>
  <si>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</si>
  <si>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Perbaikan kabel power di PAMA Soulmate</t>
  </si>
  <si>
    <t>Problem Network Looping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</si>
</sst>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16" fontId="8" fillId="0" borderId="1" xfId="0" applyNumberFormat="1" applyFont="1" applyBorder="1" applyAlignment="1">
      <alignment horizontal="center"/>
    </xf>
    <xf numFmtId="46" fontId="0" fillId="0" borderId="5" xfId="0" applyNumberForma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46" fontId="0" fillId="0" borderId="17" xfId="0" applyNumberFormat="1" applyBorder="1"/>
    <xf numFmtId="46" fontId="0" fillId="0" borderId="2" xfId="0" applyNumberFormat="1" applyBorder="1"/>
    <xf numFmtId="15" fontId="34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6" fontId="0" fillId="0" borderId="4" xfId="0" applyNumberFormat="1" applyBorder="1" applyAlignment="1">
      <alignment horizontal="center"/>
    </xf>
    <xf numFmtId="10" fontId="6" fillId="0" borderId="4" xfId="0" applyNumberFormat="1" applyFont="1" applyBorder="1" applyAlignment="1">
      <alignment horizontal="center" vertical="center" wrapText="1"/>
    </xf>
    <xf numFmtId="46" fontId="6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10" fontId="6" fillId="0" borderId="17" xfId="0" applyNumberFormat="1" applyFont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46" fontId="6" fillId="0" borderId="17" xfId="0" applyNumberFormat="1" applyFont="1" applyBorder="1" applyAlignment="1">
      <alignment horizontal="left"/>
    </xf>
    <xf numFmtId="46" fontId="6" fillId="0" borderId="2" xfId="0" applyNumberFormat="1" applyFont="1" applyBorder="1" applyAlignment="1">
      <alignment horizontal="left"/>
    </xf>
    <xf numFmtId="46" fontId="0" fillId="0" borderId="17" xfId="0" applyNumberFormat="1" applyBorder="1" applyAlignment="1">
      <alignment horizontal="left"/>
    </xf>
    <xf numFmtId="46" fontId="0" fillId="0" borderId="2" xfId="0" applyNumberFormat="1" applyBorder="1" applyAlignment="1">
      <alignment horizontal="left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33" sqref="E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7">
        <v>44593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67" t="s">
        <v>2</v>
      </c>
      <c r="B10" s="67" t="s">
        <v>0</v>
      </c>
      <c r="C10" s="67" t="s">
        <v>7</v>
      </c>
      <c r="D10" s="23">
        <v>43497</v>
      </c>
      <c r="E10" s="23">
        <v>43498</v>
      </c>
      <c r="F10" s="23">
        <v>43499</v>
      </c>
      <c r="G10" s="23">
        <v>43500</v>
      </c>
      <c r="H10" s="23">
        <v>43501</v>
      </c>
      <c r="I10" s="23">
        <v>43502</v>
      </c>
      <c r="J10" s="23">
        <v>43503</v>
      </c>
      <c r="K10" s="23">
        <v>43504</v>
      </c>
      <c r="L10" s="23">
        <v>43505</v>
      </c>
      <c r="M10" s="23">
        <v>43506</v>
      </c>
      <c r="N10" s="23">
        <v>43507</v>
      </c>
      <c r="O10" s="23">
        <v>43508</v>
      </c>
      <c r="P10" s="23">
        <v>43509</v>
      </c>
      <c r="Q10" s="23">
        <v>43510</v>
      </c>
      <c r="R10" s="23">
        <v>43511</v>
      </c>
      <c r="S10" s="23">
        <v>43512</v>
      </c>
      <c r="T10" s="23">
        <v>43513</v>
      </c>
      <c r="U10" s="23">
        <v>43514</v>
      </c>
      <c r="V10" s="23">
        <v>43515</v>
      </c>
      <c r="W10" s="23">
        <v>43516</v>
      </c>
      <c r="X10" s="23">
        <v>43517</v>
      </c>
      <c r="Y10" s="23">
        <v>43518</v>
      </c>
      <c r="Z10" s="23">
        <v>43519</v>
      </c>
      <c r="AA10" s="23">
        <v>43520</v>
      </c>
      <c r="AB10" s="23">
        <v>43521</v>
      </c>
      <c r="AC10" s="23">
        <v>43522</v>
      </c>
      <c r="AD10" s="23">
        <v>43523</v>
      </c>
      <c r="AE10" s="53">
        <v>43524</v>
      </c>
    </row>
    <row r="11" spans="1:31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42"/>
      <c r="B12" s="43"/>
      <c r="C12" s="4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15" customFormat="1" ht="15.75" customHeight="1" x14ac:dyDescent="0.25">
      <c r="A13" s="38">
        <v>1</v>
      </c>
      <c r="B13" s="39" t="s">
        <v>20</v>
      </c>
      <c r="C13" s="39" t="s">
        <v>17</v>
      </c>
      <c r="D13" s="45">
        <v>0</v>
      </c>
      <c r="E13" s="45">
        <v>3.1817129629629633E-2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0.17331018518518518</v>
      </c>
      <c r="Q13" s="45">
        <v>0.2520486111111111</v>
      </c>
      <c r="R13" s="45">
        <v>0.28216435185185185</v>
      </c>
      <c r="S13" s="45">
        <v>0.31946759259259255</v>
      </c>
      <c r="T13" s="45">
        <v>0.27334490740740741</v>
      </c>
      <c r="U13" s="45">
        <v>0</v>
      </c>
      <c r="V13" s="45">
        <v>0.33001157407407405</v>
      </c>
      <c r="W13" s="45">
        <v>1.7187499999999998E-2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</row>
    <row r="14" spans="1:31" s="15" customFormat="1" ht="15.75" x14ac:dyDescent="0.25">
      <c r="A14" s="55">
        <v>2</v>
      </c>
      <c r="B14" s="56" t="s">
        <v>19</v>
      </c>
      <c r="C14" s="56" t="s">
        <v>17</v>
      </c>
      <c r="D14" s="57">
        <v>0</v>
      </c>
      <c r="E14" s="45">
        <v>3.1817129629629633E-2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45">
        <v>0.17331018518518518</v>
      </c>
      <c r="Q14" s="45">
        <v>0.2520486111111111</v>
      </c>
      <c r="R14" s="45">
        <v>0.28216435185185185</v>
      </c>
      <c r="S14" s="45">
        <v>0.31946759259259255</v>
      </c>
      <c r="T14" s="45">
        <v>0.27334490740740741</v>
      </c>
      <c r="U14" s="45">
        <v>0</v>
      </c>
      <c r="V14" s="45">
        <v>0.33001157407407405</v>
      </c>
      <c r="W14" s="45">
        <v>1.7187499999999998E-2</v>
      </c>
      <c r="X14" s="57">
        <v>0</v>
      </c>
      <c r="Y14" s="57">
        <v>0</v>
      </c>
      <c r="Z14" s="57">
        <v>0</v>
      </c>
      <c r="AA14" s="57">
        <v>0</v>
      </c>
      <c r="AB14" s="57">
        <v>0</v>
      </c>
      <c r="AC14" s="57">
        <v>0</v>
      </c>
      <c r="AD14" s="57">
        <v>0</v>
      </c>
      <c r="AE14" s="57">
        <v>0</v>
      </c>
    </row>
    <row r="15" spans="1:31" s="15" customFormat="1" ht="15.75" x14ac:dyDescent="0.25">
      <c r="A15" s="58"/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1"/>
    </row>
    <row r="16" spans="1:31" s="15" customFormat="1" ht="15.75" x14ac:dyDescent="0.2">
      <c r="A16" s="73"/>
      <c r="B16" s="75" t="s">
        <v>14</v>
      </c>
      <c r="C16" s="62">
        <v>44959</v>
      </c>
      <c r="D16" s="66"/>
      <c r="E16" s="81" t="s">
        <v>22</v>
      </c>
      <c r="F16" s="81"/>
      <c r="G16" s="81"/>
      <c r="H16" s="81"/>
      <c r="I16" s="81"/>
      <c r="J16" s="81"/>
      <c r="K16" s="82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</row>
    <row r="17" spans="1:31" s="15" customFormat="1" ht="15.75" x14ac:dyDescent="0.2">
      <c r="A17" s="73"/>
      <c r="B17" s="75"/>
      <c r="C17" s="62">
        <v>44970</v>
      </c>
      <c r="D17" s="64"/>
      <c r="E17" s="83" t="s">
        <v>21</v>
      </c>
      <c r="F17" s="83"/>
      <c r="G17" s="83"/>
      <c r="H17" s="83"/>
      <c r="I17" s="83"/>
      <c r="J17" s="83"/>
      <c r="K17" s="8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</row>
    <row r="18" spans="1:31" s="15" customFormat="1" ht="15.75" x14ac:dyDescent="0.2">
      <c r="A18" s="73"/>
      <c r="B18" s="75"/>
      <c r="C18" s="62">
        <v>44971</v>
      </c>
      <c r="D18" s="64"/>
      <c r="E18" s="83" t="s">
        <v>21</v>
      </c>
      <c r="F18" s="83"/>
      <c r="G18" s="83"/>
      <c r="H18" s="83"/>
      <c r="I18" s="83"/>
      <c r="J18" s="83"/>
      <c r="K18" s="8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</row>
    <row r="19" spans="1:31" s="15" customFormat="1" ht="15.75" x14ac:dyDescent="0.2">
      <c r="A19" s="73"/>
      <c r="B19" s="75"/>
      <c r="C19" s="62">
        <v>44972</v>
      </c>
      <c r="D19" s="64"/>
      <c r="E19" s="83" t="s">
        <v>21</v>
      </c>
      <c r="F19" s="83"/>
      <c r="G19" s="83"/>
      <c r="H19" s="83"/>
      <c r="I19" s="83"/>
      <c r="J19" s="83"/>
      <c r="K19" s="8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</row>
    <row r="20" spans="1:31" s="15" customFormat="1" ht="15.75" x14ac:dyDescent="0.2">
      <c r="A20" s="73"/>
      <c r="B20" s="75"/>
      <c r="C20" s="62">
        <v>44973</v>
      </c>
      <c r="D20" s="64"/>
      <c r="E20" s="83" t="s">
        <v>21</v>
      </c>
      <c r="F20" s="83"/>
      <c r="G20" s="83"/>
      <c r="H20" s="83"/>
      <c r="I20" s="83"/>
      <c r="J20" s="83"/>
      <c r="K20" s="8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</row>
    <row r="21" spans="1:31" s="15" customFormat="1" ht="15.75" x14ac:dyDescent="0.2">
      <c r="A21" s="73"/>
      <c r="B21" s="75"/>
      <c r="C21" s="62">
        <v>44974</v>
      </c>
      <c r="D21" s="64"/>
      <c r="E21" s="83" t="s">
        <v>21</v>
      </c>
      <c r="F21" s="83"/>
      <c r="G21" s="83"/>
      <c r="H21" s="83"/>
      <c r="I21" s="83"/>
      <c r="J21" s="83"/>
      <c r="K21" s="8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</row>
    <row r="22" spans="1:31" s="15" customFormat="1" ht="15.75" x14ac:dyDescent="0.2">
      <c r="A22" s="73"/>
      <c r="B22" s="75"/>
      <c r="C22" s="62">
        <v>44976</v>
      </c>
      <c r="D22" s="64"/>
      <c r="E22" s="83" t="s">
        <v>21</v>
      </c>
      <c r="F22" s="83"/>
      <c r="G22" s="83"/>
      <c r="H22" s="83"/>
      <c r="I22" s="83"/>
      <c r="J22" s="83"/>
      <c r="K22" s="8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</row>
    <row r="23" spans="1:31" s="15" customFormat="1" ht="15.75" x14ac:dyDescent="0.2">
      <c r="A23" s="73"/>
      <c r="B23" s="75"/>
      <c r="C23" s="62">
        <v>44977</v>
      </c>
      <c r="D23" s="64"/>
      <c r="E23" s="83" t="s">
        <v>21</v>
      </c>
      <c r="F23" s="83"/>
      <c r="G23" s="83"/>
      <c r="H23" s="83"/>
      <c r="I23" s="83"/>
      <c r="J23" s="83"/>
      <c r="K23" s="8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24" spans="1:31" s="15" customFormat="1" ht="15.75" x14ac:dyDescent="0.2">
      <c r="A24" s="73"/>
      <c r="B24" s="75"/>
      <c r="C24" s="62">
        <v>44978</v>
      </c>
      <c r="D24" s="64"/>
      <c r="E24" s="83" t="s">
        <v>21</v>
      </c>
      <c r="F24" s="83"/>
      <c r="G24" s="83"/>
      <c r="H24" s="83"/>
      <c r="I24" s="83"/>
      <c r="J24" s="83"/>
      <c r="K24" s="8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</row>
    <row r="25" spans="1:31" s="15" customFormat="1" ht="15.75" x14ac:dyDescent="0.2">
      <c r="A25" s="73"/>
      <c r="B25" s="75"/>
      <c r="C25" s="62">
        <v>44979</v>
      </c>
      <c r="D25" s="64"/>
      <c r="E25" s="83" t="s">
        <v>21</v>
      </c>
      <c r="F25" s="83"/>
      <c r="G25" s="83"/>
      <c r="H25" s="83"/>
      <c r="I25" s="83"/>
      <c r="J25" s="83"/>
      <c r="K25" s="8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</row>
    <row r="26" spans="1:31" s="15" customFormat="1" ht="15.75" x14ac:dyDescent="0.2">
      <c r="A26" s="73"/>
      <c r="B26" s="75"/>
      <c r="C26" s="62"/>
      <c r="D26" s="64"/>
      <c r="E26" s="77"/>
      <c r="F26" s="77"/>
      <c r="G26" s="77"/>
      <c r="H26" s="77"/>
      <c r="I26" s="77"/>
      <c r="J26" s="77"/>
      <c r="K26" s="78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</row>
    <row r="27" spans="1:31" s="15" customFormat="1" ht="15.75" customHeight="1" x14ac:dyDescent="0.2">
      <c r="A27" s="74"/>
      <c r="B27" s="76"/>
      <c r="C27" s="63"/>
      <c r="D27" s="65"/>
      <c r="E27" s="79"/>
      <c r="F27" s="79"/>
      <c r="G27" s="79"/>
      <c r="H27" s="79"/>
      <c r="I27" s="79"/>
      <c r="J27" s="79"/>
      <c r="K27" s="80"/>
      <c r="L27" s="41"/>
      <c r="M27" s="24"/>
      <c r="N27" s="41"/>
      <c r="O27" s="41"/>
      <c r="P27" s="41"/>
      <c r="Q27" s="41"/>
      <c r="R27" s="41"/>
      <c r="S27" s="41"/>
      <c r="T27" s="24"/>
      <c r="U27" s="24"/>
      <c r="V27" s="24"/>
      <c r="W27" s="24"/>
      <c r="X27" s="24"/>
      <c r="Y27" s="24"/>
      <c r="Z27" s="41"/>
      <c r="AA27" s="40"/>
      <c r="AB27" s="24"/>
      <c r="AC27" s="41"/>
      <c r="AD27" s="41"/>
      <c r="AE27" s="41"/>
    </row>
    <row r="28" spans="1:31" s="15" customFormat="1" x14ac:dyDescent="0.2">
      <c r="A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31" s="15" customFormat="1" x14ac:dyDescent="0.2">
      <c r="A29" s="31" t="s">
        <v>11</v>
      </c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P29" s="19"/>
      <c r="AC29" s="37"/>
    </row>
    <row r="30" spans="1:31" s="15" customFormat="1" x14ac:dyDescent="0.2">
      <c r="A30" s="71" t="s">
        <v>2</v>
      </c>
      <c r="B30" s="71" t="s">
        <v>8</v>
      </c>
      <c r="C30" s="71" t="s">
        <v>1</v>
      </c>
      <c r="D30" s="69" t="s">
        <v>6</v>
      </c>
      <c r="E30" s="70"/>
      <c r="F30" s="19"/>
      <c r="G30" s="19"/>
      <c r="H30" s="19"/>
      <c r="I30" s="19"/>
      <c r="J30" s="19"/>
      <c r="K30" s="19"/>
      <c r="L30" s="19"/>
      <c r="M30" s="19"/>
      <c r="N30" s="19"/>
      <c r="P30" s="19"/>
      <c r="AC30" s="37"/>
    </row>
    <row r="31" spans="1:31" s="15" customFormat="1" x14ac:dyDescent="0.2">
      <c r="A31" s="72"/>
      <c r="B31" s="72"/>
      <c r="C31" s="72"/>
      <c r="D31" s="29" t="s">
        <v>9</v>
      </c>
      <c r="E31" s="30" t="s">
        <v>10</v>
      </c>
      <c r="F31" s="19"/>
      <c r="G31" s="19"/>
      <c r="H31" s="19"/>
      <c r="I31" s="19"/>
      <c r="J31" s="19"/>
      <c r="K31" s="19"/>
      <c r="L31" s="19"/>
      <c r="M31" s="19"/>
      <c r="N31" s="19"/>
      <c r="P31" s="19"/>
      <c r="AC31" s="37"/>
    </row>
    <row r="32" spans="1:31" s="15" customFormat="1" ht="15.75" x14ac:dyDescent="0.25">
      <c r="A32" s="49">
        <v>1</v>
      </c>
      <c r="B32" s="48" t="str">
        <f>B13</f>
        <v>Link Wireless   Hexindo to Pama Soulmate</v>
      </c>
      <c r="C32" s="50">
        <f>1-(((D32*3600)+(LEFT(E32,2)*60)+RIGHT(E32,2))/((60*60*24)*$C$8))</f>
        <v>0.94002314814814814</v>
      </c>
      <c r="D32" s="51" t="str">
        <f>TEXT(SUM(D13:AE13),"[h]")</f>
        <v>40</v>
      </c>
      <c r="E32" s="51" t="str">
        <f>TEXT(SUM(D13:AE13),"mm ss")</f>
        <v>18 16</v>
      </c>
      <c r="F32" s="27"/>
      <c r="G32" s="19"/>
      <c r="H32" s="28"/>
      <c r="I32" s="19"/>
      <c r="J32" s="19"/>
      <c r="K32" s="19"/>
      <c r="L32" s="19"/>
      <c r="M32" s="19"/>
      <c r="N32" s="19"/>
      <c r="P32" s="19"/>
      <c r="AC32" s="37"/>
    </row>
    <row r="33" spans="1:31" s="15" customFormat="1" ht="15.75" x14ac:dyDescent="0.25">
      <c r="A33" s="49">
        <v>2</v>
      </c>
      <c r="B33" s="52" t="str">
        <f>B14</f>
        <v>Voip Gateway ( Link Telephone )</v>
      </c>
      <c r="C33" s="50">
        <f>1-(((D33*3600)+(LEFT(E33,2)*60)+RIGHT(E33,2))/((60*60*24)*$C$8))</f>
        <v>0.94002314814814814</v>
      </c>
      <c r="D33" s="51" t="str">
        <f>TEXT(SUM(D14:AE14),"[h]")</f>
        <v>40</v>
      </c>
      <c r="E33" s="51" t="str">
        <f>TEXT(SUM(D14:AE14),"mm ss")</f>
        <v>18 16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31" s="15" customFormat="1" x14ac:dyDescent="0.2">
      <c r="A34" s="16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31" s="20" customFormat="1" x14ac:dyDescent="0.2">
      <c r="A35" s="32" t="s">
        <v>15</v>
      </c>
      <c r="C35" s="26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x14ac:dyDescent="0.2">
      <c r="A36" s="15" t="s">
        <v>18</v>
      </c>
      <c r="C36" s="33">
        <f>(SUM(C32:C33))/(100%*2)</f>
        <v>0.94002314814814814</v>
      </c>
      <c r="H36" s="46"/>
    </row>
    <row r="41" spans="1:31" x14ac:dyDescent="0.2"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9" spans="6:31" x14ac:dyDescent="0.2">
      <c r="F49" s="34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 spans="6:31" x14ac:dyDescent="0.2">
      <c r="F50" s="34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</row>
    <row r="51" spans="6:31" x14ac:dyDescent="0.2">
      <c r="F51" s="34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</row>
    <row r="52" spans="6:31" x14ac:dyDescent="0.2">
      <c r="F52" s="34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</row>
  </sheetData>
  <mergeCells count="21">
    <mergeCell ref="E21:K21"/>
    <mergeCell ref="E22:K22"/>
    <mergeCell ref="E23:K23"/>
    <mergeCell ref="E24:K24"/>
    <mergeCell ref="E25:K25"/>
    <mergeCell ref="A10:A11"/>
    <mergeCell ref="B10:B11"/>
    <mergeCell ref="C10:C11"/>
    <mergeCell ref="D30:E30"/>
    <mergeCell ref="A30:A31"/>
    <mergeCell ref="B30:B31"/>
    <mergeCell ref="C30:C31"/>
    <mergeCell ref="A16:A27"/>
    <mergeCell ref="B16:B27"/>
    <mergeCell ref="E26:K26"/>
    <mergeCell ref="E27:K27"/>
    <mergeCell ref="E16:K16"/>
    <mergeCell ref="E17:K17"/>
    <mergeCell ref="E18:K18"/>
    <mergeCell ref="E19:K19"/>
    <mergeCell ref="E20:K20"/>
  </mergeCells>
  <phoneticPr fontId="9" type="noConversion"/>
  <conditionalFormatting sqref="Y14:AB26">
    <cfRule type="cellIs" dxfId="13" priority="47" stopIfTrue="1" operator="greaterThan">
      <formula>0</formula>
    </cfRule>
  </conditionalFormatting>
  <conditionalFormatting sqref="T15:X26 X14">
    <cfRule type="cellIs" dxfId="12" priority="29" stopIfTrue="1" operator="greaterThan">
      <formula>0</formula>
    </cfRule>
  </conditionalFormatting>
  <conditionalFormatting sqref="Y13:AE13">
    <cfRule type="cellIs" dxfId="11" priority="28" stopIfTrue="1" operator="greaterThan">
      <formula>0</formula>
    </cfRule>
  </conditionalFormatting>
  <conditionalFormatting sqref="D13:N13 P13:X13">
    <cfRule type="cellIs" dxfId="10" priority="26" stopIfTrue="1" operator="greaterThan">
      <formula>0</formula>
    </cfRule>
  </conditionalFormatting>
  <conditionalFormatting sqref="S15:S26">
    <cfRule type="cellIs" dxfId="9" priority="23" stopIfTrue="1" operator="greaterThan">
      <formula>0</formula>
    </cfRule>
  </conditionalFormatting>
  <conditionalFormatting sqref="P15:R26 D15:I15 K14:N15 D17:D26 L16:N26 D14 F14:I14">
    <cfRule type="cellIs" dxfId="8" priority="21" stopIfTrue="1" operator="greaterThan">
      <formula>0</formula>
    </cfRule>
  </conditionalFormatting>
  <conditionalFormatting sqref="AC14:AC26">
    <cfRule type="cellIs" dxfId="7" priority="18" stopIfTrue="1" operator="greaterThan">
      <formula>0</formula>
    </cfRule>
  </conditionalFormatting>
  <conditionalFormatting sqref="AD14:AD26">
    <cfRule type="cellIs" dxfId="6" priority="10" stopIfTrue="1" operator="greaterThan">
      <formula>0</formula>
    </cfRule>
  </conditionalFormatting>
  <conditionalFormatting sqref="O13:O26">
    <cfRule type="cellIs" dxfId="5" priority="9" stopIfTrue="1" operator="greaterThan">
      <formula>0</formula>
    </cfRule>
  </conditionalFormatting>
  <conditionalFormatting sqref="AE14:AE26">
    <cfRule type="cellIs" dxfId="4" priority="8" stopIfTrue="1" operator="greaterThan">
      <formula>0</formula>
    </cfRule>
  </conditionalFormatting>
  <conditionalFormatting sqref="J14:J15">
    <cfRule type="cellIs" dxfId="3" priority="7" stopIfTrue="1" operator="greaterThan">
      <formula>0</formula>
    </cfRule>
  </conditionalFormatting>
  <conditionalFormatting sqref="E14">
    <cfRule type="cellIs" dxfId="2" priority="5" stopIfTrue="1" operator="greaterThan">
      <formula>0</formula>
    </cfRule>
  </conditionalFormatting>
  <conditionalFormatting sqref="P14">
    <cfRule type="cellIs" dxfId="1" priority="3" stopIfTrue="1" operator="greaterThan">
      <formula>0</formula>
    </cfRule>
  </conditionalFormatting>
  <conditionalFormatting sqref="Q14:W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2023-02-28T20:12:52Z</dcterms:modified>
</cp:coreProperties>
</file>