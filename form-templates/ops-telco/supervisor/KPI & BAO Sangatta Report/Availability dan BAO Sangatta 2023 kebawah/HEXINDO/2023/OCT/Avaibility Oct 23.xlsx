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300" windowWidth="15480" windowHeight="11340"/>
  </bookViews>
  <sheets>
    <sheet name="Avaibility LINK Hexindo - Pama" sheetId="11" r:id="rId1"/>
  </sheets>
  <calcPr calcId="144525"/>
</workbook>
</file>

<file path=xl/calcChain.xml><?xml version="1.0" encoding="utf-8"?>
<calcChain xmlns="http://schemas.openxmlformats.org/spreadsheetml/2006/main">
  <c r="D24" i="11" l="1"/>
  <c r="D23" i="11"/>
  <c r="E23" i="11" l="1"/>
  <c r="C23" i="11" s="1"/>
  <c r="E24" i="11"/>
  <c r="B24" i="11"/>
  <c r="B23" i="11"/>
  <c r="C24" i="11" l="1"/>
  <c r="C27" i="11" l="1"/>
</calcChain>
</file>

<file path=xl/sharedStrings.xml><?xml version="1.0" encoding="utf-8"?>
<sst xmlns="http://schemas.openxmlformats.org/spreadsheetml/2006/main" count="54" uniqueCount="21">
  <si>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</si>
  <si>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</si>
  <si>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</si>
  <si>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</si>
  <si>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</si>
  <si>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</si>
  <si>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</si>
  <si>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</si>
  <si>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</si>
  <si>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</si>
  <si>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</si>
  <si>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</si>
  <si>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</si>
  <si>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</si>
  <si>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</si>
  <si>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</si>
  <si>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</si>
  <si>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Voip Gateway ( Link Telephone )</t>
  </si>
  <si>
    <t>Link Wireless   Hexindo to Pama Soulmate</t>
  </si>
  <si>
    <t>Radio Link &amp; Voip Gateway Hexindo - Pama Soulmate</t>
  </si>
  <si>
    <t xml:space="preserve">Remark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</si>
</sst>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-yy;@"/>
    <numFmt numFmtId="165" formatCode="m/d/yy;@"/>
  </numFmts>
  <fonts count="40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name val="Tahoma"/>
      <family val="2"/>
    </font>
    <font>
      <sz val="14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</borders>
  <cellStyleXfs count="2137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9" fontId="6" fillId="0" borderId="0"/>
  </cellStyleXfs>
  <cellXfs count="101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0" fontId="8" fillId="0" borderId="0" xfId="0" applyNumberFormat="1" applyFont="1" applyBorder="1" applyAlignment="1">
      <alignment horizontal="left" vertic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0" xfId="0" applyFont="1" applyBorder="1" applyAlignment="1">
      <alignment horizontal="left"/>
    </xf>
    <xf numFmtId="0" fontId="8" fillId="0" borderId="0" xfId="0" applyFont="1" applyBorder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46" fontId="0" fillId="0" borderId="1" xfId="0" applyNumberFormat="1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8" fillId="0" borderId="0" xfId="0" applyFont="1"/>
    <xf numFmtId="0" fontId="35" fillId="0" borderId="1" xfId="0" applyFont="1" applyBorder="1"/>
    <xf numFmtId="10" fontId="36" fillId="0" borderId="1" xfId="0" applyNumberFormat="1" applyFont="1" applyBorder="1" applyAlignment="1">
      <alignment horizontal="center"/>
    </xf>
    <xf numFmtId="46" fontId="36" fillId="0" borderId="1" xfId="0" applyNumberFormat="1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46" fontId="36" fillId="0" borderId="20" xfId="0" applyNumberFormat="1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6" fillId="0" borderId="25" xfId="0" applyFont="1" applyBorder="1"/>
    <xf numFmtId="10" fontId="36" fillId="0" borderId="25" xfId="0" applyNumberFormat="1" applyFont="1" applyBorder="1" applyAlignment="1">
      <alignment horizontal="center"/>
    </xf>
    <xf numFmtId="46" fontId="36" fillId="0" borderId="25" xfId="0" applyNumberFormat="1" applyFont="1" applyBorder="1" applyAlignment="1">
      <alignment horizontal="center"/>
    </xf>
    <xf numFmtId="46" fontId="36" fillId="0" borderId="26" xfId="0" applyNumberFormat="1" applyFont="1" applyBorder="1" applyAlignment="1">
      <alignment horizontal="center"/>
    </xf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0" fontId="6" fillId="0" borderId="0" xfId="0" applyNumberFormat="1" applyFont="1" applyBorder="1" applyAlignment="1">
      <alignment horizontal="left" vertical="center" wrapText="1"/>
    </xf>
    <xf numFmtId="46" fontId="6" fillId="0" borderId="0" xfId="0" applyNumberFormat="1" applyFont="1" applyBorder="1"/>
    <xf numFmtId="46" fontId="0" fillId="0" borderId="0" xfId="0" applyNumberFormat="1" applyBorder="1"/>
    <xf numFmtId="9" fontId="13" fillId="0" borderId="0" xfId="0" applyNumberFormat="1" applyFont="1" applyBorder="1" applyAlignment="1">
      <alignment horizontal="center"/>
    </xf>
    <xf numFmtId="0" fontId="37" fillId="0" borderId="14" xfId="0" applyFont="1" applyBorder="1"/>
    <xf numFmtId="0" fontId="6" fillId="0" borderId="21" xfId="0" applyFont="1" applyBorder="1" applyAlignment="1">
      <alignment horizontal="center"/>
    </xf>
    <xf numFmtId="0" fontId="6" fillId="0" borderId="0" xfId="0" applyFont="1" applyBorder="1"/>
    <xf numFmtId="46" fontId="0" fillId="0" borderId="29" xfId="0" applyNumberFormat="1" applyBorder="1"/>
    <xf numFmtId="0" fontId="37" fillId="0" borderId="2" xfId="0" applyFont="1" applyBorder="1" applyAlignment="1">
      <alignment horizontal="center" vertical="center"/>
    </xf>
    <xf numFmtId="46" fontId="0" fillId="0" borderId="2" xfId="0" applyNumberFormat="1" applyBorder="1"/>
    <xf numFmtId="0" fontId="6" fillId="0" borderId="29" xfId="0" applyFont="1" applyBorder="1" applyAlignment="1">
      <alignment horizontal="center"/>
    </xf>
    <xf numFmtId="0" fontId="37" fillId="0" borderId="29" xfId="0" applyFont="1" applyBorder="1"/>
    <xf numFmtId="0" fontId="37" fillId="0" borderId="29" xfId="0" applyFont="1" applyBorder="1" applyAlignment="1">
      <alignment horizontal="center" vertical="center"/>
    </xf>
    <xf numFmtId="0" fontId="6" fillId="0" borderId="0" xfId="0" applyFont="1" applyBorder="1" applyAlignment="1" applyProtection="1">
      <alignment horizontal="left" indent="4"/>
      <protection locked="0"/>
    </xf>
    <xf numFmtId="0" fontId="0" fillId="33" borderId="21" xfId="0" applyFill="1" applyBorder="1" applyAlignment="1">
      <alignment horizontal="center"/>
    </xf>
    <xf numFmtId="0" fontId="0" fillId="33" borderId="14" xfId="0" applyFill="1" applyBorder="1"/>
    <xf numFmtId="0" fontId="0" fillId="33" borderId="2" xfId="0" applyFill="1" applyBorder="1"/>
    <xf numFmtId="165" fontId="6" fillId="0" borderId="32" xfId="0" applyNumberFormat="1" applyFont="1" applyBorder="1" applyAlignment="1">
      <alignment horizontal="center" vertical="center" wrapText="1"/>
    </xf>
    <xf numFmtId="165" fontId="6" fillId="0" borderId="30" xfId="0" applyNumberFormat="1" applyFont="1" applyBorder="1" applyAlignment="1">
      <alignment horizontal="center" vertical="center" wrapText="1"/>
    </xf>
    <xf numFmtId="165" fontId="6" fillId="0" borderId="31" xfId="0" applyNumberFormat="1" applyFont="1" applyBorder="1" applyAlignment="1">
      <alignment horizontal="center" vertical="center" wrapText="1"/>
    </xf>
    <xf numFmtId="16" fontId="8" fillId="34" borderId="3" xfId="0" applyNumberFormat="1" applyFont="1" applyFill="1" applyBorder="1" applyAlignment="1">
      <alignment horizontal="center"/>
    </xf>
    <xf numFmtId="0" fontId="13" fillId="0" borderId="0" xfId="0" applyFont="1" applyBorder="1" applyAlignment="1"/>
    <xf numFmtId="0" fontId="39" fillId="0" borderId="0" xfId="0" applyFont="1" applyBorder="1" applyAlignment="1"/>
    <xf numFmtId="9" fontId="13" fillId="35" borderId="2" xfId="0" applyNumberFormat="1" applyFont="1" applyFill="1" applyBorder="1" applyAlignment="1">
      <alignment horizontal="center"/>
    </xf>
    <xf numFmtId="9" fontId="13" fillId="35" borderId="1" xfId="0" applyNumberFormat="1" applyFont="1" applyFill="1" applyBorder="1" applyAlignment="1">
      <alignment horizontal="center"/>
    </xf>
    <xf numFmtId="0" fontId="0" fillId="35" borderId="1" xfId="0" applyFill="1" applyBorder="1"/>
    <xf numFmtId="0" fontId="12" fillId="34" borderId="1" xfId="0" applyFont="1" applyFill="1" applyBorder="1" applyAlignment="1">
      <alignment horizontal="center" vertical="center"/>
    </xf>
    <xf numFmtId="0" fontId="8" fillId="34" borderId="16" xfId="0" applyFont="1" applyFill="1" applyBorder="1" applyAlignment="1">
      <alignment horizontal="center" vertical="center" wrapText="1"/>
    </xf>
    <xf numFmtId="0" fontId="8" fillId="34" borderId="19" xfId="0" applyFont="1" applyFill="1" applyBorder="1" applyAlignment="1">
      <alignment horizontal="center" vertical="center" wrapText="1"/>
    </xf>
    <xf numFmtId="0" fontId="8" fillId="34" borderId="27" xfId="0" applyFont="1" applyFill="1" applyBorder="1" applyAlignment="1">
      <alignment horizontal="center" vertical="center" wrapText="1"/>
    </xf>
    <xf numFmtId="0" fontId="8" fillId="34" borderId="28" xfId="0" applyFont="1" applyFill="1" applyBorder="1" applyAlignment="1">
      <alignment horizontal="center" vertical="center" wrapText="1"/>
    </xf>
    <xf numFmtId="0" fontId="8" fillId="34" borderId="2" xfId="0" applyFont="1" applyFill="1" applyBorder="1" applyAlignment="1">
      <alignment horizontal="center" vertical="center" wrapText="1"/>
    </xf>
    <xf numFmtId="0" fontId="8" fillId="34" borderId="4" xfId="0" applyFont="1" applyFill="1" applyBorder="1" applyAlignment="1">
      <alignment horizontal="center" vertical="center" wrapText="1"/>
    </xf>
    <xf numFmtId="10" fontId="6" fillId="0" borderId="28" xfId="0" applyNumberFormat="1" applyFont="1" applyBorder="1" applyAlignment="1">
      <alignment horizontal="left" vertical="center" wrapText="1"/>
    </xf>
    <xf numFmtId="10" fontId="6" fillId="0" borderId="33" xfId="0" applyNumberFormat="1" applyFont="1" applyBorder="1" applyAlignment="1">
      <alignment horizontal="left" vertical="center" wrapText="1"/>
    </xf>
    <xf numFmtId="10" fontId="6" fillId="0" borderId="31" xfId="0" applyNumberFormat="1" applyFont="1" applyBorder="1" applyAlignment="1">
      <alignment horizontal="left" vertical="center" wrapText="1"/>
    </xf>
    <xf numFmtId="0" fontId="8" fillId="0" borderId="16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10" fontId="6" fillId="0" borderId="3" xfId="0" applyNumberFormat="1" applyFont="1" applyBorder="1" applyAlignment="1">
      <alignment horizontal="left" vertical="center" wrapText="1"/>
    </xf>
    <xf numFmtId="10" fontId="6" fillId="0" borderId="29" xfId="0" applyNumberFormat="1" applyFont="1" applyBorder="1" applyAlignment="1">
      <alignment horizontal="left" vertical="center" wrapText="1"/>
    </xf>
    <xf numFmtId="10" fontId="6" fillId="0" borderId="30" xfId="0" applyNumberFormat="1" applyFont="1" applyBorder="1" applyAlignment="1">
      <alignment horizontal="left" vertical="center" wrapText="1"/>
    </xf>
    <xf numFmtId="10" fontId="8" fillId="0" borderId="18" xfId="0" applyNumberFormat="1" applyFont="1" applyBorder="1" applyAlignment="1">
      <alignment horizontal="center"/>
    </xf>
    <xf numFmtId="10" fontId="8" fillId="0" borderId="23" xfId="0" applyNumberFormat="1" applyFont="1" applyBorder="1" applyAlignment="1">
      <alignment horizontal="center"/>
    </xf>
    <xf numFmtId="0" fontId="38" fillId="0" borderId="2" xfId="0" applyFont="1" applyBorder="1" applyAlignment="1">
      <alignment horizontal="center" vertical="center"/>
    </xf>
    <xf numFmtId="0" fontId="38" fillId="0" borderId="15" xfId="0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2137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Style 1" xfId="2136"/>
    <cellStyle name="Title" xfId="20" builtinId="15" customBuiltin="1"/>
    <cellStyle name="Total" xfId="35" builtinId="25" customBuiltin="1"/>
    <cellStyle name="Warning Text" xfId="33" builtinId="11" customBuiltin="1"/>
  </cellStyles>
  <dxfs count="3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6"/>
  <sheetViews>
    <sheetView tabSelected="1" zoomScale="80" zoomScaleNormal="8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AH10" sqref="AH10"/>
    </sheetView>
  </sheetViews>
  <sheetFormatPr defaultRowHeight="12.75" x14ac:dyDescent="0.2"/>
  <cols>
    <col min="1" max="1" width="5.7109375" style="2" customWidth="1"/>
    <col min="2" max="2" width="45.5703125" customWidth="1"/>
    <col min="3" max="3" width="20.140625" customWidth="1"/>
    <col min="4" max="4" width="9.140625" style="12" customWidth="1"/>
    <col min="5" max="12" width="9.140625" style="13" customWidth="1"/>
    <col min="13" max="13" width="8.5703125" style="13" customWidth="1"/>
    <col min="14" max="14" width="9.140625" style="13" customWidth="1"/>
    <col min="15" max="15" width="10" style="13" customWidth="1"/>
    <col min="16" max="16" width="9.140625" style="13" customWidth="1"/>
    <col min="17" max="32" width="9.140625" customWidth="1"/>
    <col min="34" max="34" width="9.710937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34">
        <v>44835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0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ht="13.5" thickBot="1" x14ac:dyDescent="0.25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77" t="s">
        <v>2</v>
      </c>
      <c r="B10" s="79" t="s">
        <v>0</v>
      </c>
      <c r="C10" s="81" t="s">
        <v>7</v>
      </c>
      <c r="D10" s="70">
        <v>44835</v>
      </c>
      <c r="E10" s="70">
        <v>44836</v>
      </c>
      <c r="F10" s="70">
        <v>44837</v>
      </c>
      <c r="G10" s="70">
        <v>44838</v>
      </c>
      <c r="H10" s="70">
        <v>44839</v>
      </c>
      <c r="I10" s="70">
        <v>44840</v>
      </c>
      <c r="J10" s="70">
        <v>44841</v>
      </c>
      <c r="K10" s="70">
        <v>44842</v>
      </c>
      <c r="L10" s="70">
        <v>44843</v>
      </c>
      <c r="M10" s="70">
        <v>44844</v>
      </c>
      <c r="N10" s="70">
        <v>44845</v>
      </c>
      <c r="O10" s="70">
        <v>44846</v>
      </c>
      <c r="P10" s="70">
        <v>44847</v>
      </c>
      <c r="Q10" s="70">
        <v>44848</v>
      </c>
      <c r="R10" s="70">
        <v>44849</v>
      </c>
      <c r="S10" s="70">
        <v>44850</v>
      </c>
      <c r="T10" s="70">
        <v>44851</v>
      </c>
      <c r="U10" s="70">
        <v>44852</v>
      </c>
      <c r="V10" s="70">
        <v>44853</v>
      </c>
      <c r="W10" s="70">
        <v>44854</v>
      </c>
      <c r="X10" s="70">
        <v>44855</v>
      </c>
      <c r="Y10" s="70">
        <v>44856</v>
      </c>
      <c r="Z10" s="70">
        <v>44857</v>
      </c>
      <c r="AA10" s="70">
        <v>44858</v>
      </c>
      <c r="AB10" s="70">
        <v>44859</v>
      </c>
      <c r="AC10" s="70">
        <v>44860</v>
      </c>
      <c r="AD10" s="70">
        <v>44861</v>
      </c>
      <c r="AE10" s="70">
        <v>44862</v>
      </c>
      <c r="AF10" s="70">
        <v>44863</v>
      </c>
      <c r="AG10" s="70">
        <v>44864</v>
      </c>
      <c r="AH10" s="70">
        <v>44865</v>
      </c>
    </row>
    <row r="11" spans="1:34" s="1" customFormat="1" x14ac:dyDescent="0.2">
      <c r="A11" s="78"/>
      <c r="B11" s="80"/>
      <c r="C11" s="82"/>
      <c r="D11" s="76" t="s">
        <v>6</v>
      </c>
      <c r="E11" s="76" t="s">
        <v>6</v>
      </c>
      <c r="F11" s="76" t="s">
        <v>6</v>
      </c>
      <c r="G11" s="76" t="s">
        <v>6</v>
      </c>
      <c r="H11" s="76" t="s">
        <v>6</v>
      </c>
      <c r="I11" s="76" t="s">
        <v>6</v>
      </c>
      <c r="J11" s="76" t="s">
        <v>6</v>
      </c>
      <c r="K11" s="76" t="s">
        <v>6</v>
      </c>
      <c r="L11" s="76" t="s">
        <v>6</v>
      </c>
      <c r="M11" s="76" t="s">
        <v>6</v>
      </c>
      <c r="N11" s="76" t="s">
        <v>6</v>
      </c>
      <c r="O11" s="76" t="s">
        <v>6</v>
      </c>
      <c r="P11" s="76" t="s">
        <v>6</v>
      </c>
      <c r="Q11" s="76" t="s">
        <v>6</v>
      </c>
      <c r="R11" s="76" t="s">
        <v>6</v>
      </c>
      <c r="S11" s="76" t="s">
        <v>6</v>
      </c>
      <c r="T11" s="76" t="s">
        <v>6</v>
      </c>
      <c r="U11" s="76" t="s">
        <v>6</v>
      </c>
      <c r="V11" s="76" t="s">
        <v>6</v>
      </c>
      <c r="W11" s="76" t="s">
        <v>6</v>
      </c>
      <c r="X11" s="76" t="s">
        <v>6</v>
      </c>
      <c r="Y11" s="76" t="s">
        <v>6</v>
      </c>
      <c r="Z11" s="76" t="s">
        <v>6</v>
      </c>
      <c r="AA11" s="76" t="s">
        <v>6</v>
      </c>
      <c r="AB11" s="76" t="s">
        <v>6</v>
      </c>
      <c r="AC11" s="76" t="s">
        <v>6</v>
      </c>
      <c r="AD11" s="76" t="s">
        <v>6</v>
      </c>
      <c r="AE11" s="76" t="s">
        <v>6</v>
      </c>
      <c r="AF11" s="76" t="s">
        <v>6</v>
      </c>
      <c r="AG11" s="76" t="s">
        <v>6</v>
      </c>
      <c r="AH11" s="76" t="s">
        <v>6</v>
      </c>
    </row>
    <row r="12" spans="1:34" x14ac:dyDescent="0.2">
      <c r="A12" s="64"/>
      <c r="B12" s="65"/>
      <c r="C12" s="66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4"/>
      <c r="AG12" s="74"/>
      <c r="AH12" s="75"/>
    </row>
    <row r="13" spans="1:34" s="14" customFormat="1" ht="15" x14ac:dyDescent="0.25">
      <c r="A13" s="39">
        <v>1</v>
      </c>
      <c r="B13" s="48" t="s">
        <v>18</v>
      </c>
      <c r="C13" s="49" t="s">
        <v>16</v>
      </c>
      <c r="D13" s="32">
        <v>0</v>
      </c>
      <c r="E13" s="32">
        <v>0</v>
      </c>
      <c r="F13" s="32">
        <v>0</v>
      </c>
      <c r="G13" s="32">
        <v>0</v>
      </c>
      <c r="H13" s="59">
        <v>0</v>
      </c>
      <c r="I13" s="59">
        <v>0</v>
      </c>
      <c r="J13" s="32">
        <v>0</v>
      </c>
      <c r="K13" s="32">
        <v>0</v>
      </c>
      <c r="L13" s="59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2">
        <v>0</v>
      </c>
      <c r="X13" s="32">
        <v>0</v>
      </c>
      <c r="Y13" s="32">
        <v>0</v>
      </c>
      <c r="Z13" s="32">
        <v>0</v>
      </c>
      <c r="AA13" s="32">
        <v>0</v>
      </c>
      <c r="AB13" s="32">
        <v>0</v>
      </c>
      <c r="AC13" s="32">
        <v>0</v>
      </c>
      <c r="AD13" s="32">
        <v>0</v>
      </c>
      <c r="AE13" s="32">
        <v>0</v>
      </c>
      <c r="AF13" s="32">
        <v>0</v>
      </c>
      <c r="AG13" s="32">
        <v>0</v>
      </c>
      <c r="AH13" s="32">
        <v>0</v>
      </c>
    </row>
    <row r="14" spans="1:34" s="14" customFormat="1" ht="15" x14ac:dyDescent="0.25">
      <c r="A14" s="55">
        <v>2</v>
      </c>
      <c r="B14" s="54" t="s">
        <v>17</v>
      </c>
      <c r="C14" s="58" t="s">
        <v>16</v>
      </c>
      <c r="D14" s="59">
        <v>0</v>
      </c>
      <c r="E14" s="59">
        <v>0</v>
      </c>
      <c r="F14" s="59">
        <v>0</v>
      </c>
      <c r="G14" s="32">
        <v>0</v>
      </c>
      <c r="H14" s="32">
        <v>0</v>
      </c>
      <c r="I14" s="32">
        <v>0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  <c r="Y14" s="32">
        <v>0</v>
      </c>
      <c r="Z14" s="32">
        <v>0</v>
      </c>
      <c r="AA14" s="32">
        <v>0</v>
      </c>
      <c r="AB14" s="32">
        <v>0</v>
      </c>
      <c r="AC14" s="32">
        <v>0</v>
      </c>
      <c r="AD14" s="32">
        <v>0</v>
      </c>
      <c r="AE14" s="32">
        <v>0</v>
      </c>
      <c r="AF14" s="32">
        <v>0</v>
      </c>
      <c r="AG14" s="32">
        <v>0</v>
      </c>
      <c r="AH14" s="32">
        <v>0</v>
      </c>
    </row>
    <row r="15" spans="1:34" s="14" customFormat="1" ht="18" customHeight="1" x14ac:dyDescent="0.25">
      <c r="A15" s="60"/>
      <c r="B15" s="61"/>
      <c r="C15" s="62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0"/>
      <c r="Q15" s="50"/>
      <c r="R15" s="50"/>
      <c r="S15" s="51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6"/>
    </row>
    <row r="16" spans="1:34" s="14" customFormat="1" ht="19.5" customHeight="1" x14ac:dyDescent="0.2">
      <c r="A16" s="98">
        <v>3</v>
      </c>
      <c r="B16" s="95" t="s">
        <v>20</v>
      </c>
      <c r="C16" s="67"/>
      <c r="D16" s="83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5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6"/>
    </row>
    <row r="17" spans="1:34" s="14" customFormat="1" ht="19.5" customHeight="1" x14ac:dyDescent="0.2">
      <c r="A17" s="99"/>
      <c r="B17" s="96"/>
      <c r="C17" s="68"/>
      <c r="D17" s="90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2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2"/>
      <c r="AC17" s="50"/>
      <c r="AD17" s="50"/>
      <c r="AE17" s="50"/>
      <c r="AF17" s="50"/>
      <c r="AG17" s="50"/>
      <c r="AH17" s="56"/>
    </row>
    <row r="18" spans="1:34" s="14" customFormat="1" ht="21.75" customHeight="1" x14ac:dyDescent="0.2">
      <c r="A18" s="100"/>
      <c r="B18" s="97"/>
      <c r="C18" s="69"/>
      <c r="D18" s="90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2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6"/>
    </row>
    <row r="19" spans="1:34" s="14" customFormat="1" ht="21.75" customHeight="1" x14ac:dyDescent="0.2">
      <c r="A19" s="15"/>
      <c r="D19" s="16"/>
      <c r="E19" s="17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6"/>
    </row>
    <row r="20" spans="1:34" s="14" customFormat="1" ht="21.75" customHeight="1" thickBot="1" x14ac:dyDescent="0.25">
      <c r="A20" s="25" t="s">
        <v>11</v>
      </c>
      <c r="D20" s="16"/>
      <c r="E20" s="17"/>
      <c r="F20" s="18"/>
      <c r="G20" s="18"/>
      <c r="H20" s="18"/>
      <c r="I20" s="18"/>
      <c r="J20" s="18"/>
      <c r="K20" s="18"/>
      <c r="L20" s="18"/>
      <c r="M20" s="18"/>
      <c r="N20" s="18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6"/>
    </row>
    <row r="21" spans="1:34" s="14" customFormat="1" ht="20.100000000000001" customHeight="1" x14ac:dyDescent="0.2">
      <c r="A21" s="86" t="s">
        <v>2</v>
      </c>
      <c r="B21" s="88" t="s">
        <v>8</v>
      </c>
      <c r="C21" s="88" t="s">
        <v>1</v>
      </c>
      <c r="D21" s="93" t="s">
        <v>6</v>
      </c>
      <c r="E21" s="94"/>
      <c r="F21" s="18"/>
      <c r="G21" s="18"/>
      <c r="H21" s="18"/>
      <c r="I21" s="18"/>
      <c r="J21" s="18"/>
      <c r="K21" s="18"/>
      <c r="L21" s="18"/>
      <c r="M21" s="18"/>
      <c r="N21" s="18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6"/>
    </row>
    <row r="22" spans="1:34" s="14" customFormat="1" ht="20.100000000000001" customHeight="1" x14ac:dyDescent="0.2">
      <c r="A22" s="87"/>
      <c r="B22" s="89"/>
      <c r="C22" s="89"/>
      <c r="D22" s="27" t="s">
        <v>9</v>
      </c>
      <c r="E22" s="40" t="s">
        <v>10</v>
      </c>
      <c r="F22" s="18"/>
      <c r="G22" s="18"/>
      <c r="H22" s="18"/>
      <c r="I22" s="18"/>
      <c r="J22" s="63"/>
      <c r="K22" s="18"/>
      <c r="L22" s="18"/>
      <c r="M22" s="18"/>
      <c r="N22" s="18"/>
      <c r="P22" s="18"/>
    </row>
    <row r="23" spans="1:34" s="14" customFormat="1" ht="20.100000000000001" customHeight="1" x14ac:dyDescent="0.25">
      <c r="A23" s="41">
        <v>1</v>
      </c>
      <c r="B23" s="36" t="str">
        <f>B13</f>
        <v>Link Wireless   Hexindo to Pama Soulmate</v>
      </c>
      <c r="C23" s="37">
        <f>1-(((D23*3600)+(LEFT(E23,2)*60)+RIGHT(E23,2))/((60*60*24)*$C$8))</f>
        <v>1</v>
      </c>
      <c r="D23" s="38" t="str">
        <f>TEXT(SUM(D13:AG13),"[h]")</f>
        <v>0</v>
      </c>
      <c r="E23" s="42" t="str">
        <f>TEXT(SUM(D13:AF13),"mm ss")</f>
        <v>00 00</v>
      </c>
      <c r="F23" s="23"/>
      <c r="G23" s="18"/>
      <c r="H23" s="24"/>
      <c r="I23" s="18"/>
      <c r="J23" s="18"/>
      <c r="K23" s="18"/>
      <c r="L23" s="18"/>
      <c r="M23" s="18"/>
      <c r="N23" s="18"/>
      <c r="P23" s="18"/>
      <c r="AC23" s="31"/>
    </row>
    <row r="24" spans="1:34" s="14" customFormat="1" ht="20.100000000000001" customHeight="1" thickBot="1" x14ac:dyDescent="0.3">
      <c r="A24" s="43">
        <v>2</v>
      </c>
      <c r="B24" s="44" t="str">
        <f>B14</f>
        <v>Voip Gateway ( Link Telephone )</v>
      </c>
      <c r="C24" s="45">
        <f>1-(((D24*3600)+(LEFT(E24,2)*60)+RIGHT(E24,2))/((60*60*24)*$C$8))</f>
        <v>1</v>
      </c>
      <c r="D24" s="46" t="str">
        <f>TEXT(SUM(D14:AG14),"[h]")</f>
        <v>0</v>
      </c>
      <c r="E24" s="47" t="str">
        <f>TEXT(SUM(D14:AF14),"mm ss")</f>
        <v>00 00</v>
      </c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AC24" s="31"/>
    </row>
    <row r="25" spans="1:34" s="14" customFormat="1" ht="20.100000000000001" customHeight="1" x14ac:dyDescent="0.2">
      <c r="A25" s="15"/>
      <c r="D25" s="16"/>
      <c r="E25" s="17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AC25" s="31"/>
    </row>
    <row r="26" spans="1:34" s="14" customFormat="1" ht="21" customHeight="1" x14ac:dyDescent="0.2">
      <c r="A26" s="26" t="s">
        <v>14</v>
      </c>
      <c r="B26" s="19"/>
      <c r="C26" s="22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18"/>
      <c r="AC26" s="31"/>
    </row>
    <row r="27" spans="1:34" s="14" customFormat="1" ht="14.25" customHeight="1" x14ac:dyDescent="0.2">
      <c r="A27" s="35" t="s">
        <v>19</v>
      </c>
      <c r="B27"/>
      <c r="C27" s="27">
        <f>(SUM(C23:C24))/(100%*2)</f>
        <v>1</v>
      </c>
      <c r="D27" s="12"/>
      <c r="E27" s="13"/>
      <c r="F27" s="13"/>
      <c r="G27" s="13"/>
      <c r="H27" s="33"/>
      <c r="I27" s="13"/>
      <c r="J27" s="13"/>
      <c r="K27" s="13"/>
      <c r="L27" s="13"/>
      <c r="M27" s="13"/>
      <c r="N27" s="13"/>
      <c r="O27" s="13"/>
      <c r="P27" s="53"/>
      <c r="R27" s="52"/>
      <c r="T27" s="52"/>
    </row>
    <row r="28" spans="1:34" s="19" customFormat="1" x14ac:dyDescent="0.2">
      <c r="A28" s="2"/>
      <c r="B28"/>
      <c r="C28"/>
      <c r="D28" s="12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8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 x14ac:dyDescent="0.2">
      <c r="J29" s="52"/>
      <c r="P29" s="21"/>
      <c r="Q29" s="21"/>
      <c r="R29" s="21"/>
      <c r="S29" s="21"/>
      <c r="T29" s="21"/>
      <c r="U29" s="21"/>
      <c r="V29" s="5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19"/>
      <c r="AH29" s="19"/>
    </row>
    <row r="30" spans="1:34" ht="18" x14ac:dyDescent="0.25">
      <c r="F30" s="71"/>
      <c r="G30" s="72"/>
      <c r="H30" s="72"/>
      <c r="I30" s="72"/>
      <c r="J30" s="71"/>
      <c r="K30" s="71"/>
      <c r="L30" s="71"/>
    </row>
    <row r="31" spans="1:34" x14ac:dyDescent="0.2">
      <c r="F31" s="71"/>
      <c r="G31" s="71"/>
      <c r="H31" s="71"/>
      <c r="I31" s="71"/>
      <c r="J31" s="71"/>
      <c r="K31" s="71"/>
      <c r="L31" s="71"/>
    </row>
    <row r="34" spans="6:32" x14ac:dyDescent="0.2">
      <c r="J34" s="30"/>
    </row>
    <row r="35" spans="6:32" x14ac:dyDescent="0.2"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</row>
    <row r="40" spans="6:32" x14ac:dyDescent="0.2">
      <c r="F40" s="28"/>
      <c r="G40" s="29"/>
      <c r="H40" s="29"/>
      <c r="I40" s="29"/>
      <c r="J40" s="29"/>
      <c r="K40" s="29"/>
      <c r="L40" s="29"/>
      <c r="M40" s="29"/>
      <c r="N40" s="29"/>
      <c r="O40" s="29"/>
    </row>
    <row r="41" spans="6:32" x14ac:dyDescent="0.2">
      <c r="F41" s="28"/>
      <c r="G41" s="29"/>
      <c r="H41" s="29"/>
      <c r="I41" s="29"/>
      <c r="J41" s="29"/>
      <c r="K41" s="29"/>
      <c r="L41" s="29"/>
      <c r="M41" s="29"/>
      <c r="N41" s="29"/>
      <c r="O41" s="29"/>
    </row>
    <row r="42" spans="6:32" x14ac:dyDescent="0.2">
      <c r="F42" s="28"/>
      <c r="G42" s="29"/>
      <c r="H42" s="29"/>
      <c r="I42" s="29"/>
      <c r="J42" s="29"/>
      <c r="K42" s="52"/>
      <c r="L42" s="29"/>
      <c r="M42" s="29"/>
      <c r="N42" s="29"/>
      <c r="O42" s="29"/>
    </row>
    <row r="43" spans="6:32" x14ac:dyDescent="0.2">
      <c r="F43" s="28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</row>
    <row r="44" spans="6:32" x14ac:dyDescent="0.2">
      <c r="P44" s="29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</row>
    <row r="45" spans="6:32" x14ac:dyDescent="0.2">
      <c r="P45" s="29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</row>
    <row r="46" spans="6:32" x14ac:dyDescent="0.2">
      <c r="P46" s="29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</row>
  </sheetData>
  <sheetProtection formatRows="0"/>
  <mergeCells count="12">
    <mergeCell ref="A10:A11"/>
    <mergeCell ref="B10:B11"/>
    <mergeCell ref="C10:C11"/>
    <mergeCell ref="D16:O16"/>
    <mergeCell ref="A21:A22"/>
    <mergeCell ref="B21:B22"/>
    <mergeCell ref="C21:C22"/>
    <mergeCell ref="D17:O17"/>
    <mergeCell ref="D18:O18"/>
    <mergeCell ref="D21:E21"/>
    <mergeCell ref="B16:B18"/>
    <mergeCell ref="A16:A18"/>
  </mergeCells>
  <phoneticPr fontId="9" type="noConversion"/>
  <conditionalFormatting sqref="D15:O15">
    <cfRule type="cellIs" dxfId="38" priority="172" stopIfTrue="1" operator="greaterThan">
      <formula>0</formula>
    </cfRule>
  </conditionalFormatting>
  <conditionalFormatting sqref="X14">
    <cfRule type="cellIs" dxfId="37" priority="154" stopIfTrue="1" operator="greaterThan">
      <formula>0</formula>
    </cfRule>
  </conditionalFormatting>
  <conditionalFormatting sqref="F13 J13:K13">
    <cfRule type="cellIs" dxfId="36" priority="151" stopIfTrue="1" operator="greaterThan">
      <formula>0</formula>
    </cfRule>
  </conditionalFormatting>
  <conditionalFormatting sqref="P14 J14:K14">
    <cfRule type="cellIs" dxfId="35" priority="146" stopIfTrue="1" operator="greaterThan">
      <formula>0</formula>
    </cfRule>
  </conditionalFormatting>
  <conditionalFormatting sqref="AD13">
    <cfRule type="cellIs" dxfId="34" priority="131" stopIfTrue="1" operator="greaterThan">
      <formula>0</formula>
    </cfRule>
  </conditionalFormatting>
  <conditionalFormatting sqref="Y14">
    <cfRule type="cellIs" dxfId="33" priority="124" stopIfTrue="1" operator="greaterThan">
      <formula>0</formula>
    </cfRule>
  </conditionalFormatting>
  <conditionalFormatting sqref="F14">
    <cfRule type="cellIs" dxfId="32" priority="107" stopIfTrue="1" operator="greaterThan">
      <formula>0</formula>
    </cfRule>
  </conditionalFormatting>
  <conditionalFormatting sqref="AE13">
    <cfRule type="cellIs" dxfId="31" priority="105" stopIfTrue="1" operator="greaterThan">
      <formula>0</formula>
    </cfRule>
  </conditionalFormatting>
  <conditionalFormatting sqref="M13:N13">
    <cfRule type="cellIs" dxfId="30" priority="81" stopIfTrue="1" operator="greaterThan">
      <formula>0</formula>
    </cfRule>
  </conditionalFormatting>
  <conditionalFormatting sqref="L14">
    <cfRule type="cellIs" dxfId="29" priority="82" stopIfTrue="1" operator="greaterThan">
      <formula>0</formula>
    </cfRule>
  </conditionalFormatting>
  <conditionalFormatting sqref="AD14">
    <cfRule type="cellIs" dxfId="28" priority="77" stopIfTrue="1" operator="greaterThan">
      <formula>0</formula>
    </cfRule>
  </conditionalFormatting>
  <conditionalFormatting sqref="M14:N14">
    <cfRule type="cellIs" dxfId="27" priority="80" stopIfTrue="1" operator="greaterThan">
      <formula>0</formula>
    </cfRule>
  </conditionalFormatting>
  <conditionalFormatting sqref="AE14">
    <cfRule type="cellIs" dxfId="26" priority="76" stopIfTrue="1" operator="greaterThan">
      <formula>0</formula>
    </cfRule>
  </conditionalFormatting>
  <conditionalFormatting sqref="AB14">
    <cfRule type="cellIs" dxfId="25" priority="73" stopIfTrue="1" operator="greaterThan">
      <formula>0</formula>
    </cfRule>
  </conditionalFormatting>
  <conditionalFormatting sqref="AH13:AH14">
    <cfRule type="cellIs" dxfId="24" priority="69" stopIfTrue="1" operator="greaterThan">
      <formula>0</formula>
    </cfRule>
  </conditionalFormatting>
  <conditionalFormatting sqref="S15">
    <cfRule type="cellIs" dxfId="23" priority="63" stopIfTrue="1" operator="greaterThan">
      <formula>0</formula>
    </cfRule>
  </conditionalFormatting>
  <conditionalFormatting sqref="V29">
    <cfRule type="cellIs" dxfId="22" priority="49" stopIfTrue="1" operator="greaterThan">
      <formula>0</formula>
    </cfRule>
  </conditionalFormatting>
  <conditionalFormatting sqref="E14">
    <cfRule type="cellIs" dxfId="21" priority="47" stopIfTrue="1" operator="greaterThan">
      <formula>0</formula>
    </cfRule>
  </conditionalFormatting>
  <conditionalFormatting sqref="Q14 S13:S14">
    <cfRule type="cellIs" dxfId="20" priority="46" stopIfTrue="1" operator="greaterThan">
      <formula>0</formula>
    </cfRule>
  </conditionalFormatting>
  <conditionalFormatting sqref="T27">
    <cfRule type="cellIs" dxfId="19" priority="45" stopIfTrue="1" operator="greaterThan">
      <formula>0</formula>
    </cfRule>
  </conditionalFormatting>
  <conditionalFormatting sqref="AA14">
    <cfRule type="cellIs" dxfId="18" priority="43" stopIfTrue="1" operator="greaterThan">
      <formula>0</formula>
    </cfRule>
  </conditionalFormatting>
  <conditionalFormatting sqref="D13:D14">
    <cfRule type="cellIs" dxfId="17" priority="39" stopIfTrue="1" operator="greaterThan">
      <formula>0</formula>
    </cfRule>
  </conditionalFormatting>
  <conditionalFormatting sqref="J29">
    <cfRule type="cellIs" dxfId="16" priority="35" stopIfTrue="1" operator="greaterThan">
      <formula>0</formula>
    </cfRule>
  </conditionalFormatting>
  <conditionalFormatting sqref="R27">
    <cfRule type="cellIs" dxfId="15" priority="32" stopIfTrue="1" operator="greaterThan">
      <formula>0</formula>
    </cfRule>
  </conditionalFormatting>
  <conditionalFormatting sqref="AB17">
    <cfRule type="cellIs" dxfId="14" priority="28" stopIfTrue="1" operator="greaterThan">
      <formula>0</formula>
    </cfRule>
  </conditionalFormatting>
  <conditionalFormatting sqref="G14:I14 G13">
    <cfRule type="cellIs" dxfId="13" priority="19" stopIfTrue="1" operator="greaterThan">
      <formula>0</formula>
    </cfRule>
  </conditionalFormatting>
  <conditionalFormatting sqref="O14">
    <cfRule type="cellIs" dxfId="12" priority="18" stopIfTrue="1" operator="greaterThan">
      <formula>0</formula>
    </cfRule>
  </conditionalFormatting>
  <conditionalFormatting sqref="R13:R14">
    <cfRule type="cellIs" dxfId="11" priority="17" stopIfTrue="1" operator="greaterThan">
      <formula>0</formula>
    </cfRule>
  </conditionalFormatting>
  <conditionalFormatting sqref="T14:W14 U13:W13">
    <cfRule type="cellIs" dxfId="10" priority="16" stopIfTrue="1" operator="greaterThan">
      <formula>0</formula>
    </cfRule>
  </conditionalFormatting>
  <conditionalFormatting sqref="Z14">
    <cfRule type="cellIs" dxfId="9" priority="15" stopIfTrue="1" operator="greaterThan">
      <formula>0</formula>
    </cfRule>
  </conditionalFormatting>
  <conditionalFormatting sqref="AC13:AC14">
    <cfRule type="cellIs" dxfId="8" priority="14" stopIfTrue="1" operator="greaterThan">
      <formula>0</formula>
    </cfRule>
  </conditionalFormatting>
  <conditionalFormatting sqref="AF13:AG14">
    <cfRule type="cellIs" dxfId="7" priority="12" stopIfTrue="1" operator="greaterThan">
      <formula>0</formula>
    </cfRule>
  </conditionalFormatting>
  <conditionalFormatting sqref="L13">
    <cfRule type="cellIs" dxfId="6" priority="7" stopIfTrue="1" operator="greaterThan">
      <formula>0</formula>
    </cfRule>
  </conditionalFormatting>
  <conditionalFormatting sqref="T13">
    <cfRule type="cellIs" dxfId="5" priority="10" stopIfTrue="1" operator="greaterThan">
      <formula>0</formula>
    </cfRule>
  </conditionalFormatting>
  <conditionalFormatting sqref="H13:I13">
    <cfRule type="cellIs" dxfId="4" priority="9" stopIfTrue="1" operator="greaterThan">
      <formula>0</formula>
    </cfRule>
  </conditionalFormatting>
  <conditionalFormatting sqref="X13:AB13">
    <cfRule type="cellIs" dxfId="3" priority="3" stopIfTrue="1" operator="greaterThan">
      <formula>0</formula>
    </cfRule>
  </conditionalFormatting>
  <conditionalFormatting sqref="O13:Q13">
    <cfRule type="cellIs" dxfId="2" priority="5" stopIfTrue="1" operator="greaterThan">
      <formula>0</formula>
    </cfRule>
  </conditionalFormatting>
  <conditionalFormatting sqref="E13">
    <cfRule type="cellIs" dxfId="1" priority="2" stopIfTrue="1" operator="greaterThan">
      <formula>0</formula>
    </cfRule>
  </conditionalFormatting>
  <conditionalFormatting sqref="K42">
    <cfRule type="cellIs" dxfId="0" priority="1" stopIfTrue="1" operator="greaterThan">
      <formula>0</formula>
    </cfRule>
  </conditionalFormatting>
  <pageMargins left="0.75" right="0.25" top="1" bottom="1" header="0.5" footer="0.5"/>
  <pageSetup paperSize="9" scale="26" orientation="portrait" horizontalDpi="4294967292" verticalDpi="4294967292" r:id="rId1"/>
  <headerFooter alignWithMargins="0"/>
  <rowBreaks count="1" manualBreakCount="1">
    <brk id="28" max="16383" man="1"/>
  </rowBreaks>
  <colBreaks count="2" manualBreakCount="2">
    <brk id="3" max="1048575" man="1"/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LINK Hexindo - Pama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2023-11-02T02:51:28Z</dcterms:modified>
</cp:coreProperties>
</file>