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D27" i="11" l="1"/>
  <c r="D26" i="11"/>
  <c r="E26" i="11" l="1"/>
  <c r="C26" i="11" s="1"/>
  <c r="E27" i="11"/>
  <c r="B27" i="11"/>
  <c r="B26" i="11"/>
  <c r="C27" i="11" l="1"/>
  <c r="C30" i="11" l="1"/>
</calcChain>
</file>

<file path=xl/sharedStrings.xml><?xml version="1.0" encoding="utf-8"?>
<sst xmlns="http://schemas.openxmlformats.org/spreadsheetml/2006/main" count="61" uniqueCount="27">
  <si>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</si>
  <si>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</si>
  <si>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</si>
  <si>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</si>
  <si>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</si>
  <si>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</si>
  <si>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</si>
  <si>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</si>
  <si>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</si>
  <si>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</si>
  <si>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</si>
  <si>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</si>
  <si>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</si>
  <si>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</si>
  <si>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</si>
  <si>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</si>
  <si>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</si>
  <si>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</si>
  <si>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</si>
  <si>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</si>
  <si>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 xml:space="preserve">Remark </t>
  </si>
  <si>
    <t>Mei - 2023</t>
  </si>
  <si>
    <t>2 Mei 23</t>
  </si>
  <si>
    <t>4 Mei 23</t>
  </si>
  <si>
    <t xml:space="preserve">       Intermitten</t>
  </si>
  <si>
    <t xml:space="preserve">       Problem GenSet di PAMA  saoulmate</t>
  </si>
  <si>
    <t>27 Mei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</si>
</sst>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  <font>
      <sz val="12"/>
      <name val="Tahoma"/>
      <family val="2"/>
    </font>
    <font>
      <b/>
      <sz val="12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7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9" fontId="6" fillId="0" borderId="0"/>
  </cellStyleXfs>
  <cellXfs count="107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6" fillId="0" borderId="25" xfId="0" applyFont="1" applyBorder="1"/>
    <xf numFmtId="10" fontId="36" fillId="0" borderId="25" xfId="0" applyNumberFormat="1" applyFont="1" applyBorder="1" applyAlignment="1">
      <alignment horizontal="center"/>
    </xf>
    <xf numFmtId="46" fontId="36" fillId="0" borderId="25" xfId="0" applyNumberFormat="1" applyFont="1" applyBorder="1" applyAlignment="1">
      <alignment horizontal="center"/>
    </xf>
    <xf numFmtId="46" fontId="36" fillId="0" borderId="26" xfId="0" applyNumberFormat="1" applyFont="1" applyBorder="1" applyAlignment="1">
      <alignment horizontal="center"/>
    </xf>
    <xf numFmtId="0" fontId="37" fillId="0" borderId="3" xfId="0" applyFont="1" applyBorder="1"/>
    <xf numFmtId="16" fontId="8" fillId="0" borderId="3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0" fontId="0" fillId="0" borderId="1" xfId="0" applyBorder="1"/>
    <xf numFmtId="10" fontId="6" fillId="0" borderId="0" xfId="0" applyNumberFormat="1" applyFont="1" applyBorder="1" applyAlignment="1">
      <alignment horizontal="left" vertical="center" wrapText="1"/>
    </xf>
    <xf numFmtId="46" fontId="6" fillId="0" borderId="0" xfId="0" applyNumberFormat="1" applyFont="1" applyBorder="1"/>
    <xf numFmtId="46" fontId="0" fillId="0" borderId="0" xfId="0" applyNumberFormat="1" applyBorder="1"/>
    <xf numFmtId="9" fontId="13" fillId="0" borderId="0" xfId="0" applyNumberFormat="1" applyFont="1" applyBorder="1" applyAlignment="1">
      <alignment horizontal="center"/>
    </xf>
    <xf numFmtId="0" fontId="37" fillId="0" borderId="14" xfId="0" applyFont="1" applyBorder="1"/>
    <xf numFmtId="0" fontId="6" fillId="0" borderId="21" xfId="0" applyFont="1" applyBorder="1" applyAlignment="1">
      <alignment horizontal="center"/>
    </xf>
    <xf numFmtId="0" fontId="6" fillId="0" borderId="0" xfId="0" applyFont="1" applyBorder="1"/>
    <xf numFmtId="46" fontId="0" fillId="0" borderId="29" xfId="0" applyNumberFormat="1" applyBorder="1"/>
    <xf numFmtId="0" fontId="37" fillId="0" borderId="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0" fontId="37" fillId="0" borderId="29" xfId="0" applyFont="1" applyBorder="1"/>
    <xf numFmtId="0" fontId="37" fillId="0" borderId="29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horizontal="left" indent="4"/>
      <protection locked="0"/>
    </xf>
    <xf numFmtId="15" fontId="8" fillId="0" borderId="32" xfId="0" applyNumberFormat="1" applyFont="1" applyBorder="1" applyAlignment="1">
      <alignment horizontal="center" vertical="center" wrapText="1"/>
    </xf>
    <xf numFmtId="15" fontId="8" fillId="0" borderId="30" xfId="0" applyNumberFormat="1" applyFont="1" applyBorder="1" applyAlignment="1">
      <alignment horizontal="center" vertical="center" wrapText="1"/>
    </xf>
    <xf numFmtId="10" fontId="8" fillId="0" borderId="30" xfId="0" applyNumberFormat="1" applyFont="1" applyBorder="1" applyAlignment="1">
      <alignment horizontal="center" vertical="center" wrapText="1"/>
    </xf>
    <xf numFmtId="10" fontId="8" fillId="0" borderId="31" xfId="0" applyNumberFormat="1" applyFont="1" applyBorder="1" applyAlignment="1">
      <alignment horizontal="center" vertical="center" wrapText="1"/>
    </xf>
    <xf numFmtId="0" fontId="39" fillId="0" borderId="0" xfId="0" applyFont="1" applyAlignment="1"/>
    <xf numFmtId="0" fontId="39" fillId="0" borderId="0" xfId="0" applyFont="1"/>
    <xf numFmtId="21" fontId="39" fillId="0" borderId="0" xfId="0" applyNumberFormat="1" applyFont="1" applyAlignment="1"/>
    <xf numFmtId="21" fontId="39" fillId="0" borderId="0" xfId="0" applyNumberFormat="1" applyFont="1"/>
    <xf numFmtId="0" fontId="40" fillId="0" borderId="0" xfId="0" applyFont="1" applyFill="1" applyAlignment="1"/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6" fillId="0" borderId="28" xfId="0" applyNumberFormat="1" applyFont="1" applyBorder="1" applyAlignment="1">
      <alignment horizontal="left" vertical="center" wrapText="1"/>
    </xf>
    <xf numFmtId="10" fontId="6" fillId="0" borderId="33" xfId="0" applyNumberFormat="1" applyFont="1" applyBorder="1" applyAlignment="1">
      <alignment horizontal="left" vertical="center" wrapText="1"/>
    </xf>
    <xf numFmtId="10" fontId="6" fillId="0" borderId="31" xfId="0" applyNumberFormat="1" applyFont="1" applyBorder="1" applyAlignment="1">
      <alignment horizontal="left" vertical="center" wrapText="1"/>
    </xf>
    <xf numFmtId="10" fontId="6" fillId="0" borderId="3" xfId="0" applyNumberFormat="1" applyFont="1" applyBorder="1" applyAlignment="1">
      <alignment horizontal="left" vertical="center" wrapText="1"/>
    </xf>
    <xf numFmtId="10" fontId="6" fillId="0" borderId="29" xfId="0" applyNumberFormat="1" applyFont="1" applyBorder="1" applyAlignment="1">
      <alignment horizontal="left" vertical="center" wrapText="1"/>
    </xf>
    <xf numFmtId="10" fontId="6" fillId="0" borderId="30" xfId="0" applyNumberFormat="1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8" fillId="0" borderId="18" xfId="0" applyNumberFormat="1" applyFont="1" applyBorder="1" applyAlignment="1">
      <alignment horizontal="center"/>
    </xf>
    <xf numFmtId="10" fontId="8" fillId="0" borderId="23" xfId="0" applyNumberFormat="1" applyFont="1" applyBorder="1" applyAlignment="1">
      <alignment horizontal="center"/>
    </xf>
    <xf numFmtId="0" fontId="38" fillId="0" borderId="2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6" fontId="0" fillId="0" borderId="1" xfId="0" applyNumberFormat="1" applyFill="1" applyBorder="1"/>
    <xf numFmtId="46" fontId="0" fillId="0" borderId="2" xfId="0" applyNumberFormat="1" applyFill="1" applyBorder="1"/>
  </cellXfs>
  <cellStyles count="2137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Style 1" xfId="2136"/>
    <cellStyle name="Title" xfId="20" builtinId="15" customBuiltin="1"/>
    <cellStyle name="Total" xfId="35" builtinId="25" customBuiltin="1"/>
    <cellStyle name="Warning Text" xfId="33" builtinId="11" customBuiltin="1"/>
  </cellStyles>
  <dxfs count="3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K30" sqref="K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0.140625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  <col min="34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37" t="s">
        <v>21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81" t="s">
        <v>2</v>
      </c>
      <c r="B10" s="83" t="s">
        <v>0</v>
      </c>
      <c r="C10" s="85" t="s">
        <v>7</v>
      </c>
      <c r="D10" s="54">
        <v>44682</v>
      </c>
      <c r="E10" s="54">
        <v>44683</v>
      </c>
      <c r="F10" s="54">
        <v>44684</v>
      </c>
      <c r="G10" s="54">
        <v>44685</v>
      </c>
      <c r="H10" s="54">
        <v>44686</v>
      </c>
      <c r="I10" s="54">
        <v>44687</v>
      </c>
      <c r="J10" s="54">
        <v>44688</v>
      </c>
      <c r="K10" s="54">
        <v>44689</v>
      </c>
      <c r="L10" s="54">
        <v>44690</v>
      </c>
      <c r="M10" s="54">
        <v>44691</v>
      </c>
      <c r="N10" s="54">
        <v>44692</v>
      </c>
      <c r="O10" s="54">
        <v>44693</v>
      </c>
      <c r="P10" s="54">
        <v>44694</v>
      </c>
      <c r="Q10" s="54">
        <v>44695</v>
      </c>
      <c r="R10" s="54">
        <v>44696</v>
      </c>
      <c r="S10" s="54">
        <v>44697</v>
      </c>
      <c r="T10" s="54">
        <v>44698</v>
      </c>
      <c r="U10" s="54">
        <v>44699</v>
      </c>
      <c r="V10" s="54">
        <v>44700</v>
      </c>
      <c r="W10" s="54">
        <v>44701</v>
      </c>
      <c r="X10" s="54">
        <v>44702</v>
      </c>
      <c r="Y10" s="54">
        <v>44703</v>
      </c>
      <c r="Z10" s="54">
        <v>44704</v>
      </c>
      <c r="AA10" s="54">
        <v>44705</v>
      </c>
      <c r="AB10" s="54">
        <v>44706</v>
      </c>
      <c r="AC10" s="54">
        <v>44707</v>
      </c>
      <c r="AD10" s="54">
        <v>44708</v>
      </c>
      <c r="AE10" s="54">
        <v>44709</v>
      </c>
      <c r="AF10" s="54">
        <v>44710</v>
      </c>
      <c r="AG10" s="54">
        <v>44711</v>
      </c>
      <c r="AH10" s="55">
        <v>44712</v>
      </c>
    </row>
    <row r="11" spans="1:34" s="1" customFormat="1" x14ac:dyDescent="0.2">
      <c r="A11" s="82"/>
      <c r="B11" s="84"/>
      <c r="C11" s="86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43"/>
      <c r="B12" s="34"/>
      <c r="C12" s="5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  <c r="AH12" s="58"/>
    </row>
    <row r="13" spans="1:34" s="15" customFormat="1" ht="15" x14ac:dyDescent="0.25">
      <c r="A13" s="44">
        <v>1</v>
      </c>
      <c r="B13" s="53" t="s">
        <v>18</v>
      </c>
      <c r="C13" s="57" t="s">
        <v>16</v>
      </c>
      <c r="D13" s="105">
        <v>0</v>
      </c>
      <c r="E13" s="35">
        <v>7.1180555555555554E-3</v>
      </c>
      <c r="F13" s="105">
        <v>0</v>
      </c>
      <c r="G13" s="35">
        <v>3.5648148148148154E-3</v>
      </c>
      <c r="H13" s="105">
        <v>0</v>
      </c>
      <c r="I13" s="105">
        <v>0</v>
      </c>
      <c r="J13" s="105">
        <v>0</v>
      </c>
      <c r="K13" s="105">
        <v>0</v>
      </c>
      <c r="L13" s="105">
        <v>0</v>
      </c>
      <c r="M13" s="105">
        <v>0</v>
      </c>
      <c r="N13" s="105">
        <v>0</v>
      </c>
      <c r="O13" s="105">
        <v>0</v>
      </c>
      <c r="P13" s="105">
        <v>0</v>
      </c>
      <c r="Q13" s="105">
        <v>0</v>
      </c>
      <c r="R13" s="105">
        <v>0</v>
      </c>
      <c r="S13" s="105">
        <v>0</v>
      </c>
      <c r="T13" s="105">
        <v>0</v>
      </c>
      <c r="U13" s="105">
        <v>0</v>
      </c>
      <c r="V13" s="105">
        <v>0</v>
      </c>
      <c r="W13" s="105">
        <v>0</v>
      </c>
      <c r="X13" s="105">
        <v>0</v>
      </c>
      <c r="Y13" s="105">
        <v>0</v>
      </c>
      <c r="Z13" s="105">
        <v>0</v>
      </c>
      <c r="AA13" s="105">
        <v>0</v>
      </c>
      <c r="AB13" s="105">
        <v>0</v>
      </c>
      <c r="AC13" s="105">
        <v>0</v>
      </c>
      <c r="AD13" s="35">
        <v>3.5648148148148154E-3</v>
      </c>
      <c r="AE13" s="105">
        <v>0</v>
      </c>
      <c r="AF13" s="105">
        <v>0</v>
      </c>
      <c r="AG13" s="35">
        <v>0</v>
      </c>
      <c r="AH13" s="35">
        <v>0</v>
      </c>
    </row>
    <row r="14" spans="1:34" s="15" customFormat="1" ht="15" x14ac:dyDescent="0.25">
      <c r="A14" s="64">
        <v>2</v>
      </c>
      <c r="B14" s="63" t="s">
        <v>17</v>
      </c>
      <c r="C14" s="67" t="s">
        <v>16</v>
      </c>
      <c r="D14" s="106">
        <v>0</v>
      </c>
      <c r="E14" s="35">
        <v>7.1180555555555554E-3</v>
      </c>
      <c r="F14" s="106">
        <v>0</v>
      </c>
      <c r="G14" s="35">
        <v>3.5648148148148154E-3</v>
      </c>
      <c r="H14" s="105">
        <v>0</v>
      </c>
      <c r="I14" s="105">
        <v>0</v>
      </c>
      <c r="J14" s="106">
        <v>0</v>
      </c>
      <c r="K14" s="106">
        <v>0</v>
      </c>
      <c r="L14" s="106">
        <v>0</v>
      </c>
      <c r="M14" s="106">
        <v>0</v>
      </c>
      <c r="N14" s="106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Z14" s="105">
        <v>0</v>
      </c>
      <c r="AA14" s="105">
        <v>0</v>
      </c>
      <c r="AB14" s="105">
        <v>0</v>
      </c>
      <c r="AC14" s="105">
        <v>0</v>
      </c>
      <c r="AD14" s="35">
        <v>3.5648148148148154E-3</v>
      </c>
      <c r="AE14" s="105">
        <v>0</v>
      </c>
      <c r="AF14" s="105">
        <v>0</v>
      </c>
      <c r="AG14" s="35">
        <v>0</v>
      </c>
      <c r="AH14" s="35">
        <v>0</v>
      </c>
    </row>
    <row r="15" spans="1:34" s="15" customFormat="1" ht="18" customHeight="1" x14ac:dyDescent="0.25">
      <c r="A15" s="68"/>
      <c r="B15" s="69"/>
      <c r="C15" s="70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59"/>
      <c r="Q15" s="59"/>
      <c r="R15" s="59"/>
      <c r="S15" s="60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65"/>
    </row>
    <row r="16" spans="1:34" s="15" customFormat="1" ht="19.5" customHeight="1" x14ac:dyDescent="0.2">
      <c r="A16" s="102">
        <v>3</v>
      </c>
      <c r="B16" s="99" t="s">
        <v>20</v>
      </c>
      <c r="C16" s="72" t="s">
        <v>22</v>
      </c>
      <c r="D16" s="87" t="s">
        <v>25</v>
      </c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5"/>
    </row>
    <row r="17" spans="1:34" s="15" customFormat="1" ht="19.5" customHeight="1" x14ac:dyDescent="0.2">
      <c r="A17" s="103"/>
      <c r="B17" s="100"/>
      <c r="C17" s="73" t="s">
        <v>23</v>
      </c>
      <c r="D17" s="90" t="s">
        <v>24</v>
      </c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2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65"/>
    </row>
    <row r="18" spans="1:34" s="15" customFormat="1" ht="21.75" customHeight="1" x14ac:dyDescent="0.2">
      <c r="A18" s="103"/>
      <c r="B18" s="100"/>
      <c r="C18" s="74" t="s">
        <v>26</v>
      </c>
      <c r="D18" s="90" t="s">
        <v>24</v>
      </c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2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5"/>
    </row>
    <row r="19" spans="1:34" s="15" customFormat="1" ht="21.75" customHeight="1" x14ac:dyDescent="0.2">
      <c r="A19" s="103"/>
      <c r="B19" s="100"/>
      <c r="C19" s="75"/>
      <c r="D19" s="90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2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65"/>
    </row>
    <row r="20" spans="1:34" s="15" customFormat="1" ht="21.75" customHeight="1" x14ac:dyDescent="0.2">
      <c r="A20" s="103"/>
      <c r="B20" s="100"/>
      <c r="C20" s="74"/>
      <c r="D20" s="90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2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61"/>
      <c r="AC20" s="59"/>
      <c r="AD20" s="59"/>
      <c r="AE20" s="59"/>
      <c r="AF20" s="59"/>
      <c r="AG20" s="59"/>
      <c r="AH20" s="65"/>
    </row>
    <row r="21" spans="1:34" s="15" customFormat="1" ht="20.100000000000001" customHeight="1" x14ac:dyDescent="0.2">
      <c r="A21" s="104"/>
      <c r="B21" s="101"/>
      <c r="C21" s="75"/>
      <c r="D21" s="90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2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65"/>
    </row>
    <row r="22" spans="1:34" s="20" customFormat="1" x14ac:dyDescent="0.2">
      <c r="A22" s="16"/>
      <c r="B22" s="15"/>
      <c r="C22" s="15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33"/>
      <c r="AD22" s="15"/>
      <c r="AE22" s="15"/>
      <c r="AF22" s="15"/>
      <c r="AG22" s="15"/>
      <c r="AH22" s="15"/>
    </row>
    <row r="23" spans="1:34" ht="13.5" thickBot="1" x14ac:dyDescent="0.25">
      <c r="A23" s="27" t="s">
        <v>11</v>
      </c>
      <c r="B23" s="15"/>
      <c r="C23" s="15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5"/>
      <c r="P23" s="19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33"/>
      <c r="AD23" s="15"/>
      <c r="AE23" s="15"/>
      <c r="AF23" s="15"/>
      <c r="AG23" s="15"/>
      <c r="AH23" s="15"/>
    </row>
    <row r="24" spans="1:34" x14ac:dyDescent="0.2">
      <c r="A24" s="93" t="s">
        <v>2</v>
      </c>
      <c r="B24" s="95" t="s">
        <v>8</v>
      </c>
      <c r="C24" s="95" t="s">
        <v>1</v>
      </c>
      <c r="D24" s="97" t="s">
        <v>6</v>
      </c>
      <c r="E24" s="98"/>
      <c r="F24" s="19"/>
      <c r="G24" s="19"/>
      <c r="H24" s="19"/>
      <c r="I24" s="19"/>
      <c r="J24" s="19"/>
      <c r="K24" s="19"/>
      <c r="L24" s="19"/>
      <c r="M24" s="19"/>
      <c r="N24" s="19"/>
      <c r="O24" s="15"/>
      <c r="P24" s="19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33"/>
      <c r="AD24" s="15"/>
      <c r="AE24" s="15"/>
      <c r="AF24" s="15"/>
      <c r="AG24" s="15"/>
      <c r="AH24" s="15"/>
    </row>
    <row r="25" spans="1:34" x14ac:dyDescent="0.2">
      <c r="A25" s="94"/>
      <c r="B25" s="96"/>
      <c r="C25" s="96"/>
      <c r="D25" s="29" t="s">
        <v>9</v>
      </c>
      <c r="E25" s="45" t="s">
        <v>10</v>
      </c>
      <c r="F25" s="19"/>
      <c r="G25" s="19"/>
      <c r="H25" s="19"/>
      <c r="I25" s="19"/>
      <c r="J25" s="71"/>
      <c r="K25" s="19"/>
      <c r="L25" s="19"/>
      <c r="M25" s="19"/>
      <c r="N25" s="19"/>
      <c r="O25" s="15"/>
      <c r="P25" s="62"/>
      <c r="Q25" s="15"/>
      <c r="R25" s="61"/>
      <c r="S25" s="15"/>
      <c r="T25" s="61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</row>
    <row r="26" spans="1:34" ht="15.75" x14ac:dyDescent="0.25">
      <c r="A26" s="46">
        <v>1</v>
      </c>
      <c r="B26" s="39" t="str">
        <f>B13</f>
        <v>Link Wireless   Hexindo to Pama Soulmate</v>
      </c>
      <c r="C26" s="40">
        <f>1-(((D26*3600)+(LEFT(E26,2)*60)+RIGHT(E26,2))/((60*60*24)*$C$8))</f>
        <v>0.99954039725209076</v>
      </c>
      <c r="D26" s="41" t="str">
        <f>TEXT(SUM(D13:AG13),"[h]")</f>
        <v>0</v>
      </c>
      <c r="E26" s="47" t="str">
        <f>TEXT(SUM(D13:AF13),"mm ss")</f>
        <v>20 31</v>
      </c>
      <c r="F26" s="25"/>
      <c r="G26" s="19"/>
      <c r="H26" s="26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7" spans="1:34" ht="16.5" thickBot="1" x14ac:dyDescent="0.3">
      <c r="A27" s="48">
        <v>2</v>
      </c>
      <c r="B27" s="49" t="str">
        <f>B14</f>
        <v>Voip Gateway ( Link Telephone )</v>
      </c>
      <c r="C27" s="50">
        <f>1-(((D27*3600)+(LEFT(E27,2)*60)+RIGHT(E27,2))/((60*60*24)*$C$8))</f>
        <v>0.99954039725209076</v>
      </c>
      <c r="D27" s="51" t="str">
        <f>TEXT(SUM(D14:AG14),"[h]")</f>
        <v>0</v>
      </c>
      <c r="E27" s="52" t="str">
        <f>TEXT(SUM(D14:AF14),"mm ss")</f>
        <v>20 31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3"/>
      <c r="Q27" s="23"/>
      <c r="R27" s="23"/>
      <c r="S27" s="23"/>
      <c r="T27" s="23"/>
      <c r="U27" s="23"/>
      <c r="V27" s="60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0"/>
      <c r="AH27" s="20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1:34" x14ac:dyDescent="0.2">
      <c r="A29" s="28" t="s">
        <v>14</v>
      </c>
      <c r="B29" s="20"/>
      <c r="C29" s="24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34" x14ac:dyDescent="0.2">
      <c r="A30" s="38" t="s">
        <v>19</v>
      </c>
      <c r="C30" s="29">
        <f>(SUM(C26:C27))/(100%*2)</f>
        <v>0.99954039725209076</v>
      </c>
      <c r="H30" s="36"/>
    </row>
    <row r="32" spans="1:34" x14ac:dyDescent="0.2">
      <c r="F32" s="32"/>
      <c r="J32" s="61"/>
    </row>
    <row r="33" spans="6:32" ht="15" x14ac:dyDescent="0.2">
      <c r="F33" s="76"/>
      <c r="G33" s="80"/>
      <c r="H33" s="80"/>
      <c r="I33" s="80"/>
      <c r="J33" s="80"/>
      <c r="K33" s="76"/>
      <c r="L33" s="76"/>
      <c r="M33" s="76"/>
      <c r="N33" s="76"/>
      <c r="O33" s="76"/>
      <c r="P33" s="76"/>
      <c r="Q33" s="76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</row>
    <row r="34" spans="6:32" ht="15" x14ac:dyDescent="0.2"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7"/>
    </row>
    <row r="35" spans="6:32" ht="15" x14ac:dyDescent="0.2"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7"/>
    </row>
    <row r="36" spans="6:32" ht="15" x14ac:dyDescent="0.2"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7"/>
    </row>
    <row r="37" spans="6:32" ht="15" x14ac:dyDescent="0.2"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7"/>
    </row>
    <row r="38" spans="6:32" ht="15" x14ac:dyDescent="0.2"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7"/>
    </row>
    <row r="39" spans="6:32" ht="15" x14ac:dyDescent="0.2"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7"/>
    </row>
    <row r="40" spans="6:32" ht="15" x14ac:dyDescent="0.2"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7"/>
    </row>
    <row r="41" spans="6:32" ht="15" x14ac:dyDescent="0.2"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8"/>
      <c r="Q41" s="79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6:32" ht="15" x14ac:dyDescent="0.2"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8"/>
      <c r="Q42" s="79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6:32" ht="15" x14ac:dyDescent="0.2">
      <c r="F43" s="79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9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6:32" ht="15" x14ac:dyDescent="0.2">
      <c r="F44" s="79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9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spans="6:32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</row>
    <row r="46" spans="6:32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</row>
  </sheetData>
  <sheetProtection formatRows="0"/>
  <mergeCells count="15">
    <mergeCell ref="A24:A25"/>
    <mergeCell ref="B24:B25"/>
    <mergeCell ref="C24:C25"/>
    <mergeCell ref="D18:O18"/>
    <mergeCell ref="D19:O19"/>
    <mergeCell ref="D20:O20"/>
    <mergeCell ref="D21:O21"/>
    <mergeCell ref="D24:E24"/>
    <mergeCell ref="B16:B21"/>
    <mergeCell ref="A16:A21"/>
    <mergeCell ref="A10:A11"/>
    <mergeCell ref="B10:B11"/>
    <mergeCell ref="C10:C11"/>
    <mergeCell ref="D16:O16"/>
    <mergeCell ref="D17:O17"/>
  </mergeCells>
  <phoneticPr fontId="9" type="noConversion"/>
  <conditionalFormatting sqref="D15:O15">
    <cfRule type="cellIs" dxfId="32" priority="173" stopIfTrue="1" operator="greaterThan">
      <formula>0</formula>
    </cfRule>
  </conditionalFormatting>
  <conditionalFormatting sqref="X14">
    <cfRule type="cellIs" dxfId="31" priority="155" stopIfTrue="1" operator="greaterThan">
      <formula>0</formula>
    </cfRule>
  </conditionalFormatting>
  <conditionalFormatting sqref="Y13">
    <cfRule type="cellIs" dxfId="30" priority="154" stopIfTrue="1" operator="greaterThan">
      <formula>0</formula>
    </cfRule>
  </conditionalFormatting>
  <conditionalFormatting sqref="E13:F13 X13 J13:K13">
    <cfRule type="cellIs" dxfId="29" priority="152" stopIfTrue="1" operator="greaterThan">
      <formula>0</formula>
    </cfRule>
  </conditionalFormatting>
  <conditionalFormatting sqref="J14:K14">
    <cfRule type="cellIs" dxfId="28" priority="147" stopIfTrue="1" operator="greaterThan">
      <formula>0</formula>
    </cfRule>
  </conditionalFormatting>
  <conditionalFormatting sqref="AD13">
    <cfRule type="cellIs" dxfId="27" priority="132" stopIfTrue="1" operator="greaterThan">
      <formula>0</formula>
    </cfRule>
  </conditionalFormatting>
  <conditionalFormatting sqref="Y14">
    <cfRule type="cellIs" dxfId="26" priority="125" stopIfTrue="1" operator="greaterThan">
      <formula>0</formula>
    </cfRule>
  </conditionalFormatting>
  <conditionalFormatting sqref="F14">
    <cfRule type="cellIs" dxfId="25" priority="108" stopIfTrue="1" operator="greaterThan">
      <formula>0</formula>
    </cfRule>
  </conditionalFormatting>
  <conditionalFormatting sqref="L13">
    <cfRule type="cellIs" dxfId="24" priority="84" stopIfTrue="1" operator="greaterThan">
      <formula>0</formula>
    </cfRule>
  </conditionalFormatting>
  <conditionalFormatting sqref="L14">
    <cfRule type="cellIs" dxfId="23" priority="83" stopIfTrue="1" operator="greaterThan">
      <formula>0</formula>
    </cfRule>
  </conditionalFormatting>
  <conditionalFormatting sqref="M13:N13">
    <cfRule type="cellIs" dxfId="22" priority="82" stopIfTrue="1" operator="greaterThan">
      <formula>0</formula>
    </cfRule>
  </conditionalFormatting>
  <conditionalFormatting sqref="M14:N14">
    <cfRule type="cellIs" dxfId="21" priority="81" stopIfTrue="1" operator="greaterThan">
      <formula>0</formula>
    </cfRule>
  </conditionalFormatting>
  <conditionalFormatting sqref="AH13:AH14">
    <cfRule type="cellIs" dxfId="20" priority="70" stopIfTrue="1" operator="greaterThan">
      <formula>0</formula>
    </cfRule>
  </conditionalFormatting>
  <conditionalFormatting sqref="S15">
    <cfRule type="cellIs" dxfId="19" priority="64" stopIfTrue="1" operator="greaterThan">
      <formula>0</formula>
    </cfRule>
  </conditionalFormatting>
  <conditionalFormatting sqref="V27">
    <cfRule type="cellIs" dxfId="18" priority="50" stopIfTrue="1" operator="greaterThan">
      <formula>0</formula>
    </cfRule>
  </conditionalFormatting>
  <conditionalFormatting sqref="Q13:Q14 S13:S14">
    <cfRule type="cellIs" dxfId="17" priority="47" stopIfTrue="1" operator="greaterThan">
      <formula>0</formula>
    </cfRule>
  </conditionalFormatting>
  <conditionalFormatting sqref="T25">
    <cfRule type="cellIs" dxfId="16" priority="46" stopIfTrue="1" operator="greaterThan">
      <formula>0</formula>
    </cfRule>
  </conditionalFormatting>
  <conditionalFormatting sqref="AA13:AA14">
    <cfRule type="cellIs" dxfId="15" priority="44" stopIfTrue="1" operator="greaterThan">
      <formula>0</formula>
    </cfRule>
  </conditionalFormatting>
  <conditionalFormatting sqref="D13:D14">
    <cfRule type="cellIs" dxfId="14" priority="40" stopIfTrue="1" operator="greaterThan">
      <formula>0</formula>
    </cfRule>
  </conditionalFormatting>
  <conditionalFormatting sqref="AB20">
    <cfRule type="cellIs" dxfId="13" priority="29" stopIfTrue="1" operator="greaterThan">
      <formula>0</formula>
    </cfRule>
  </conditionalFormatting>
  <conditionalFormatting sqref="J32">
    <cfRule type="cellIs" dxfId="12" priority="36" stopIfTrue="1" operator="greaterThan">
      <formula>0</formula>
    </cfRule>
  </conditionalFormatting>
  <conditionalFormatting sqref="R25">
    <cfRule type="cellIs" dxfId="11" priority="33" stopIfTrue="1" operator="greaterThan">
      <formula>0</formula>
    </cfRule>
  </conditionalFormatting>
  <conditionalFormatting sqref="G13:I14">
    <cfRule type="cellIs" dxfId="10" priority="20" stopIfTrue="1" operator="greaterThan">
      <formula>0</formula>
    </cfRule>
  </conditionalFormatting>
  <conditionalFormatting sqref="O13:O14">
    <cfRule type="cellIs" dxfId="9" priority="19" stopIfTrue="1" operator="greaterThan">
      <formula>0</formula>
    </cfRule>
  </conditionalFormatting>
  <conditionalFormatting sqref="R13:R14">
    <cfRule type="cellIs" dxfId="8" priority="18" stopIfTrue="1" operator="greaterThan">
      <formula>0</formula>
    </cfRule>
  </conditionalFormatting>
  <conditionalFormatting sqref="T13:W14">
    <cfRule type="cellIs" dxfId="7" priority="17" stopIfTrue="1" operator="greaterThan">
      <formula>0</formula>
    </cfRule>
  </conditionalFormatting>
  <conditionalFormatting sqref="Z13:Z14">
    <cfRule type="cellIs" dxfId="6" priority="16" stopIfTrue="1" operator="greaterThan">
      <formula>0</formula>
    </cfRule>
  </conditionalFormatting>
  <conditionalFormatting sqref="AG13:AG14">
    <cfRule type="cellIs" dxfId="5" priority="13" stopIfTrue="1" operator="greaterThan">
      <formula>0</formula>
    </cfRule>
  </conditionalFormatting>
  <conditionalFormatting sqref="E14">
    <cfRule type="cellIs" dxfId="4" priority="11" stopIfTrue="1" operator="greaterThan">
      <formula>0</formula>
    </cfRule>
  </conditionalFormatting>
  <conditionalFormatting sqref="P13:P14">
    <cfRule type="cellIs" dxfId="3" priority="7" stopIfTrue="1" operator="greaterThan">
      <formula>0</formula>
    </cfRule>
  </conditionalFormatting>
  <conditionalFormatting sqref="AB13:AC14">
    <cfRule type="cellIs" dxfId="2" priority="5" stopIfTrue="1" operator="greaterThan">
      <formula>0</formula>
    </cfRule>
  </conditionalFormatting>
  <conditionalFormatting sqref="AD14">
    <cfRule type="cellIs" dxfId="1" priority="3" stopIfTrue="1" operator="greaterThan">
      <formula>0</formula>
    </cfRule>
  </conditionalFormatting>
  <conditionalFormatting sqref="AE13:AF14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6" orientation="portrait" horizontalDpi="4294967292" verticalDpi="4294967292" r:id="rId1"/>
  <headerFooter alignWithMargins="0"/>
  <rowBreaks count="1" manualBreakCount="1">
    <brk id="22" max="16383" man="1"/>
  </rowBreaks>
  <colBreaks count="2" manualBreakCount="2">
    <brk id="3" max="1048575" man="1"/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2023-05-31T02:02:12Z</dcterms:modified>
</cp:coreProperties>
</file>