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E27" i="11" l="1"/>
  <c r="E26" i="11"/>
  <c r="D27" i="11" l="1"/>
  <c r="D26" i="11"/>
  <c r="C26" i="11" l="1"/>
  <c r="B27" i="11"/>
  <c r="B26" i="11"/>
  <c r="C27" i="11" l="1"/>
  <c r="C30" i="11" l="1"/>
</calcChain>
</file>

<file path=xl/sharedStrings.xml><?xml version="1.0" encoding="utf-8"?>
<sst xmlns="http://schemas.openxmlformats.org/spreadsheetml/2006/main" count="57" uniqueCount="24">
  <si>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</si>
  <si>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</si>
  <si>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</si>
  <si>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</si>
  <si>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</si>
  <si>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</si>
  <si>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</si>
  <si>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</si>
  <si>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</si>
  <si>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</si>
  <si>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</si>
  <si>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</si>
  <si>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</si>
  <si>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</si>
  <si>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</si>
  <si>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</si>
  <si>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</si>
  <si>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</si>
  <si>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</si>
  <si>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</si>
  <si>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 xml:space="preserve">      Area TD Mati Lampu</t>
  </si>
  <si>
    <t>12 Juni 23</t>
  </si>
  <si>
    <t xml:space="preserve">      Intermitten</t>
  </si>
  <si>
    <t>17 juni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</si>
</sst>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  <font>
      <b/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2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6" fillId="0" borderId="30" xfId="0" applyFont="1" applyBorder="1"/>
    <xf numFmtId="10" fontId="36" fillId="0" borderId="30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46" fontId="36" fillId="0" borderId="31" xfId="0" applyNumberFormat="1" applyFont="1" applyBorder="1" applyAlignment="1">
      <alignment horizontal="center"/>
    </xf>
    <xf numFmtId="0" fontId="37" fillId="0" borderId="3" xfId="0" applyFont="1" applyBorder="1"/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4" xfId="0" applyNumberFormat="1" applyFont="1" applyBorder="1" applyAlignment="1">
      <alignment vertical="center" wrapText="1"/>
    </xf>
    <xf numFmtId="10" fontId="6" fillId="0" borderId="27" xfId="0" applyNumberFormat="1" applyFont="1" applyBorder="1" applyAlignment="1">
      <alignment vertical="center" wrapText="1"/>
    </xf>
    <xf numFmtId="46" fontId="0" fillId="0" borderId="1" xfId="0" applyNumberFormat="1" applyFill="1" applyBorder="1"/>
    <xf numFmtId="46" fontId="0" fillId="0" borderId="34" xfId="0" applyNumberFormat="1" applyBorder="1"/>
    <xf numFmtId="16" fontId="8" fillId="0" borderId="33" xfId="0" applyNumberFormat="1" applyFont="1" applyBorder="1" applyAlignment="1">
      <alignment horizontal="center"/>
    </xf>
    <xf numFmtId="0" fontId="0" fillId="0" borderId="37" xfId="0" applyBorder="1" applyAlignment="1">
      <alignment horizontal="left"/>
    </xf>
    <xf numFmtId="0" fontId="13" fillId="0" borderId="37" xfId="0" applyFont="1" applyBorder="1" applyAlignment="1">
      <alignment horizontal="left"/>
    </xf>
    <xf numFmtId="46" fontId="0" fillId="0" borderId="27" xfId="0" applyNumberFormat="1" applyFill="1" applyBorder="1"/>
    <xf numFmtId="46" fontId="0" fillId="0" borderId="27" xfId="0" applyNumberFormat="1" applyBorder="1"/>
    <xf numFmtId="10" fontId="6" fillId="0" borderId="36" xfId="0" applyNumberFormat="1" applyFont="1" applyBorder="1" applyAlignment="1">
      <alignment vertical="center" wrapText="1"/>
    </xf>
    <xf numFmtId="0" fontId="37" fillId="0" borderId="1" xfId="0" applyFont="1" applyBorder="1"/>
    <xf numFmtId="0" fontId="6" fillId="0" borderId="27" xfId="0" applyFont="1" applyBorder="1" applyAlignment="1">
      <alignment horizontal="center"/>
    </xf>
    <xf numFmtId="0" fontId="37" fillId="0" borderId="27" xfId="0" applyFont="1" applyBorder="1"/>
    <xf numFmtId="0" fontId="37" fillId="0" borderId="27" xfId="0" applyFont="1" applyBorder="1" applyAlignment="1">
      <alignment horizontal="center" vertical="center"/>
    </xf>
    <xf numFmtId="0" fontId="6" fillId="33" borderId="38" xfId="0" applyFont="1" applyFill="1" applyBorder="1" applyAlignment="1">
      <alignment horizontal="center"/>
    </xf>
    <xf numFmtId="0" fontId="37" fillId="33" borderId="38" xfId="0" applyFont="1" applyFill="1" applyBorder="1"/>
    <xf numFmtId="0" fontId="37" fillId="33" borderId="38" xfId="0" applyFont="1" applyFill="1" applyBorder="1" applyAlignment="1">
      <alignment horizontal="center" vertical="center"/>
    </xf>
    <xf numFmtId="46" fontId="0" fillId="33" borderId="38" xfId="0" applyNumberFormat="1" applyFill="1" applyBorder="1"/>
    <xf numFmtId="10" fontId="6" fillId="33" borderId="38" xfId="0" applyNumberFormat="1" applyFont="1" applyFill="1" applyBorder="1" applyAlignment="1">
      <alignment vertical="center" wrapText="1"/>
    </xf>
    <xf numFmtId="0" fontId="6" fillId="0" borderId="0" xfId="0" applyFont="1" applyBorder="1"/>
    <xf numFmtId="46" fontId="0" fillId="0" borderId="35" xfId="0" applyNumberFormat="1" applyBorder="1"/>
    <xf numFmtId="10" fontId="6" fillId="0" borderId="35" xfId="0" applyNumberFormat="1" applyFont="1" applyBorder="1" applyAlignment="1">
      <alignment vertical="center" wrapText="1"/>
    </xf>
    <xf numFmtId="16" fontId="8" fillId="0" borderId="40" xfId="0" applyNumberFormat="1" applyFont="1" applyBorder="1" applyAlignment="1">
      <alignment horizontal="center"/>
    </xf>
    <xf numFmtId="0" fontId="0" fillId="34" borderId="0" xfId="0" applyFill="1"/>
    <xf numFmtId="10" fontId="6" fillId="0" borderId="34" xfId="0" applyNumberFormat="1" applyFont="1" applyBorder="1" applyAlignment="1">
      <alignment horizontal="center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0" fontId="6" fillId="0" borderId="0" xfId="0" applyFont="1" applyFill="1" applyAlignment="1"/>
    <xf numFmtId="0" fontId="13" fillId="0" borderId="0" xfId="0" applyFont="1" applyFill="1" applyAlignment="1"/>
    <xf numFmtId="46" fontId="0" fillId="0" borderId="1" xfId="0" applyNumberFormat="1" applyBorder="1" applyAlignment="1">
      <alignment horizontal="center" vertical="center"/>
    </xf>
    <xf numFmtId="16" fontId="8" fillId="0" borderId="33" xfId="0" applyNumberFormat="1" applyFont="1" applyFill="1" applyBorder="1" applyAlignment="1">
      <alignment horizontal="center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10" fontId="6" fillId="0" borderId="3" xfId="0" applyNumberFormat="1" applyFont="1" applyBorder="1" applyAlignment="1">
      <alignment horizontal="center" vertical="center" wrapText="1"/>
    </xf>
    <xf numFmtId="10" fontId="6" fillId="0" borderId="34" xfId="0" applyNumberFormat="1" applyFont="1" applyBorder="1" applyAlignment="1">
      <alignment horizontal="center" vertical="center" wrapText="1"/>
    </xf>
    <xf numFmtId="10" fontId="6" fillId="0" borderId="26" xfId="0" applyNumberFormat="1" applyFont="1" applyBorder="1" applyAlignment="1">
      <alignment horizontal="center" vertical="center" wrapText="1"/>
    </xf>
    <xf numFmtId="10" fontId="6" fillId="0" borderId="27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5" fontId="8" fillId="0" borderId="3" xfId="0" applyNumberFormat="1" applyFont="1" applyBorder="1" applyAlignment="1">
      <alignment horizontal="center" vertical="center" wrapText="1"/>
    </xf>
    <xf numFmtId="165" fontId="8" fillId="0" borderId="35" xfId="0" applyNumberFormat="1" applyFont="1" applyBorder="1" applyAlignment="1">
      <alignment horizontal="center" vertical="center" wrapText="1"/>
    </xf>
    <xf numFmtId="15" fontId="8" fillId="0" borderId="26" xfId="0" applyNumberFormat="1" applyFont="1" applyBorder="1" applyAlignment="1">
      <alignment horizontal="center" vertical="center" wrapText="1"/>
    </xf>
    <xf numFmtId="15" fontId="8" fillId="0" borderId="36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15" fontId="39" fillId="0" borderId="3" xfId="0" applyNumberFormat="1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 wrapText="1"/>
    </xf>
    <xf numFmtId="14" fontId="6" fillId="0" borderId="35" xfId="0" applyNumberFormat="1" applyFont="1" applyBorder="1" applyAlignment="1">
      <alignment horizontal="center" vertical="center" wrapText="1"/>
    </xf>
    <xf numFmtId="10" fontId="6" fillId="0" borderId="18" xfId="0" applyNumberFormat="1" applyFont="1" applyBorder="1" applyAlignment="1">
      <alignment horizontal="left" vertical="center" wrapText="1"/>
    </xf>
    <xf numFmtId="10" fontId="6" fillId="0" borderId="39" xfId="0" applyNumberFormat="1" applyFont="1" applyBorder="1" applyAlignment="1">
      <alignment horizontal="left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6"/>
  <sheetViews>
    <sheetView tabSelected="1" zoomScale="80" zoomScaleNormal="80" workbookViewId="0">
      <selection activeCell="U35" sqref="U35"/>
    </sheetView>
  </sheetViews>
  <sheetFormatPr defaultRowHeight="12.75" x14ac:dyDescent="0.2"/>
  <cols>
    <col min="1" max="1" width="5.7109375" style="2" customWidth="1"/>
    <col min="2" max="2" width="48.5703125" customWidth="1"/>
    <col min="3" max="3" width="19.57031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9.42578125" style="14" customWidth="1"/>
    <col min="16" max="16" width="9.140625" style="14" customWidth="1"/>
    <col min="17" max="32" width="9.140625" customWidth="1"/>
    <col min="33" max="33" width="9.57031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45078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C9" s="61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33" s="3" customFormat="1" x14ac:dyDescent="0.2">
      <c r="A10" s="93" t="s">
        <v>2</v>
      </c>
      <c r="B10" s="95" t="s">
        <v>0</v>
      </c>
      <c r="C10" s="97" t="s">
        <v>7</v>
      </c>
      <c r="D10" s="86">
        <v>44348</v>
      </c>
      <c r="E10" s="86">
        <v>44349</v>
      </c>
      <c r="F10" s="86">
        <v>44350</v>
      </c>
      <c r="G10" s="86">
        <v>44351</v>
      </c>
      <c r="H10" s="86">
        <v>44352</v>
      </c>
      <c r="I10" s="86">
        <v>44353</v>
      </c>
      <c r="J10" s="86">
        <v>44354</v>
      </c>
      <c r="K10" s="86">
        <v>44355</v>
      </c>
      <c r="L10" s="86">
        <v>44356</v>
      </c>
      <c r="M10" s="86">
        <v>44357</v>
      </c>
      <c r="N10" s="86">
        <v>44358</v>
      </c>
      <c r="O10" s="86">
        <v>44359</v>
      </c>
      <c r="P10" s="86">
        <v>44360</v>
      </c>
      <c r="Q10" s="86">
        <v>44361</v>
      </c>
      <c r="R10" s="86">
        <v>44362</v>
      </c>
      <c r="S10" s="86">
        <v>44363</v>
      </c>
      <c r="T10" s="60">
        <v>44364</v>
      </c>
      <c r="U10" s="60">
        <v>44365</v>
      </c>
      <c r="V10" s="60">
        <v>44366</v>
      </c>
      <c r="W10" s="60">
        <v>44367</v>
      </c>
      <c r="X10" s="60">
        <v>44368</v>
      </c>
      <c r="Y10" s="60">
        <v>44369</v>
      </c>
      <c r="Z10" s="60">
        <v>44370</v>
      </c>
      <c r="AA10" s="60">
        <v>44371</v>
      </c>
      <c r="AB10" s="60">
        <v>44372</v>
      </c>
      <c r="AC10" s="60">
        <v>44373</v>
      </c>
      <c r="AD10" s="60">
        <v>44374</v>
      </c>
      <c r="AE10" s="60">
        <v>44375</v>
      </c>
      <c r="AF10" s="60">
        <v>44376</v>
      </c>
      <c r="AG10" s="78">
        <v>44377</v>
      </c>
    </row>
    <row r="11" spans="1:33" s="1" customFormat="1" x14ac:dyDescent="0.2">
      <c r="A11" s="94"/>
      <c r="B11" s="96"/>
      <c r="C11" s="9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5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55" t="s">
        <v>16</v>
      </c>
      <c r="D13" s="58">
        <v>7.4907407407407409E-2</v>
      </c>
      <c r="E13" s="58">
        <v>0</v>
      </c>
      <c r="F13" s="58">
        <v>0</v>
      </c>
      <c r="G13" s="58">
        <v>0</v>
      </c>
      <c r="H13" s="35">
        <v>0</v>
      </c>
      <c r="I13" s="35">
        <v>0</v>
      </c>
      <c r="J13" s="35">
        <v>0</v>
      </c>
      <c r="K13" s="35">
        <v>0</v>
      </c>
      <c r="L13" s="58">
        <v>0</v>
      </c>
      <c r="M13" s="35">
        <v>0</v>
      </c>
      <c r="N13" s="35">
        <v>0</v>
      </c>
      <c r="O13" s="35">
        <v>7.1296296296296307E-3</v>
      </c>
      <c r="P13" s="35">
        <v>0</v>
      </c>
      <c r="Q13" s="35">
        <v>0</v>
      </c>
      <c r="R13" s="35">
        <v>0</v>
      </c>
      <c r="S13" s="35">
        <v>0</v>
      </c>
      <c r="T13" s="35">
        <v>3.5648148148148154E-3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85">
        <v>1.068287037037037E-2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66" t="s">
        <v>17</v>
      </c>
      <c r="C14" s="55" t="s">
        <v>16</v>
      </c>
      <c r="D14" s="58">
        <v>7.4907407407407409E-2</v>
      </c>
      <c r="E14" s="58">
        <v>0</v>
      </c>
      <c r="F14" s="58">
        <v>0</v>
      </c>
      <c r="G14" s="58">
        <v>0</v>
      </c>
      <c r="H14" s="35">
        <v>0</v>
      </c>
      <c r="I14" s="35">
        <v>0</v>
      </c>
      <c r="J14" s="35">
        <v>0</v>
      </c>
      <c r="K14" s="35">
        <v>0</v>
      </c>
      <c r="L14" s="58">
        <v>0</v>
      </c>
      <c r="M14" s="35">
        <v>0</v>
      </c>
      <c r="N14" s="35">
        <v>0</v>
      </c>
      <c r="O14" s="35">
        <v>7.1296296296296307E-3</v>
      </c>
      <c r="P14" s="35">
        <v>0</v>
      </c>
      <c r="Q14" s="35">
        <v>0</v>
      </c>
      <c r="R14" s="58">
        <v>0</v>
      </c>
      <c r="S14" s="35">
        <v>0</v>
      </c>
      <c r="T14" s="35">
        <v>3.5648148148148154E-3</v>
      </c>
      <c r="U14" s="35">
        <v>0</v>
      </c>
      <c r="V14" s="35">
        <v>0</v>
      </c>
      <c r="W14" s="35">
        <v>0</v>
      </c>
      <c r="X14" s="58">
        <v>0</v>
      </c>
      <c r="Y14" s="58">
        <v>0</v>
      </c>
      <c r="Z14" s="85">
        <v>1.068287037037037E-2</v>
      </c>
      <c r="AA14" s="58">
        <v>0</v>
      </c>
      <c r="AB14" s="58">
        <v>0</v>
      </c>
      <c r="AC14" s="58">
        <v>0</v>
      </c>
      <c r="AD14" s="58">
        <v>0</v>
      </c>
      <c r="AE14" s="35">
        <v>0</v>
      </c>
      <c r="AF14" s="35">
        <v>0</v>
      </c>
      <c r="AG14" s="58">
        <v>0</v>
      </c>
    </row>
    <row r="15" spans="1:33" s="15" customFormat="1" ht="18" customHeight="1" thickBot="1" x14ac:dyDescent="0.3">
      <c r="A15" s="67"/>
      <c r="B15" s="68"/>
      <c r="C15" s="69"/>
      <c r="D15" s="63"/>
      <c r="E15" s="64"/>
      <c r="F15" s="64"/>
      <c r="G15" s="64"/>
      <c r="H15" s="64"/>
      <c r="I15" s="64"/>
      <c r="J15" s="64"/>
      <c r="K15" s="64"/>
      <c r="L15" s="63"/>
      <c r="M15" s="64"/>
      <c r="N15" s="64"/>
      <c r="O15" s="64"/>
      <c r="P15" s="64"/>
      <c r="Q15" s="64"/>
      <c r="R15" s="64"/>
      <c r="S15" s="64"/>
      <c r="T15" s="64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65"/>
    </row>
    <row r="16" spans="1:33" s="15" customFormat="1" ht="19.5" customHeight="1" thickBot="1" x14ac:dyDescent="0.3">
      <c r="A16" s="70"/>
      <c r="B16" s="71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</row>
    <row r="17" spans="1:33" s="15" customFormat="1" x14ac:dyDescent="0.2">
      <c r="A17" s="109"/>
      <c r="B17" s="111"/>
      <c r="C17" s="113">
        <v>45078</v>
      </c>
      <c r="D17" s="114"/>
      <c r="E17" s="118" t="s">
        <v>20</v>
      </c>
      <c r="F17" s="119"/>
      <c r="G17" s="119"/>
      <c r="H17" s="119"/>
      <c r="I17" s="119"/>
      <c r="J17" s="119"/>
      <c r="K17" s="119"/>
      <c r="L17" s="119"/>
      <c r="M17" s="59"/>
      <c r="N17" s="59"/>
      <c r="O17" s="59"/>
      <c r="P17" s="59"/>
      <c r="Q17" s="59"/>
      <c r="R17" s="59"/>
      <c r="S17" s="59"/>
      <c r="T17" s="76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</row>
    <row r="18" spans="1:33" s="15" customFormat="1" ht="15" customHeight="1" x14ac:dyDescent="0.2">
      <c r="A18" s="109"/>
      <c r="B18" s="111"/>
      <c r="C18" s="115" t="s">
        <v>21</v>
      </c>
      <c r="D18" s="114"/>
      <c r="E18" s="87" t="s">
        <v>22</v>
      </c>
      <c r="F18" s="88"/>
      <c r="G18" s="88"/>
      <c r="H18" s="88"/>
      <c r="I18" s="88"/>
      <c r="J18" s="88"/>
      <c r="K18" s="88"/>
      <c r="L18" s="88"/>
      <c r="M18" s="59"/>
      <c r="N18" s="59"/>
      <c r="O18" s="59"/>
      <c r="P18" s="59"/>
      <c r="Q18" s="59"/>
      <c r="R18" s="59"/>
      <c r="S18" s="59"/>
      <c r="T18" s="76"/>
      <c r="AC18" s="33"/>
    </row>
    <row r="19" spans="1:33" s="15" customFormat="1" ht="15" customHeight="1" x14ac:dyDescent="0.2">
      <c r="A19" s="109"/>
      <c r="B19" s="111"/>
      <c r="C19" s="116" t="s">
        <v>23</v>
      </c>
      <c r="D19" s="117"/>
      <c r="E19" s="87" t="s">
        <v>22</v>
      </c>
      <c r="F19" s="88"/>
      <c r="G19" s="88"/>
      <c r="H19" s="88"/>
      <c r="I19" s="88"/>
      <c r="J19" s="88"/>
      <c r="K19" s="88"/>
      <c r="L19" s="88"/>
      <c r="M19" s="80"/>
      <c r="N19" s="80"/>
      <c r="O19" s="56"/>
      <c r="P19" s="56"/>
      <c r="Q19" s="56"/>
      <c r="R19" s="56"/>
      <c r="S19" s="56"/>
      <c r="T19" s="77"/>
      <c r="AC19" s="33"/>
    </row>
    <row r="20" spans="1:33" s="15" customFormat="1" ht="15" customHeight="1" x14ac:dyDescent="0.2">
      <c r="A20" s="109"/>
      <c r="B20" s="111"/>
      <c r="C20" s="105"/>
      <c r="D20" s="106"/>
      <c r="E20" s="89"/>
      <c r="F20" s="90"/>
      <c r="G20" s="90"/>
      <c r="H20" s="90"/>
      <c r="I20" s="90"/>
      <c r="J20" s="90"/>
      <c r="K20" s="90"/>
      <c r="L20" s="90"/>
      <c r="M20" s="81"/>
      <c r="N20" s="81"/>
      <c r="O20" s="81"/>
      <c r="P20" s="56"/>
      <c r="Q20" s="56"/>
      <c r="R20" s="56"/>
      <c r="S20" s="56"/>
      <c r="T20" s="77"/>
      <c r="AC20" s="33"/>
    </row>
    <row r="21" spans="1:33" s="15" customFormat="1" ht="15" customHeight="1" thickBot="1" x14ac:dyDescent="0.25">
      <c r="A21" s="110"/>
      <c r="B21" s="112"/>
      <c r="C21" s="107"/>
      <c r="D21" s="108"/>
      <c r="E21" s="91"/>
      <c r="F21" s="92"/>
      <c r="G21" s="92"/>
      <c r="H21" s="92"/>
      <c r="I21" s="92"/>
      <c r="J21" s="92"/>
      <c r="K21" s="92"/>
      <c r="L21" s="92"/>
      <c r="M21" s="82"/>
      <c r="N21" s="82"/>
      <c r="O21" s="82"/>
      <c r="P21" s="57"/>
      <c r="Q21" s="57"/>
      <c r="R21" s="57"/>
      <c r="S21" s="57"/>
      <c r="T21" s="65"/>
      <c r="AC21" s="33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15" customFormat="1" ht="13.5" thickBot="1" x14ac:dyDescent="0.25">
      <c r="A23" s="27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</row>
    <row r="24" spans="1:33" s="20" customFormat="1" x14ac:dyDescent="0.2">
      <c r="A24" s="101" t="s">
        <v>2</v>
      </c>
      <c r="B24" s="103" t="s">
        <v>8</v>
      </c>
      <c r="C24" s="103" t="s">
        <v>1</v>
      </c>
      <c r="D24" s="99" t="s">
        <v>6</v>
      </c>
      <c r="E24" s="100"/>
      <c r="F24" s="19"/>
      <c r="G24" s="19"/>
      <c r="H24" s="19"/>
      <c r="I24" s="19"/>
      <c r="J24" s="19"/>
      <c r="K24" s="19"/>
      <c r="L24" s="19"/>
      <c r="M24" s="19"/>
      <c r="N24" s="19"/>
      <c r="O24" s="15"/>
      <c r="P24" s="19"/>
      <c r="Q24" s="15"/>
      <c r="R24" s="15"/>
      <c r="S24" s="15"/>
      <c r="T24" s="15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spans="1:33" x14ac:dyDescent="0.2">
      <c r="A25" s="102"/>
      <c r="B25" s="104"/>
      <c r="C25" s="104"/>
      <c r="D25" s="29" t="s">
        <v>9</v>
      </c>
      <c r="E25" s="45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</row>
    <row r="26" spans="1:33" ht="15.75" x14ac:dyDescent="0.25">
      <c r="A26" s="46">
        <v>1</v>
      </c>
      <c r="B26" s="39" t="str">
        <f>B13</f>
        <v>Link Wireless   Hexindo to Pama Soulmate</v>
      </c>
      <c r="C26" s="40">
        <f>1-(((D26*3600)+(LEFT(E26,2)*60)+RIGHT(E26,2))/((60*60*24)*$C$8))</f>
        <v>0.99679050925925927</v>
      </c>
      <c r="D26" s="41" t="str">
        <f>TEXT(SUM(D13:AG13),"[h]")</f>
        <v>2</v>
      </c>
      <c r="E26" s="47" t="str">
        <f>TEXT(SUM(D13:AG13),"mm ss")</f>
        <v>18 39</v>
      </c>
      <c r="F26" s="25"/>
      <c r="G26" s="19"/>
      <c r="H26" s="26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</row>
    <row r="27" spans="1:33" ht="16.5" thickBot="1" x14ac:dyDescent="0.3">
      <c r="A27" s="48">
        <v>2</v>
      </c>
      <c r="B27" s="49" t="str">
        <f>B14</f>
        <v>Voip Gateway ( Link Telephone )</v>
      </c>
      <c r="C27" s="50">
        <f>1-(((D27*3600)+(LEFT(E27,2)*60)+RIGHT(E27,2))/((60*60*24)*$C$8))</f>
        <v>0.99679050925925927</v>
      </c>
      <c r="D27" s="51" t="str">
        <f>TEXT(SUM(D14:AG14),"[h]")</f>
        <v>2</v>
      </c>
      <c r="E27" s="52" t="str">
        <f>TEXT(SUM(D14:AG14),"mm ss")</f>
        <v>18 39</v>
      </c>
      <c r="F27" s="19"/>
      <c r="G27" s="19"/>
      <c r="H27" s="83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</row>
    <row r="28" spans="1:33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</row>
    <row r="29" spans="1:33" x14ac:dyDescent="0.2">
      <c r="A29" s="28" t="s">
        <v>14</v>
      </c>
      <c r="B29" s="20"/>
      <c r="C29" s="2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 spans="1:33" x14ac:dyDescent="0.2">
      <c r="A30" s="38" t="s">
        <v>19</v>
      </c>
      <c r="C30" s="29">
        <f>(SUM(C26:C27))/(100%*2)</f>
        <v>0.99679050925925927</v>
      </c>
      <c r="H30" s="36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2" spans="1:33" x14ac:dyDescent="0.2">
      <c r="B32" s="79"/>
    </row>
    <row r="33" spans="1:32" x14ac:dyDescent="0.2">
      <c r="A33" s="18"/>
    </row>
    <row r="34" spans="1:32" x14ac:dyDescent="0.2">
      <c r="B34" s="15"/>
    </row>
    <row r="35" spans="1:32" x14ac:dyDescent="0.2">
      <c r="G35" s="84"/>
      <c r="Q35" s="32"/>
      <c r="R35" s="32"/>
      <c r="S35" s="32"/>
      <c r="T35" s="32"/>
    </row>
    <row r="37" spans="1:32" x14ac:dyDescent="0.2">
      <c r="J37" s="32"/>
    </row>
    <row r="38" spans="1:32" x14ac:dyDescent="0.2"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spans="1:32" x14ac:dyDescent="0.2"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1:32" x14ac:dyDescent="0.2"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x14ac:dyDescent="0.2"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3" spans="1:32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</row>
    <row r="44" spans="1:32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</row>
    <row r="45" spans="1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</row>
    <row r="46" spans="1:32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</row>
  </sheetData>
  <mergeCells count="19">
    <mergeCell ref="D24:E24"/>
    <mergeCell ref="A24:A25"/>
    <mergeCell ref="B24:B25"/>
    <mergeCell ref="C24:C25"/>
    <mergeCell ref="C20:D20"/>
    <mergeCell ref="C21:D21"/>
    <mergeCell ref="A17:A21"/>
    <mergeCell ref="B17:B21"/>
    <mergeCell ref="C17:D17"/>
    <mergeCell ref="C18:D18"/>
    <mergeCell ref="C19:D19"/>
    <mergeCell ref="E17:L17"/>
    <mergeCell ref="E18:L18"/>
    <mergeCell ref="E19:L19"/>
    <mergeCell ref="E20:L20"/>
    <mergeCell ref="E21:L21"/>
    <mergeCell ref="A10:A11"/>
    <mergeCell ref="B10:B11"/>
    <mergeCell ref="C10:C11"/>
  </mergeCells>
  <phoneticPr fontId="9" type="noConversion"/>
  <conditionalFormatting sqref="D15:T16 M17:T18">
    <cfRule type="cellIs" dxfId="41" priority="141" stopIfTrue="1" operator="greaterThan">
      <formula>0</formula>
    </cfRule>
  </conditionalFormatting>
  <conditionalFormatting sqref="Y13:AA13 AC13">
    <cfRule type="cellIs" dxfId="40" priority="122" stopIfTrue="1" operator="greaterThan">
      <formula>0</formula>
    </cfRule>
  </conditionalFormatting>
  <conditionalFormatting sqref="X13 J13:K13 P13:Q13">
    <cfRule type="cellIs" dxfId="39" priority="120" stopIfTrue="1" operator="greaterThan">
      <formula>0</formula>
    </cfRule>
  </conditionalFormatting>
  <conditionalFormatting sqref="P14 J14:K14">
    <cfRule type="cellIs" dxfId="38" priority="115" stopIfTrue="1" operator="greaterThan">
      <formula>0</formula>
    </cfRule>
  </conditionalFormatting>
  <conditionalFormatting sqref="AF13">
    <cfRule type="cellIs" dxfId="37" priority="110" stopIfTrue="1" operator="greaterThan">
      <formula>0</formula>
    </cfRule>
  </conditionalFormatting>
  <conditionalFormatting sqref="AF14">
    <cfRule type="cellIs" dxfId="36" priority="109" stopIfTrue="1" operator="greaterThan">
      <formula>0</formula>
    </cfRule>
  </conditionalFormatting>
  <conditionalFormatting sqref="R13">
    <cfRule type="cellIs" dxfId="35" priority="88" stopIfTrue="1" operator="greaterThan">
      <formula>0</formula>
    </cfRule>
  </conditionalFormatting>
  <conditionalFormatting sqref="S14">
    <cfRule type="cellIs" dxfId="34" priority="72" stopIfTrue="1" operator="greaterThan">
      <formula>0</formula>
    </cfRule>
  </conditionalFormatting>
  <conditionalFormatting sqref="S13">
    <cfRule type="cellIs" dxfId="33" priority="73" stopIfTrue="1" operator="greaterThan">
      <formula>0</formula>
    </cfRule>
  </conditionalFormatting>
  <conditionalFormatting sqref="U13">
    <cfRule type="cellIs" dxfId="32" priority="69" stopIfTrue="1" operator="greaterThan">
      <formula>0</formula>
    </cfRule>
  </conditionalFormatting>
  <conditionalFormatting sqref="U14">
    <cfRule type="cellIs" dxfId="31" priority="68" stopIfTrue="1" operator="greaterThan">
      <formula>0</formula>
    </cfRule>
  </conditionalFormatting>
  <conditionalFormatting sqref="V13">
    <cfRule type="cellIs" dxfId="30" priority="67" stopIfTrue="1" operator="greaterThan">
      <formula>0</formula>
    </cfRule>
  </conditionalFormatting>
  <conditionalFormatting sqref="V14">
    <cfRule type="cellIs" dxfId="29" priority="66" stopIfTrue="1" operator="greaterThan">
      <formula>0</formula>
    </cfRule>
  </conditionalFormatting>
  <conditionalFormatting sqref="W13">
    <cfRule type="cellIs" dxfId="28" priority="65" stopIfTrue="1" operator="greaterThan">
      <formula>0</formula>
    </cfRule>
  </conditionalFormatting>
  <conditionalFormatting sqref="W14">
    <cfRule type="cellIs" dxfId="27" priority="64" stopIfTrue="1" operator="greaterThan">
      <formula>0</formula>
    </cfRule>
  </conditionalFormatting>
  <conditionalFormatting sqref="L13">
    <cfRule type="cellIs" dxfId="26" priority="52" stopIfTrue="1" operator="greaterThan">
      <formula>0</formula>
    </cfRule>
  </conditionalFormatting>
  <conditionalFormatting sqref="M13:O13">
    <cfRule type="cellIs" dxfId="25" priority="50" stopIfTrue="1" operator="greaterThan">
      <formula>0</formula>
    </cfRule>
  </conditionalFormatting>
  <conditionalFormatting sqref="M14:N14">
    <cfRule type="cellIs" dxfId="24" priority="49" stopIfTrue="1" operator="greaterThan">
      <formula>0</formula>
    </cfRule>
  </conditionalFormatting>
  <conditionalFormatting sqref="AG13">
    <cfRule type="cellIs" dxfId="23" priority="48" stopIfTrue="1" operator="greaterThan">
      <formula>0</formula>
    </cfRule>
  </conditionalFormatting>
  <conditionalFormatting sqref="AB13">
    <cfRule type="cellIs" dxfId="22" priority="42" stopIfTrue="1" operator="greaterThan">
      <formula>0</formula>
    </cfRule>
  </conditionalFormatting>
  <conditionalFormatting sqref="AD13:AE13 AE14">
    <cfRule type="cellIs" dxfId="21" priority="40" stopIfTrue="1" operator="greaterThan">
      <formula>0</formula>
    </cfRule>
  </conditionalFormatting>
  <conditionalFormatting sqref="L14">
    <cfRule type="cellIs" dxfId="20" priority="37" stopIfTrue="1" operator="greaterThan">
      <formula>0</formula>
    </cfRule>
  </conditionalFormatting>
  <conditionalFormatting sqref="D13">
    <cfRule type="cellIs" dxfId="19" priority="36" stopIfTrue="1" operator="greaterThan">
      <formula>0</formula>
    </cfRule>
  </conditionalFormatting>
  <conditionalFormatting sqref="H13">
    <cfRule type="cellIs" dxfId="18" priority="25" stopIfTrue="1" operator="greaterThan">
      <formula>0</formula>
    </cfRule>
  </conditionalFormatting>
  <conditionalFormatting sqref="H14">
    <cfRule type="cellIs" dxfId="17" priority="24" stopIfTrue="1" operator="greaterThan">
      <formula>0</formula>
    </cfRule>
  </conditionalFormatting>
  <conditionalFormatting sqref="I14">
    <cfRule type="cellIs" dxfId="16" priority="23" stopIfTrue="1" operator="greaterThan">
      <formula>0</formula>
    </cfRule>
  </conditionalFormatting>
  <conditionalFormatting sqref="I13">
    <cfRule type="cellIs" dxfId="15" priority="22" stopIfTrue="1" operator="greaterThan">
      <formula>0</formula>
    </cfRule>
  </conditionalFormatting>
  <conditionalFormatting sqref="Q14">
    <cfRule type="cellIs" dxfId="14" priority="21" stopIfTrue="1" operator="greaterThan">
      <formula>0</formula>
    </cfRule>
  </conditionalFormatting>
  <conditionalFormatting sqref="G13:G14">
    <cfRule type="cellIs" dxfId="13" priority="20" stopIfTrue="1" operator="greaterThan">
      <formula>0</formula>
    </cfRule>
  </conditionalFormatting>
  <conditionalFormatting sqref="R14">
    <cfRule type="cellIs" dxfId="12" priority="19" stopIfTrue="1" operator="greaterThan">
      <formula>0</formula>
    </cfRule>
  </conditionalFormatting>
  <conditionalFormatting sqref="X14:Y14 AA14:AD14">
    <cfRule type="cellIs" dxfId="10" priority="17" stopIfTrue="1" operator="greaterThan">
      <formula>0</formula>
    </cfRule>
  </conditionalFormatting>
  <conditionalFormatting sqref="AG14">
    <cfRule type="cellIs" dxfId="9" priority="15" stopIfTrue="1" operator="greaterThan">
      <formula>0</formula>
    </cfRule>
  </conditionalFormatting>
  <conditionalFormatting sqref="D14">
    <cfRule type="cellIs" dxfId="8" priority="13" stopIfTrue="1" operator="greaterThan">
      <formula>0</formula>
    </cfRule>
  </conditionalFormatting>
  <conditionalFormatting sqref="E13:F14">
    <cfRule type="cellIs" dxfId="7" priority="9" stopIfTrue="1" operator="greaterThan">
      <formula>0</formula>
    </cfRule>
  </conditionalFormatting>
  <conditionalFormatting sqref="O14">
    <cfRule type="cellIs" dxfId="6" priority="7" stopIfTrue="1" operator="greaterThan">
      <formula>0</formula>
    </cfRule>
  </conditionalFormatting>
  <conditionalFormatting sqref="T13">
    <cfRule type="cellIs" dxfId="5" priority="5" stopIfTrue="1" operator="greaterThan">
      <formula>0</formula>
    </cfRule>
  </conditionalFormatting>
  <conditionalFormatting sqref="Z14">
    <cfRule type="cellIs" dxfId="4" priority="3" stopIfTrue="1" operator="greaterThan">
      <formula>0</formula>
    </cfRule>
  </conditionalFormatting>
  <conditionalFormatting sqref="T14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2023-07-02T23:35:51Z</dcterms:modified>
</cp:coreProperties>
</file>