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9" i="11" l="1"/>
  <c r="D28" i="11"/>
  <c r="E28" i="11" l="1"/>
  <c r="C28" i="11" s="1"/>
  <c r="E29" i="11"/>
  <c r="B29" i="11"/>
  <c r="B28" i="11"/>
  <c r="C29" i="11" l="1"/>
  <c r="C32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<sst xmlns="http://schemas.openxmlformats.org/spreadsheetml/2006/main" count="55" uniqueCount="23">
  <si>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</si>
  <si>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</si>
  <si>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</si>
  <si>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</si>
  <si>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</si>
  <si>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</si>
  <si>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</si>
  <si>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</si>
  <si>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</si>
  <si>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</si>
  <si>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</si>
  <si>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</si>
  <si>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</si>
  <si>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</si>
  <si>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</si>
  <si>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</si>
  <si>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</si>
  <si>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</si>
  <si>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</si>
  <si>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</si>
  <si>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</si>
  <si>
    <t xml:space="preserve">          Problem Genset at PAMA Soulmate</t>
  </si>
  <si>
    <t xml:space="preserve">  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</si>
</sst>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vertical="center" wrapText="1"/>
    </xf>
    <xf numFmtId="10" fontId="6" fillId="0" borderId="35" xfId="0" applyNumberFormat="1" applyFont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16" fontId="8" fillId="0" borderId="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37" fillId="0" borderId="14" xfId="0" applyFont="1" applyBorder="1"/>
    <xf numFmtId="0" fontId="37" fillId="0" borderId="3" xfId="0" applyFont="1" applyBorder="1" applyAlignment="1">
      <alignment horizontal="center" vertical="center"/>
    </xf>
    <xf numFmtId="46" fontId="0" fillId="0" borderId="34" xfId="0" applyNumberFormat="1" applyBorder="1"/>
    <xf numFmtId="46" fontId="0" fillId="0" borderId="35" xfId="0" applyNumberFormat="1" applyBorder="1"/>
    <xf numFmtId="10" fontId="8" fillId="0" borderId="34" xfId="0" applyNumberFormat="1" applyFont="1" applyBorder="1" applyAlignment="1">
      <alignment vertical="center" wrapText="1"/>
    </xf>
    <xf numFmtId="0" fontId="37" fillId="0" borderId="3" xfId="0" applyNumberFormat="1" applyFont="1" applyBorder="1" applyAlignment="1">
      <alignment horizontal="center" vertical="center"/>
    </xf>
    <xf numFmtId="0" fontId="37" fillId="0" borderId="35" xfId="0" applyNumberFormat="1" applyFont="1" applyBorder="1" applyAlignment="1">
      <alignment horizontal="center" vertical="center"/>
    </xf>
    <xf numFmtId="46" fontId="0" fillId="0" borderId="3" xfId="0" applyNumberFormat="1" applyBorder="1" applyAlignment="1">
      <alignment horizontal="center"/>
    </xf>
    <xf numFmtId="46" fontId="0" fillId="0" borderId="34" xfId="0" applyNumberFormat="1" applyBorder="1" applyAlignment="1">
      <alignment horizontal="center"/>
    </xf>
    <xf numFmtId="15" fontId="8" fillId="0" borderId="3" xfId="0" applyNumberFormat="1" applyFont="1" applyBorder="1" applyAlignment="1">
      <alignment horizontal="center" vertical="center" wrapText="1"/>
    </xf>
    <xf numFmtId="0" fontId="8" fillId="0" borderId="35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8" fillId="0" borderId="3" xfId="0" applyNumberFormat="1" applyFont="1" applyBorder="1" applyAlignment="1">
      <alignment horizontal="left" vertical="center" wrapText="1"/>
    </xf>
    <xf numFmtId="10" fontId="8" fillId="0" borderId="34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0" fontId="8" fillId="0" borderId="37" xfId="0" applyNumberFormat="1" applyFont="1" applyBorder="1" applyAlignment="1">
      <alignment horizontal="center" vertical="center" wrapText="1"/>
    </xf>
    <xf numFmtId="0" fontId="6" fillId="0" borderId="26" xfId="0" applyNumberFormat="1" applyFont="1" applyBorder="1" applyAlignment="1">
      <alignment horizontal="center" vertical="center" wrapText="1"/>
    </xf>
    <xf numFmtId="0" fontId="6" fillId="0" borderId="36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8"/>
  <sheetViews>
    <sheetView tabSelected="1" zoomScale="80" zoomScaleNormal="80" workbookViewId="0">
      <selection activeCell="H40" sqref="H40"/>
    </sheetView>
  </sheetViews>
  <sheetFormatPr defaultRowHeight="12.75" x14ac:dyDescent="0.2"/>
  <cols>
    <col min="1" max="1" width="5.7109375" style="2" customWidth="1"/>
    <col min="2" max="2" width="45.5703125" customWidth="1"/>
    <col min="3" max="3" width="16.140625" bestFit="1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45017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74" t="s">
        <v>2</v>
      </c>
      <c r="B10" s="76" t="s">
        <v>0</v>
      </c>
      <c r="C10" s="78" t="s">
        <v>7</v>
      </c>
      <c r="D10" s="54">
        <v>44287</v>
      </c>
      <c r="E10" s="54">
        <v>44288</v>
      </c>
      <c r="F10" s="54">
        <v>44289</v>
      </c>
      <c r="G10" s="54">
        <v>44290</v>
      </c>
      <c r="H10" s="54">
        <v>44291</v>
      </c>
      <c r="I10" s="54">
        <v>44292</v>
      </c>
      <c r="J10" s="54">
        <v>44293</v>
      </c>
      <c r="K10" s="54">
        <v>44294</v>
      </c>
      <c r="L10" s="54">
        <v>44295</v>
      </c>
      <c r="M10" s="54">
        <v>44296</v>
      </c>
      <c r="N10" s="54">
        <v>44297</v>
      </c>
      <c r="O10" s="54">
        <v>44298</v>
      </c>
      <c r="P10" s="54">
        <v>44299</v>
      </c>
      <c r="Q10" s="54">
        <v>44300</v>
      </c>
      <c r="R10" s="54">
        <v>44301</v>
      </c>
      <c r="S10" s="54">
        <v>44302</v>
      </c>
      <c r="T10" s="54">
        <v>44303</v>
      </c>
      <c r="U10" s="54">
        <v>44304</v>
      </c>
      <c r="V10" s="54">
        <v>44305</v>
      </c>
      <c r="W10" s="54">
        <v>44306</v>
      </c>
      <c r="X10" s="54">
        <v>44307</v>
      </c>
      <c r="Y10" s="54">
        <v>44308</v>
      </c>
      <c r="Z10" s="54">
        <v>44309</v>
      </c>
      <c r="AA10" s="54">
        <v>44310</v>
      </c>
      <c r="AB10" s="54">
        <v>44311</v>
      </c>
      <c r="AC10" s="54">
        <v>44312</v>
      </c>
      <c r="AD10" s="54">
        <v>44313</v>
      </c>
      <c r="AE10" s="54">
        <v>44314</v>
      </c>
      <c r="AF10" s="54">
        <v>44315</v>
      </c>
      <c r="AG10" s="61">
        <v>44316</v>
      </c>
    </row>
    <row r="11" spans="1:33" s="1" customFormat="1" x14ac:dyDescent="0.2">
      <c r="A11" s="75"/>
      <c r="B11" s="77"/>
      <c r="C11" s="7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6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60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4.8449074074074082E-2</v>
      </c>
      <c r="V13" s="35">
        <v>0</v>
      </c>
      <c r="W13" s="35">
        <v>1.4155092592592592E-2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53" t="s">
        <v>17</v>
      </c>
      <c r="C14" s="56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4.8449074074074082E-2</v>
      </c>
      <c r="V14" s="35">
        <v>0</v>
      </c>
      <c r="W14" s="35">
        <v>1.4155092592592592E-2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5" x14ac:dyDescent="0.25">
      <c r="A15" s="62"/>
      <c r="B15" s="63"/>
      <c r="C15" s="64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6"/>
    </row>
    <row r="16" spans="1:33" s="15" customFormat="1" ht="18" customHeight="1" x14ac:dyDescent="0.2">
      <c r="A16" s="93">
        <v>3</v>
      </c>
      <c r="B16" s="96" t="s">
        <v>20</v>
      </c>
      <c r="C16" s="72">
        <v>45034</v>
      </c>
      <c r="D16" s="73"/>
      <c r="E16" s="86" t="s">
        <v>21</v>
      </c>
      <c r="F16" s="87"/>
      <c r="G16" s="87"/>
      <c r="H16" s="87"/>
      <c r="I16" s="87"/>
      <c r="J16" s="87"/>
      <c r="K16" s="87"/>
      <c r="L16" s="87"/>
      <c r="M16" s="87"/>
      <c r="N16" s="87"/>
      <c r="O16" s="67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6"/>
    </row>
    <row r="17" spans="1:33" s="15" customFormat="1" ht="18" customHeight="1" x14ac:dyDescent="0.2">
      <c r="A17" s="94"/>
      <c r="B17" s="97"/>
      <c r="C17" s="72">
        <v>45036</v>
      </c>
      <c r="D17" s="90"/>
      <c r="E17" s="87" t="s">
        <v>22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6"/>
    </row>
    <row r="18" spans="1:33" s="15" customFormat="1" ht="18" customHeight="1" x14ac:dyDescent="0.2">
      <c r="A18" s="94"/>
      <c r="B18" s="97"/>
      <c r="C18" s="68"/>
      <c r="D18" s="69"/>
      <c r="E18" s="70"/>
      <c r="F18" s="71"/>
      <c r="G18" s="71"/>
      <c r="H18" s="71"/>
      <c r="I18" s="71"/>
      <c r="J18" s="71"/>
      <c r="K18" s="71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6"/>
    </row>
    <row r="19" spans="1:33" s="15" customFormat="1" ht="18" customHeight="1" x14ac:dyDescent="0.2">
      <c r="A19" s="94"/>
      <c r="B19" s="97"/>
      <c r="C19" s="68"/>
      <c r="D19" s="69"/>
      <c r="E19" s="70"/>
      <c r="F19" s="71"/>
      <c r="G19" s="71"/>
      <c r="H19" s="71"/>
      <c r="I19" s="71"/>
      <c r="J19" s="71"/>
      <c r="K19" s="71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/>
    </row>
    <row r="20" spans="1:33" s="15" customFormat="1" ht="18" customHeight="1" x14ac:dyDescent="0.2">
      <c r="A20" s="94"/>
      <c r="B20" s="97"/>
      <c r="C20" s="68"/>
      <c r="D20" s="69"/>
      <c r="E20" s="70"/>
      <c r="F20" s="71"/>
      <c r="G20" s="71"/>
      <c r="H20" s="71"/>
      <c r="I20" s="71"/>
      <c r="J20" s="71"/>
      <c r="K20" s="71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6"/>
    </row>
    <row r="21" spans="1:33" s="15" customFormat="1" ht="18" customHeight="1" x14ac:dyDescent="0.2">
      <c r="A21" s="94"/>
      <c r="B21" s="97"/>
      <c r="C21" s="72"/>
      <c r="D21" s="73"/>
      <c r="E21" s="86"/>
      <c r="F21" s="87"/>
      <c r="G21" s="87"/>
      <c r="H21" s="87"/>
      <c r="I21" s="87"/>
      <c r="J21" s="87"/>
      <c r="K21" s="87"/>
      <c r="L21" s="87"/>
      <c r="M21" s="87"/>
      <c r="N21" s="87"/>
      <c r="O21" s="6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8"/>
    </row>
    <row r="22" spans="1:33" s="15" customFormat="1" ht="19.5" customHeight="1" x14ac:dyDescent="0.2">
      <c r="A22" s="94"/>
      <c r="B22" s="97"/>
      <c r="C22" s="72"/>
      <c r="D22" s="90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spans="1:33" s="15" customFormat="1" ht="21.75" customHeight="1" thickBot="1" x14ac:dyDescent="0.25">
      <c r="A23" s="95"/>
      <c r="B23" s="98"/>
      <c r="C23" s="91"/>
      <c r="D23" s="92"/>
      <c r="E23" s="88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15" customFormat="1" ht="13.5" thickBot="1" x14ac:dyDescent="0.25">
      <c r="A25" s="27" t="s">
        <v>11</v>
      </c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3"/>
    </row>
    <row r="26" spans="1:33" s="15" customFormat="1" x14ac:dyDescent="0.2">
      <c r="A26" s="82" t="s">
        <v>2</v>
      </c>
      <c r="B26" s="84" t="s">
        <v>8</v>
      </c>
      <c r="C26" s="84" t="s">
        <v>1</v>
      </c>
      <c r="D26" s="80" t="s">
        <v>6</v>
      </c>
      <c r="E26" s="81"/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3"/>
    </row>
    <row r="27" spans="1:33" s="15" customFormat="1" x14ac:dyDescent="0.2">
      <c r="A27" s="83"/>
      <c r="B27" s="85"/>
      <c r="C27" s="85"/>
      <c r="D27" s="29" t="s">
        <v>9</v>
      </c>
      <c r="E27" s="45" t="s">
        <v>10</v>
      </c>
      <c r="F27" s="19"/>
      <c r="G27" s="19"/>
      <c r="H27" s="19"/>
      <c r="I27" s="19"/>
      <c r="J27" s="19"/>
      <c r="K27" s="19"/>
      <c r="L27" s="19"/>
      <c r="M27" s="19"/>
      <c r="N27" s="19"/>
      <c r="P27" s="19"/>
      <c r="AC27" s="33"/>
    </row>
    <row r="28" spans="1:33" s="15" customFormat="1" ht="15.75" x14ac:dyDescent="0.25">
      <c r="A28" s="46">
        <v>1</v>
      </c>
      <c r="B28" s="39" t="str">
        <f>B13</f>
        <v>Link Wireless   Hexindo to Pama Soulmate</v>
      </c>
      <c r="C28" s="40">
        <f>1-(((D28*3600)+(LEFT(E28,2)*60)+RIGHT(E28,2))/((60*60*24)*$C$8))</f>
        <v>0.99791319444444448</v>
      </c>
      <c r="D28" s="41" t="str">
        <f>TEXT(SUM(D13:AG13),"[h]")</f>
        <v>1</v>
      </c>
      <c r="E28" s="47" t="str">
        <f>TEXT(SUM(D13:AF13),"mm ss")</f>
        <v>30 09</v>
      </c>
      <c r="F28" s="25"/>
      <c r="G28" s="19"/>
      <c r="H28" s="26"/>
      <c r="I28" s="19"/>
      <c r="J28" s="19"/>
      <c r="K28" s="19"/>
      <c r="L28" s="19"/>
      <c r="M28" s="19"/>
      <c r="N28" s="19"/>
      <c r="P28" s="19"/>
      <c r="AC28" s="33"/>
    </row>
    <row r="29" spans="1:33" s="15" customFormat="1" ht="16.5" thickBot="1" x14ac:dyDescent="0.3">
      <c r="A29" s="48">
        <v>2</v>
      </c>
      <c r="B29" s="49" t="str">
        <f>B14</f>
        <v>Voip Gateway ( Link Telephone )</v>
      </c>
      <c r="C29" s="50">
        <f>1-(((D29*3600)+(LEFT(E29,2)*60)+RIGHT(E29,2))/((60*60*24)*$C$8))</f>
        <v>0.99791319444444448</v>
      </c>
      <c r="D29" s="51" t="str">
        <f>TEXT(SUM(D14:AG14),"[h]")</f>
        <v>1</v>
      </c>
      <c r="E29" s="52" t="str">
        <f>TEXT(SUM(D14:AF14),"mm ss")</f>
        <v>30 09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33" s="15" customFormat="1" x14ac:dyDescent="0.2">
      <c r="A30" s="16"/>
      <c r="D30" s="17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33" s="20" customFormat="1" x14ac:dyDescent="0.2">
      <c r="A31" s="28" t="s">
        <v>14</v>
      </c>
      <c r="C31" s="24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spans="1:33" x14ac:dyDescent="0.2">
      <c r="A32" s="38" t="s">
        <v>19</v>
      </c>
      <c r="C32" s="29">
        <f>(SUM(C28:C29))/(100%*2)</f>
        <v>0.99791319444444448</v>
      </c>
      <c r="H32" s="36"/>
    </row>
    <row r="35" spans="1:32" x14ac:dyDescent="0.2">
      <c r="A35" s="18"/>
    </row>
    <row r="36" spans="1:32" x14ac:dyDescent="0.2">
      <c r="B36" s="15"/>
    </row>
    <row r="37" spans="1:32" x14ac:dyDescent="0.2"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9" spans="1:32" x14ac:dyDescent="0.2">
      <c r="J39" s="32"/>
    </row>
    <row r="45" spans="1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1:32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x14ac:dyDescent="0.2">
      <c r="F47" s="30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1:32" x14ac:dyDescent="0.2">
      <c r="F48" s="30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</sheetData>
  <mergeCells count="25">
    <mergeCell ref="C21:D21"/>
    <mergeCell ref="A10:A11"/>
    <mergeCell ref="B10:B11"/>
    <mergeCell ref="C10:C11"/>
    <mergeCell ref="D26:E26"/>
    <mergeCell ref="A26:A27"/>
    <mergeCell ref="B26:B27"/>
    <mergeCell ref="C26:C27"/>
    <mergeCell ref="E21:N21"/>
    <mergeCell ref="E22:O22"/>
    <mergeCell ref="E23:O23"/>
    <mergeCell ref="C22:D22"/>
    <mergeCell ref="C23:D23"/>
    <mergeCell ref="A16:A23"/>
    <mergeCell ref="B16:B23"/>
    <mergeCell ref="C16:D16"/>
    <mergeCell ref="C17:D17"/>
    <mergeCell ref="C18:D18"/>
    <mergeCell ref="C19:D19"/>
    <mergeCell ref="C20:D20"/>
    <mergeCell ref="E18:K18"/>
    <mergeCell ref="E19:K19"/>
    <mergeCell ref="E20:K20"/>
    <mergeCell ref="E16:N16"/>
    <mergeCell ref="E17:O17"/>
  </mergeCells>
  <phoneticPr fontId="9" type="noConversion"/>
  <conditionalFormatting sqref="Z14:Z20">
    <cfRule type="cellIs" dxfId="40" priority="111" stopIfTrue="1" operator="greaterThan">
      <formula>0</formula>
    </cfRule>
  </conditionalFormatting>
  <conditionalFormatting sqref="X14:X20">
    <cfRule type="cellIs" dxfId="39" priority="93" stopIfTrue="1" operator="greaterThan">
      <formula>0</formula>
    </cfRule>
  </conditionalFormatting>
  <conditionalFormatting sqref="Y13:AA13 AC13">
    <cfRule type="cellIs" dxfId="38" priority="92" stopIfTrue="1" operator="greaterThan">
      <formula>0</formula>
    </cfRule>
  </conditionalFormatting>
  <conditionalFormatting sqref="P13:Q13 E13:G13 X13 I13:K13">
    <cfRule type="cellIs" dxfId="37" priority="90" stopIfTrue="1" operator="greaterThan">
      <formula>0</formula>
    </cfRule>
  </conditionalFormatting>
  <conditionalFormatting sqref="P14:Q20 I14:K15">
    <cfRule type="cellIs" dxfId="36" priority="85" stopIfTrue="1" operator="greaterThan">
      <formula>0</formula>
    </cfRule>
  </conditionalFormatting>
  <conditionalFormatting sqref="AC14:AC20">
    <cfRule type="cellIs" dxfId="35" priority="82" stopIfTrue="1" operator="greaterThan">
      <formula>0</formula>
    </cfRule>
  </conditionalFormatting>
  <conditionalFormatting sqref="AF13">
    <cfRule type="cellIs" dxfId="34" priority="80" stopIfTrue="1" operator="greaterThan">
      <formula>0</formula>
    </cfRule>
  </conditionalFormatting>
  <conditionalFormatting sqref="AF14:AF20">
    <cfRule type="cellIs" dxfId="33" priority="79" stopIfTrue="1" operator="greaterThan">
      <formula>0</formula>
    </cfRule>
  </conditionalFormatting>
  <conditionalFormatting sqref="AA14:AA20">
    <cfRule type="cellIs" dxfId="32" priority="69" stopIfTrue="1" operator="greaterThan">
      <formula>0</formula>
    </cfRule>
  </conditionalFormatting>
  <conditionalFormatting sqref="E14:E15 E18:E20">
    <cfRule type="cellIs" dxfId="31" priority="67" stopIfTrue="1" operator="greaterThan">
      <formula>0</formula>
    </cfRule>
  </conditionalFormatting>
  <conditionalFormatting sqref="G14:G15">
    <cfRule type="cellIs" dxfId="30" priority="66" stopIfTrue="1" operator="greaterThan">
      <formula>0</formula>
    </cfRule>
  </conditionalFormatting>
  <conditionalFormatting sqref="Y14:Y20">
    <cfRule type="cellIs" dxfId="29" priority="63" stopIfTrue="1" operator="greaterThan">
      <formula>0</formula>
    </cfRule>
  </conditionalFormatting>
  <conditionalFormatting sqref="R13">
    <cfRule type="cellIs" dxfId="28" priority="58" stopIfTrue="1" operator="greaterThan">
      <formula>0</formula>
    </cfRule>
  </conditionalFormatting>
  <conditionalFormatting sqref="R14:R20">
    <cfRule type="cellIs" dxfId="27" priority="57" stopIfTrue="1" operator="greaterThan">
      <formula>0</formula>
    </cfRule>
  </conditionalFormatting>
  <conditionalFormatting sqref="H13">
    <cfRule type="cellIs" dxfId="26" priority="48" stopIfTrue="1" operator="greaterThan">
      <formula>0</formula>
    </cfRule>
  </conditionalFormatting>
  <conditionalFormatting sqref="H14:H15">
    <cfRule type="cellIs" dxfId="25" priority="47" stopIfTrue="1" operator="greaterThan">
      <formula>0</formula>
    </cfRule>
  </conditionalFormatting>
  <conditionalFormatting sqref="F14:F15">
    <cfRule type="cellIs" dxfId="24" priority="46" stopIfTrue="1" operator="greaterThan">
      <formula>0</formula>
    </cfRule>
  </conditionalFormatting>
  <conditionalFormatting sqref="S13">
    <cfRule type="cellIs" dxfId="23" priority="43" stopIfTrue="1" operator="greaterThan">
      <formula>0</formula>
    </cfRule>
  </conditionalFormatting>
  <conditionalFormatting sqref="S14:S20">
    <cfRule type="cellIs" dxfId="22" priority="42" stopIfTrue="1" operator="greaterThan">
      <formula>0</formula>
    </cfRule>
  </conditionalFormatting>
  <conditionalFormatting sqref="T13">
    <cfRule type="cellIs" dxfId="21" priority="41" stopIfTrue="1" operator="greaterThan">
      <formula>0</formula>
    </cfRule>
  </conditionalFormatting>
  <conditionalFormatting sqref="T14:T20">
    <cfRule type="cellIs" dxfId="20" priority="40" stopIfTrue="1" operator="greaterThan">
      <formula>0</formula>
    </cfRule>
  </conditionalFormatting>
  <conditionalFormatting sqref="U13">
    <cfRule type="cellIs" dxfId="19" priority="39" stopIfTrue="1" operator="greaterThan">
      <formula>0</formula>
    </cfRule>
  </conditionalFormatting>
  <conditionalFormatting sqref="U15:U20">
    <cfRule type="cellIs" dxfId="18" priority="38" stopIfTrue="1" operator="greaterThan">
      <formula>0</formula>
    </cfRule>
  </conditionalFormatting>
  <conditionalFormatting sqref="V13">
    <cfRule type="cellIs" dxfId="17" priority="37" stopIfTrue="1" operator="greaterThan">
      <formula>0</formula>
    </cfRule>
  </conditionalFormatting>
  <conditionalFormatting sqref="V14:V20">
    <cfRule type="cellIs" dxfId="16" priority="36" stopIfTrue="1" operator="greaterThan">
      <formula>0</formula>
    </cfRule>
  </conditionalFormatting>
  <conditionalFormatting sqref="W13">
    <cfRule type="cellIs" dxfId="15" priority="35" stopIfTrue="1" operator="greaterThan">
      <formula>0</formula>
    </cfRule>
  </conditionalFormatting>
  <conditionalFormatting sqref="W15:W20">
    <cfRule type="cellIs" dxfId="14" priority="34" stopIfTrue="1" operator="greaterThan">
      <formula>0</formula>
    </cfRule>
  </conditionalFormatting>
  <conditionalFormatting sqref="L13">
    <cfRule type="cellIs" dxfId="13" priority="22" stopIfTrue="1" operator="greaterThan">
      <formula>0</formula>
    </cfRule>
  </conditionalFormatting>
  <conditionalFormatting sqref="M14:O15 M18:O20">
    <cfRule type="cellIs" dxfId="12" priority="19" stopIfTrue="1" operator="greaterThan">
      <formula>0</formula>
    </cfRule>
  </conditionalFormatting>
  <conditionalFormatting sqref="M13:O13">
    <cfRule type="cellIs" dxfId="11" priority="20" stopIfTrue="1" operator="greaterThan">
      <formula>0</formula>
    </cfRule>
  </conditionalFormatting>
  <conditionalFormatting sqref="AG13">
    <cfRule type="cellIs" dxfId="10" priority="18" stopIfTrue="1" operator="greaterThan">
      <formula>0</formula>
    </cfRule>
  </conditionalFormatting>
  <conditionalFormatting sqref="AG14:AG20">
    <cfRule type="cellIs" dxfId="9" priority="17" stopIfTrue="1" operator="greaterThan">
      <formula>0</formula>
    </cfRule>
  </conditionalFormatting>
  <conditionalFormatting sqref="AB13:AB20">
    <cfRule type="cellIs" dxfId="8" priority="12" stopIfTrue="1" operator="greaterThan">
      <formula>0</formula>
    </cfRule>
  </conditionalFormatting>
  <conditionalFormatting sqref="AD13:AE20">
    <cfRule type="cellIs" dxfId="7" priority="10" stopIfTrue="1" operator="greaterThan">
      <formula>0</formula>
    </cfRule>
  </conditionalFormatting>
  <conditionalFormatting sqref="L14:L15 L18:L20">
    <cfRule type="cellIs" dxfId="6" priority="5" stopIfTrue="1" operator="greaterThan">
      <formula>0</formula>
    </cfRule>
  </conditionalFormatting>
  <conditionalFormatting sqref="D13:D15">
    <cfRule type="cellIs" dxfId="5" priority="7" stopIfTrue="1" operator="greaterThan">
      <formula>0</formula>
    </cfRule>
  </conditionalFormatting>
  <conditionalFormatting sqref="U14">
    <cfRule type="cellIs" dxfId="4" priority="3" stopIfTrue="1" operator="greaterThan">
      <formula>0</formula>
    </cfRule>
  </conditionalFormatting>
  <conditionalFormatting sqref="W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2023-05-02T01:17:04Z</dcterms:modified>
</cp:coreProperties>
</file>