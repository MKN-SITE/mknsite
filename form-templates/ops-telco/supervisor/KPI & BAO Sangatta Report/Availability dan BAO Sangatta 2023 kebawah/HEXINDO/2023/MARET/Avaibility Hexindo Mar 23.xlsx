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6" i="11" l="1"/>
  <c r="D25" i="11"/>
  <c r="E25" i="11" l="1"/>
  <c r="C25" i="11" s="1"/>
  <c r="E26" i="11"/>
  <c r="B26" i="11"/>
  <c r="B25" i="11"/>
  <c r="C26" i="11" l="1"/>
  <c r="C29" i="11" l="1"/>
</calcChain>
</file>

<file path=xl/sharedStrings.xml><?xml version="1.0" encoding="utf-8"?>
<sst xmlns="http://schemas.openxmlformats.org/spreadsheetml/2006/main" count="60" uniqueCount="26">
  <si>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</si>
  <si>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</si>
  <si>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</si>
  <si>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</si>
  <si>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</si>
  <si>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</si>
  <si>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</si>
  <si>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</si>
  <si>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</si>
  <si>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</si>
  <si>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</si>
  <si>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</si>
  <si>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</si>
  <si>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</si>
  <si>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</si>
  <si>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</si>
  <si>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</si>
  <si>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</si>
  <si>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</si>
  <si>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</si>
  <si>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Remaks</t>
  </si>
  <si>
    <t>23 Maret 2023</t>
  </si>
  <si>
    <t>25 Maret 2023</t>
  </si>
  <si>
    <t>19 Maret 2023</t>
  </si>
  <si>
    <t xml:space="preserve">       Pemadaman Listrik KPC terkait pemeliharaan jaringan </t>
  </si>
  <si>
    <t xml:space="preserve">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</si>
</sst>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sz val="14"/>
      <name val="Tahoma"/>
      <family val="2"/>
    </font>
    <font>
      <sz val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4" fillId="0" borderId="20" xfId="0" applyFont="1" applyBorder="1" applyAlignment="1">
      <alignment horizontal="center"/>
    </xf>
    <xf numFmtId="46" fontId="36" fillId="0" borderId="19" xfId="0" applyNumberFormat="1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36" fillId="0" borderId="24" xfId="0" applyFont="1" applyBorder="1"/>
    <xf numFmtId="10" fontId="36" fillId="0" borderId="24" xfId="0" applyNumberFormat="1" applyFont="1" applyBorder="1" applyAlignment="1">
      <alignment horizontal="center"/>
    </xf>
    <xf numFmtId="46" fontId="36" fillId="0" borderId="24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0" fontId="6" fillId="0" borderId="27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46" fontId="6" fillId="0" borderId="27" xfId="0" applyNumberFormat="1" applyFont="1" applyBorder="1"/>
    <xf numFmtId="46" fontId="6" fillId="0" borderId="0" xfId="0" applyNumberFormat="1" applyFont="1" applyBorder="1"/>
    <xf numFmtId="46" fontId="0" fillId="0" borderId="0" xfId="0" applyNumberFormat="1" applyBorder="1"/>
    <xf numFmtId="46" fontId="0" fillId="0" borderId="2" xfId="0" applyNumberFormat="1" applyBorder="1"/>
    <xf numFmtId="0" fontId="37" fillId="0" borderId="2" xfId="0" applyFont="1" applyBorder="1" applyAlignment="1">
      <alignment horizontal="center" vertical="center"/>
    </xf>
    <xf numFmtId="15" fontId="6" fillId="0" borderId="27" xfId="0" applyNumberFormat="1" applyFont="1" applyBorder="1" applyAlignment="1">
      <alignment horizontal="left" vertical="center" wrapText="1" indent="2"/>
    </xf>
    <xf numFmtId="0" fontId="6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7" fillId="0" borderId="1" xfId="0" applyFont="1" applyBorder="1"/>
    <xf numFmtId="14" fontId="0" fillId="0" borderId="0" xfId="0" applyNumberFormat="1" applyAlignment="1">
      <alignment horizontal="center"/>
    </xf>
    <xf numFmtId="0" fontId="0" fillId="0" borderId="14" xfId="0" applyBorder="1"/>
    <xf numFmtId="0" fontId="0" fillId="0" borderId="21" xfId="0" applyBorder="1" applyAlignment="1">
      <alignment horizontal="center"/>
    </xf>
    <xf numFmtId="0" fontId="0" fillId="0" borderId="33" xfId="0" applyBorder="1"/>
    <xf numFmtId="9" fontId="13" fillId="0" borderId="14" xfId="0" applyNumberFormat="1" applyFont="1" applyBorder="1" applyAlignment="1">
      <alignment horizontal="center"/>
    </xf>
    <xf numFmtId="9" fontId="13" fillId="0" borderId="4" xfId="0" applyNumberFormat="1" applyFont="1" applyBorder="1" applyAlignment="1">
      <alignment horizontal="center"/>
    </xf>
    <xf numFmtId="0" fontId="0" fillId="0" borderId="4" xfId="0" applyBorder="1"/>
    <xf numFmtId="16" fontId="8" fillId="0" borderId="37" xfId="0" applyNumberFormat="1" applyFont="1" applyBorder="1" applyAlignment="1">
      <alignment horizontal="center"/>
    </xf>
    <xf numFmtId="16" fontId="8" fillId="0" borderId="17" xfId="0" applyNumberFormat="1" applyFont="1" applyBorder="1" applyAlignment="1">
      <alignment horizontal="center"/>
    </xf>
    <xf numFmtId="16" fontId="8" fillId="0" borderId="38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10" fontId="6" fillId="0" borderId="28" xfId="0" applyNumberFormat="1" applyFont="1" applyBorder="1" applyAlignment="1">
      <alignment horizontal="center" vertical="center" wrapText="1"/>
    </xf>
    <xf numFmtId="15" fontId="6" fillId="0" borderId="29" xfId="0" applyNumberFormat="1" applyFont="1" applyBorder="1" applyAlignment="1">
      <alignment horizontal="center" vertical="center" wrapText="1"/>
    </xf>
    <xf numFmtId="10" fontId="6" fillId="0" borderId="29" xfId="0" applyNumberFormat="1" applyFont="1" applyBorder="1" applyAlignment="1">
      <alignment horizontal="center" vertical="center" wrapText="1"/>
    </xf>
    <xf numFmtId="0" fontId="6" fillId="0" borderId="0" xfId="0" applyFont="1" applyBorder="1" applyAlignment="1"/>
    <xf numFmtId="10" fontId="6" fillId="0" borderId="0" xfId="0" applyNumberFormat="1" applyFont="1" applyBorder="1" applyAlignment="1">
      <alignment horizontal="left" vertical="center" wrapText="1"/>
    </xf>
    <xf numFmtId="0" fontId="39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39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40" fillId="0" borderId="0" xfId="0" applyFont="1"/>
    <xf numFmtId="10" fontId="6" fillId="0" borderId="27" xfId="0" applyNumberFormat="1" applyFont="1" applyBorder="1" applyAlignment="1">
      <alignment horizontal="left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center" vertical="center" wrapText="1"/>
    </xf>
    <xf numFmtId="10" fontId="8" fillId="0" borderId="17" xfId="0" applyNumberFormat="1" applyFont="1" applyBorder="1" applyAlignment="1">
      <alignment horizontal="center"/>
    </xf>
    <xf numFmtId="10" fontId="8" fillId="0" borderId="22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21" fontId="6" fillId="0" borderId="27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0" fontId="6" fillId="0" borderId="3" xfId="0" applyNumberFormat="1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7" xfId="0" applyNumberFormat="1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V37" sqref="V37"/>
    </sheetView>
  </sheetViews>
  <sheetFormatPr defaultRowHeight="12.75" x14ac:dyDescent="0.2"/>
  <cols>
    <col min="1" max="1" width="5.7109375" style="2" customWidth="1"/>
    <col min="2" max="2" width="48.42578125" customWidth="1"/>
    <col min="3" max="3" width="20.140625" customWidth="1"/>
    <col min="4" max="4" width="9.140625" style="12" customWidth="1"/>
    <col min="5" max="12" width="9.140625" style="13" customWidth="1"/>
    <col min="13" max="13" width="8.5703125" style="13" customWidth="1"/>
    <col min="14" max="14" width="9.140625" style="13" customWidth="1"/>
    <col min="15" max="15" width="10" style="13" customWidth="1"/>
    <col min="16" max="16" width="9.140625" style="13" customWidth="1"/>
    <col min="17" max="32" width="9.140625" customWidth="1"/>
    <col min="34" max="34" width="9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4">
        <v>44986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0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105" t="s">
        <v>2</v>
      </c>
      <c r="B10" s="107" t="s">
        <v>0</v>
      </c>
      <c r="C10" s="109" t="s">
        <v>7</v>
      </c>
      <c r="D10" s="71">
        <v>44621</v>
      </c>
      <c r="E10" s="72">
        <v>44622</v>
      </c>
      <c r="F10" s="72">
        <v>44623</v>
      </c>
      <c r="G10" s="72">
        <v>44624</v>
      </c>
      <c r="H10" s="72">
        <v>44625</v>
      </c>
      <c r="I10" s="72">
        <v>44626</v>
      </c>
      <c r="J10" s="72">
        <v>44627</v>
      </c>
      <c r="K10" s="72">
        <v>44628</v>
      </c>
      <c r="L10" s="72">
        <v>44629</v>
      </c>
      <c r="M10" s="72">
        <v>44630</v>
      </c>
      <c r="N10" s="72">
        <v>44631</v>
      </c>
      <c r="O10" s="72">
        <v>44632</v>
      </c>
      <c r="P10" s="72">
        <v>44633</v>
      </c>
      <c r="Q10" s="72">
        <v>44634</v>
      </c>
      <c r="R10" s="72">
        <v>44635</v>
      </c>
      <c r="S10" s="72">
        <v>44636</v>
      </c>
      <c r="T10" s="72">
        <v>44637</v>
      </c>
      <c r="U10" s="72">
        <v>44638</v>
      </c>
      <c r="V10" s="72">
        <v>44639</v>
      </c>
      <c r="W10" s="72">
        <v>44640</v>
      </c>
      <c r="X10" s="72">
        <v>44641</v>
      </c>
      <c r="Y10" s="72">
        <v>44642</v>
      </c>
      <c r="Z10" s="72">
        <v>44643</v>
      </c>
      <c r="AA10" s="72">
        <v>44644</v>
      </c>
      <c r="AB10" s="72">
        <v>44645</v>
      </c>
      <c r="AC10" s="72">
        <v>44646</v>
      </c>
      <c r="AD10" s="72">
        <v>44647</v>
      </c>
      <c r="AE10" s="72">
        <v>44648</v>
      </c>
      <c r="AF10" s="72">
        <v>44649</v>
      </c>
      <c r="AG10" s="72">
        <v>44650</v>
      </c>
      <c r="AH10" s="73">
        <v>44651</v>
      </c>
    </row>
    <row r="11" spans="1:34" s="1" customFormat="1" ht="13.5" thickBot="1" x14ac:dyDescent="0.25">
      <c r="A11" s="106"/>
      <c r="B11" s="108"/>
      <c r="C11" s="110"/>
      <c r="D11" s="74" t="s">
        <v>6</v>
      </c>
      <c r="E11" s="75" t="s">
        <v>6</v>
      </c>
      <c r="F11" s="75" t="s">
        <v>6</v>
      </c>
      <c r="G11" s="75" t="s">
        <v>6</v>
      </c>
      <c r="H11" s="75" t="s">
        <v>6</v>
      </c>
      <c r="I11" s="75" t="s">
        <v>6</v>
      </c>
      <c r="J11" s="75" t="s">
        <v>6</v>
      </c>
      <c r="K11" s="75" t="s">
        <v>6</v>
      </c>
      <c r="L11" s="75" t="s">
        <v>6</v>
      </c>
      <c r="M11" s="75" t="s">
        <v>6</v>
      </c>
      <c r="N11" s="75" t="s">
        <v>6</v>
      </c>
      <c r="O11" s="75" t="s">
        <v>6</v>
      </c>
      <c r="P11" s="75" t="s">
        <v>6</v>
      </c>
      <c r="Q11" s="75" t="s">
        <v>6</v>
      </c>
      <c r="R11" s="75" t="s">
        <v>6</v>
      </c>
      <c r="S11" s="75" t="s">
        <v>6</v>
      </c>
      <c r="T11" s="75" t="s">
        <v>6</v>
      </c>
      <c r="U11" s="75" t="s">
        <v>6</v>
      </c>
      <c r="V11" s="75" t="s">
        <v>6</v>
      </c>
      <c r="W11" s="75" t="s">
        <v>6</v>
      </c>
      <c r="X11" s="75" t="s">
        <v>6</v>
      </c>
      <c r="Y11" s="75" t="s">
        <v>6</v>
      </c>
      <c r="Z11" s="75" t="s">
        <v>6</v>
      </c>
      <c r="AA11" s="75" t="s">
        <v>6</v>
      </c>
      <c r="AB11" s="75" t="s">
        <v>6</v>
      </c>
      <c r="AC11" s="75" t="s">
        <v>6</v>
      </c>
      <c r="AD11" s="75" t="s">
        <v>6</v>
      </c>
      <c r="AE11" s="75" t="s">
        <v>6</v>
      </c>
      <c r="AF11" s="75" t="s">
        <v>6</v>
      </c>
      <c r="AG11" s="75" t="s">
        <v>6</v>
      </c>
      <c r="AH11" s="76" t="s">
        <v>6</v>
      </c>
    </row>
    <row r="12" spans="1:34" x14ac:dyDescent="0.2">
      <c r="A12" s="66"/>
      <c r="B12" s="67"/>
      <c r="C12" s="65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9"/>
      <c r="AG12" s="69"/>
      <c r="AH12" s="70"/>
    </row>
    <row r="13" spans="1:34" s="14" customFormat="1" ht="15" x14ac:dyDescent="0.25">
      <c r="A13" s="39">
        <v>1</v>
      </c>
      <c r="B13" s="48" t="s">
        <v>18</v>
      </c>
      <c r="C13" s="49" t="s">
        <v>16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3.472222222222222E-3</v>
      </c>
      <c r="W13" s="32">
        <v>0</v>
      </c>
      <c r="X13" s="32">
        <v>0</v>
      </c>
      <c r="Y13" s="32">
        <v>0</v>
      </c>
      <c r="Z13" s="32">
        <v>3.5416666666666665E-3</v>
      </c>
      <c r="AA13" s="32">
        <v>0</v>
      </c>
      <c r="AB13" s="32">
        <v>7.1180555555555554E-3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4" customFormat="1" ht="15" x14ac:dyDescent="0.25">
      <c r="A14" s="39">
        <v>2</v>
      </c>
      <c r="B14" s="63" t="s">
        <v>17</v>
      </c>
      <c r="C14" s="59" t="s">
        <v>16</v>
      </c>
      <c r="D14" s="58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3.472222222222222E-3</v>
      </c>
      <c r="W14" s="32">
        <v>0</v>
      </c>
      <c r="X14" s="32">
        <v>0</v>
      </c>
      <c r="Y14" s="32">
        <v>0</v>
      </c>
      <c r="Z14" s="32">
        <v>3.5416666666666665E-3</v>
      </c>
      <c r="AA14" s="32">
        <v>0</v>
      </c>
      <c r="AB14" s="32">
        <v>7.1180555555555554E-3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4" customFormat="1" ht="18" customHeight="1" x14ac:dyDescent="0.2">
      <c r="A15" s="85"/>
      <c r="B15" s="62"/>
      <c r="C15" s="60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50"/>
      <c r="Q15" s="50"/>
      <c r="R15" s="50"/>
      <c r="S15" s="55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2"/>
    </row>
    <row r="16" spans="1:34" s="14" customFormat="1" ht="19.5" customHeight="1" x14ac:dyDescent="0.2">
      <c r="A16" s="102">
        <v>3</v>
      </c>
      <c r="B16" s="101" t="s">
        <v>20</v>
      </c>
      <c r="C16" s="78" t="s">
        <v>23</v>
      </c>
      <c r="D16" s="103" t="s">
        <v>24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91"/>
      <c r="T16" s="91"/>
      <c r="U16" s="91"/>
      <c r="V16" s="91"/>
      <c r="W16" s="91"/>
      <c r="X16" s="91"/>
      <c r="Y16" s="91"/>
      <c r="Z16" s="91"/>
      <c r="AA16" s="51"/>
      <c r="AB16" s="51"/>
      <c r="AC16" s="51"/>
      <c r="AD16" s="51"/>
      <c r="AE16" s="51"/>
      <c r="AF16" s="51"/>
      <c r="AG16" s="51"/>
      <c r="AH16" s="53"/>
    </row>
    <row r="17" spans="1:34" s="14" customFormat="1" ht="21.75" customHeight="1" x14ac:dyDescent="0.2">
      <c r="A17" s="102"/>
      <c r="B17" s="101"/>
      <c r="C17" s="77" t="s">
        <v>21</v>
      </c>
      <c r="D17" s="98" t="s">
        <v>25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0"/>
      <c r="AG17" s="50"/>
      <c r="AH17" s="52"/>
    </row>
    <row r="18" spans="1:34" s="14" customFormat="1" ht="21.75" customHeight="1" x14ac:dyDescent="0.2">
      <c r="A18" s="102"/>
      <c r="B18" s="101"/>
      <c r="C18" s="79" t="s">
        <v>22</v>
      </c>
      <c r="D18" s="100" t="s">
        <v>25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4"/>
    </row>
    <row r="19" spans="1:34" s="14" customFormat="1" ht="21.75" customHeight="1" x14ac:dyDescent="0.2">
      <c r="A19" s="102"/>
      <c r="B19" s="101"/>
      <c r="C19" s="8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0"/>
      <c r="Q19" s="90"/>
      <c r="R19" s="90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52"/>
    </row>
    <row r="20" spans="1:34" s="14" customFormat="1" ht="18" x14ac:dyDescent="0.2">
      <c r="A20" s="61"/>
      <c r="B20" s="82"/>
      <c r="C20" s="83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</row>
    <row r="21" spans="1:34" s="19" customFormat="1" x14ac:dyDescent="0.2">
      <c r="A21" s="15"/>
      <c r="B21" s="14"/>
      <c r="C21" s="14"/>
      <c r="D21" s="16"/>
      <c r="E21" s="15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18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31"/>
      <c r="AD21" s="14"/>
      <c r="AE21" s="14"/>
      <c r="AF21" s="14"/>
      <c r="AG21" s="14"/>
      <c r="AH21" s="14"/>
    </row>
    <row r="22" spans="1:34" ht="13.5" thickBot="1" x14ac:dyDescent="0.25">
      <c r="A22" s="25" t="s">
        <v>11</v>
      </c>
      <c r="B22" s="14"/>
      <c r="C22" s="14"/>
      <c r="D22" s="16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4"/>
      <c r="P22" s="18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31"/>
      <c r="AD22" s="14"/>
      <c r="AE22" s="14"/>
      <c r="AF22" s="14"/>
      <c r="AG22" s="14"/>
      <c r="AH22" s="14"/>
    </row>
    <row r="23" spans="1:34" x14ac:dyDescent="0.2">
      <c r="A23" s="94" t="s">
        <v>2</v>
      </c>
      <c r="B23" s="96" t="s">
        <v>8</v>
      </c>
      <c r="C23" s="96" t="s">
        <v>1</v>
      </c>
      <c r="D23" s="92" t="s">
        <v>6</v>
      </c>
      <c r="E23" s="93"/>
      <c r="F23" s="18"/>
      <c r="G23" s="18"/>
      <c r="H23" s="18"/>
      <c r="I23" s="18"/>
      <c r="J23" s="18"/>
      <c r="K23" s="18"/>
      <c r="L23" s="18"/>
      <c r="M23" s="18"/>
      <c r="N23" s="18"/>
      <c r="O23" s="14"/>
      <c r="P23" s="18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31"/>
      <c r="AD23" s="14"/>
      <c r="AE23" s="14"/>
      <c r="AF23" s="14"/>
      <c r="AG23" s="14"/>
      <c r="AH23" s="14"/>
    </row>
    <row r="24" spans="1:34" x14ac:dyDescent="0.2">
      <c r="A24" s="95"/>
      <c r="B24" s="97"/>
      <c r="C24" s="97"/>
      <c r="D24" s="27" t="s">
        <v>9</v>
      </c>
      <c r="E24" s="40" t="s">
        <v>10</v>
      </c>
      <c r="F24" s="18"/>
      <c r="G24" s="18"/>
      <c r="H24" s="18"/>
      <c r="I24" s="18"/>
      <c r="J24" s="18"/>
      <c r="K24" s="18"/>
      <c r="L24" s="18"/>
      <c r="M24" s="18"/>
      <c r="N24" s="18"/>
      <c r="O24" s="14"/>
      <c r="P24" s="18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31"/>
      <c r="AD24" s="14"/>
      <c r="AE24" s="14"/>
      <c r="AF24" s="14"/>
      <c r="AG24" s="14"/>
      <c r="AH24" s="14"/>
    </row>
    <row r="25" spans="1:34" ht="15.75" x14ac:dyDescent="0.25">
      <c r="A25" s="41">
        <v>1</v>
      </c>
      <c r="B25" s="36" t="str">
        <f>B13</f>
        <v>Link Wireless   Hexindo to Pama Soulmate</v>
      </c>
      <c r="C25" s="37">
        <f>1-(((D25*3600)+(LEFT(E25,2)*60)+RIGHT(E25,2))/((60*60*24)*$C$8))</f>
        <v>0.99954413082437277</v>
      </c>
      <c r="D25" s="38" t="str">
        <f>TEXT(SUM(D13:AG13),"[h]")</f>
        <v>0</v>
      </c>
      <c r="E25" s="42" t="str">
        <f>TEXT(SUM(D13:AF13),"mm ss")</f>
        <v>20 21</v>
      </c>
      <c r="F25" s="23"/>
      <c r="G25" s="18"/>
      <c r="H25" s="24"/>
      <c r="I25" s="18"/>
      <c r="J25" s="18"/>
      <c r="K25" s="18"/>
      <c r="L25" s="18"/>
      <c r="M25" s="18"/>
      <c r="N25" s="18"/>
      <c r="O25" s="14"/>
      <c r="P25" s="18"/>
      <c r="Q25" s="14"/>
      <c r="R25" s="14"/>
      <c r="S25" s="14"/>
      <c r="T25" s="57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6.5" thickBot="1" x14ac:dyDescent="0.3">
      <c r="A26" s="43">
        <v>2</v>
      </c>
      <c r="B26" s="44" t="str">
        <f>B14</f>
        <v>Voip Gateway ( Link Telephone )</v>
      </c>
      <c r="C26" s="45">
        <f>1-(((D26*3600)+(LEFT(E26,2)*60)+RIGHT(E26,2))/((60*60*24)*$C$8))</f>
        <v>0.99954413082437277</v>
      </c>
      <c r="D26" s="46" t="str">
        <f>TEXT(SUM(D14:AG14),"[h]")</f>
        <v>0</v>
      </c>
      <c r="E26" s="47" t="str">
        <f>TEXT(SUM(D14:AF14),"mm ss")</f>
        <v>20 21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">
      <c r="A27" s="15"/>
      <c r="B27" s="14"/>
      <c r="C27" s="14"/>
      <c r="D27" s="16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4"/>
      <c r="R27" s="14"/>
      <c r="S27" s="14"/>
      <c r="T27" s="21"/>
      <c r="U27" s="21"/>
      <c r="V27" s="56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19"/>
      <c r="AH27" s="19"/>
    </row>
    <row r="28" spans="1:34" x14ac:dyDescent="0.2">
      <c r="A28" s="26" t="s">
        <v>14</v>
      </c>
      <c r="B28" s="19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U28" s="86"/>
    </row>
    <row r="29" spans="1:34" x14ac:dyDescent="0.2">
      <c r="A29" s="35" t="s">
        <v>19</v>
      </c>
      <c r="C29" s="27">
        <f>(SUM(C25:C26))/(100%*2)</f>
        <v>0.99954413082437277</v>
      </c>
      <c r="H29" s="33"/>
      <c r="W29" s="87"/>
    </row>
    <row r="32" spans="1:34" x14ac:dyDescent="0.2">
      <c r="B32" s="14"/>
    </row>
    <row r="33" spans="1:32" x14ac:dyDescent="0.2">
      <c r="A33" s="64"/>
      <c r="B33" s="14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1:32" x14ac:dyDescent="0.2">
      <c r="B34" s="14"/>
      <c r="Q34" s="30"/>
      <c r="R34" s="30"/>
      <c r="S34" s="30"/>
    </row>
    <row r="35" spans="1:32" x14ac:dyDescent="0.2">
      <c r="B35" s="14"/>
    </row>
    <row r="36" spans="1:32" x14ac:dyDescent="0.2">
      <c r="J36" s="30"/>
    </row>
    <row r="41" spans="1:32" x14ac:dyDescent="0.2"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32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32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32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x14ac:dyDescent="0.2"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8"/>
      <c r="R45" s="28"/>
      <c r="S45" s="28"/>
    </row>
  </sheetData>
  <mergeCells count="15">
    <mergeCell ref="A10:A11"/>
    <mergeCell ref="B10:B11"/>
    <mergeCell ref="C10:C11"/>
    <mergeCell ref="D15:O15"/>
    <mergeCell ref="S16:Z16"/>
    <mergeCell ref="D23:E23"/>
    <mergeCell ref="A23:A24"/>
    <mergeCell ref="B23:B24"/>
    <mergeCell ref="C23:C24"/>
    <mergeCell ref="D17:O17"/>
    <mergeCell ref="D18:O18"/>
    <mergeCell ref="D19:O19"/>
    <mergeCell ref="B16:B19"/>
    <mergeCell ref="A16:A19"/>
    <mergeCell ref="D16:R16"/>
  </mergeCells>
  <phoneticPr fontId="9" type="noConversion"/>
  <conditionalFormatting sqref="X14">
    <cfRule type="cellIs" dxfId="26" priority="137" stopIfTrue="1" operator="greaterThan">
      <formula>0</formula>
    </cfRule>
  </conditionalFormatting>
  <conditionalFormatting sqref="Z13 AC13">
    <cfRule type="cellIs" dxfId="25" priority="136" stopIfTrue="1" operator="greaterThan">
      <formula>0</formula>
    </cfRule>
  </conditionalFormatting>
  <conditionalFormatting sqref="P13 X13 J13:K13">
    <cfRule type="cellIs" dxfId="24" priority="134" stopIfTrue="1" operator="greaterThan">
      <formula>0</formula>
    </cfRule>
  </conditionalFormatting>
  <conditionalFormatting sqref="P14 J14:K14">
    <cfRule type="cellIs" dxfId="23" priority="129" stopIfTrue="1" operator="greaterThan">
      <formula>0</formula>
    </cfRule>
  </conditionalFormatting>
  <conditionalFormatting sqref="AC14">
    <cfRule type="cellIs" dxfId="22" priority="126" stopIfTrue="1" operator="greaterThan">
      <formula>0</formula>
    </cfRule>
  </conditionalFormatting>
  <conditionalFormatting sqref="AD13">
    <cfRule type="cellIs" dxfId="21" priority="114" stopIfTrue="1" operator="greaterThan">
      <formula>0</formula>
    </cfRule>
  </conditionalFormatting>
  <conditionalFormatting sqref="D13">
    <cfRule type="cellIs" dxfId="20" priority="68" stopIfTrue="1" operator="greaterThan">
      <formula>0</formula>
    </cfRule>
  </conditionalFormatting>
  <conditionalFormatting sqref="D14">
    <cfRule type="cellIs" dxfId="19" priority="67" stopIfTrue="1" operator="greaterThan">
      <formula>0</formula>
    </cfRule>
  </conditionalFormatting>
  <conditionalFormatting sqref="L13">
    <cfRule type="cellIs" dxfId="18" priority="66" stopIfTrue="1" operator="greaterThan">
      <formula>0</formula>
    </cfRule>
  </conditionalFormatting>
  <conditionalFormatting sqref="L14">
    <cfRule type="cellIs" dxfId="17" priority="65" stopIfTrue="1" operator="greaterThan">
      <formula>0</formula>
    </cfRule>
  </conditionalFormatting>
  <conditionalFormatting sqref="M13:O13">
    <cfRule type="cellIs" dxfId="16" priority="64" stopIfTrue="1" operator="greaterThan">
      <formula>0</formula>
    </cfRule>
  </conditionalFormatting>
  <conditionalFormatting sqref="M14:O14">
    <cfRule type="cellIs" dxfId="15" priority="63" stopIfTrue="1" operator="greaterThan">
      <formula>0</formula>
    </cfRule>
  </conditionalFormatting>
  <conditionalFormatting sqref="AG14">
    <cfRule type="cellIs" dxfId="14" priority="61" stopIfTrue="1" operator="greaterThan">
      <formula>0</formula>
    </cfRule>
  </conditionalFormatting>
  <conditionalFormatting sqref="AD14">
    <cfRule type="cellIs" dxfId="13" priority="60" stopIfTrue="1" operator="greaterThan">
      <formula>0</formula>
    </cfRule>
  </conditionalFormatting>
  <conditionalFormatting sqref="AB13:AB14">
    <cfRule type="cellIs" dxfId="12" priority="56" stopIfTrue="1" operator="greaterThan">
      <formula>0</formula>
    </cfRule>
  </conditionalFormatting>
  <conditionalFormatting sqref="AH13:AH14">
    <cfRule type="cellIs" dxfId="11" priority="52" stopIfTrue="1" operator="greaterThan">
      <formula>0</formula>
    </cfRule>
  </conditionalFormatting>
  <conditionalFormatting sqref="S15">
    <cfRule type="cellIs" dxfId="10" priority="46" stopIfTrue="1" operator="greaterThan">
      <formula>0</formula>
    </cfRule>
  </conditionalFormatting>
  <conditionalFormatting sqref="V27">
    <cfRule type="cellIs" dxfId="9" priority="32" stopIfTrue="1" operator="greaterThan">
      <formula>0</formula>
    </cfRule>
  </conditionalFormatting>
  <conditionalFormatting sqref="Q13:U14">
    <cfRule type="cellIs" dxfId="8" priority="29" stopIfTrue="1" operator="greaterThan">
      <formula>0</formula>
    </cfRule>
  </conditionalFormatting>
  <conditionalFormatting sqref="T25">
    <cfRule type="cellIs" dxfId="7" priority="28" stopIfTrue="1" operator="greaterThan">
      <formula>0</formula>
    </cfRule>
  </conditionalFormatting>
  <conditionalFormatting sqref="AA13:AA14">
    <cfRule type="cellIs" dxfId="6" priority="26" stopIfTrue="1" operator="greaterThan">
      <formula>0</formula>
    </cfRule>
  </conditionalFormatting>
  <conditionalFormatting sqref="AG13">
    <cfRule type="cellIs" dxfId="5" priority="24" stopIfTrue="1" operator="greaterThan">
      <formula>0</formula>
    </cfRule>
  </conditionalFormatting>
  <conditionalFormatting sqref="E13:I14">
    <cfRule type="cellIs" dxfId="4" priority="10" stopIfTrue="1" operator="greaterThan">
      <formula>0</formula>
    </cfRule>
  </conditionalFormatting>
  <conditionalFormatting sqref="V13:W14">
    <cfRule type="cellIs" dxfId="3" priority="9" stopIfTrue="1" operator="greaterThan">
      <formula>0</formula>
    </cfRule>
  </conditionalFormatting>
  <conditionalFormatting sqref="AE13:AF14">
    <cfRule type="cellIs" dxfId="2" priority="7" stopIfTrue="1" operator="greaterThan">
      <formula>0</formula>
    </cfRule>
  </conditionalFormatting>
  <conditionalFormatting sqref="Z14">
    <cfRule type="cellIs" dxfId="1" priority="3" stopIfTrue="1" operator="greaterThan">
      <formula>0</formula>
    </cfRule>
  </conditionalFormatting>
  <conditionalFormatting sqref="Y13:Y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2023-04-01T04:44:50Z</dcterms:modified>
</cp:coreProperties>
</file>