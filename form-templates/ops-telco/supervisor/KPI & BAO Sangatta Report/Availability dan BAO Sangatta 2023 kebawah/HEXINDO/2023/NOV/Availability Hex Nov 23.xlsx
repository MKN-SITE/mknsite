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300" windowWidth="15480" windowHeight="11340"/>
  </bookViews>
  <sheets>
    <sheet name="Avaibility LINK Hexindo - Pama" sheetId="11" r:id="rId1"/>
    <sheet name="Sheet1" sheetId="12" r:id="rId2"/>
  </sheets>
  <calcPr calcId="144525"/>
</workbook>
</file>

<file path=xl/calcChain.xml><?xml version="1.0" encoding="utf-8"?>
<calcChain xmlns="http://schemas.openxmlformats.org/spreadsheetml/2006/main">
  <c r="E27" i="11" l="1"/>
  <c r="E26" i="11"/>
  <c r="D27" i="11" l="1"/>
  <c r="D26" i="11"/>
  <c r="C26" i="11" l="1"/>
  <c r="B27" i="11"/>
  <c r="B26" i="11"/>
  <c r="C27" i="11" l="1"/>
  <c r="C30" i="11" l="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<sst xmlns="http://schemas.openxmlformats.org/spreadsheetml/2006/main" count="55" uniqueCount="22">
  <si>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</si>
  <si>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</si>
  <si>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</si>
  <si>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</si>
  <si>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</si>
  <si>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</si>
  <si>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</si>
  <si>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</si>
  <si>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</si>
  <si>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</si>
  <si>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</si>
  <si>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</si>
  <si>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</si>
  <si>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</si>
  <si>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</si>
  <si>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</si>
  <si>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</si>
  <si>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</si>
  <si>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</si>
  <si>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</si>
  <si>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Remaks</t>
  </si>
  <si>
    <t xml:space="preserve">     Kabel Uplink dan Antena Disconneted ( dirusak Monyet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</si>
</sst>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1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16" fontId="8" fillId="0" borderId="33" xfId="0" applyNumberFormat="1" applyFont="1" applyBorder="1" applyAlignment="1">
      <alignment horizontal="center"/>
    </xf>
    <xf numFmtId="0" fontId="0" fillId="0" borderId="37" xfId="0" applyBorder="1" applyAlignment="1">
      <alignment horizontal="left"/>
    </xf>
    <xf numFmtId="0" fontId="13" fillId="0" borderId="37" xfId="0" applyFont="1" applyBorder="1" applyAlignment="1">
      <alignment horizontal="left"/>
    </xf>
    <xf numFmtId="46" fontId="0" fillId="0" borderId="27" xfId="0" applyNumberFormat="1" applyFill="1" applyBorder="1"/>
    <xf numFmtId="46" fontId="0" fillId="0" borderId="27" xfId="0" applyNumberFormat="1" applyBorder="1"/>
    <xf numFmtId="10" fontId="6" fillId="0" borderId="36" xfId="0" applyNumberFormat="1" applyFont="1" applyBorder="1" applyAlignment="1">
      <alignment vertical="center" wrapText="1"/>
    </xf>
    <xf numFmtId="0" fontId="37" fillId="0" borderId="1" xfId="0" applyFont="1" applyBorder="1"/>
    <xf numFmtId="0" fontId="6" fillId="0" borderId="27" xfId="0" applyFont="1" applyBorder="1" applyAlignment="1">
      <alignment horizontal="center"/>
    </xf>
    <xf numFmtId="0" fontId="37" fillId="0" borderId="27" xfId="0" applyFont="1" applyBorder="1"/>
    <xf numFmtId="0" fontId="37" fillId="0" borderId="27" xfId="0" applyFont="1" applyBorder="1" applyAlignment="1">
      <alignment horizontal="center" vertical="center"/>
    </xf>
    <xf numFmtId="0" fontId="6" fillId="33" borderId="38" xfId="0" applyFont="1" applyFill="1" applyBorder="1" applyAlignment="1">
      <alignment horizontal="center"/>
    </xf>
    <xf numFmtId="0" fontId="37" fillId="33" borderId="38" xfId="0" applyFont="1" applyFill="1" applyBorder="1"/>
    <xf numFmtId="0" fontId="37" fillId="33" borderId="38" xfId="0" applyFont="1" applyFill="1" applyBorder="1" applyAlignment="1">
      <alignment horizontal="center" vertical="center"/>
    </xf>
    <xf numFmtId="46" fontId="0" fillId="33" borderId="38" xfId="0" applyNumberFormat="1" applyFill="1" applyBorder="1"/>
    <xf numFmtId="10" fontId="6" fillId="33" borderId="38" xfId="0" applyNumberFormat="1" applyFont="1" applyFill="1" applyBorder="1" applyAlignment="1">
      <alignment vertical="center" wrapText="1"/>
    </xf>
    <xf numFmtId="10" fontId="6" fillId="0" borderId="0" xfId="0" applyNumberFormat="1" applyFont="1" applyBorder="1" applyAlignment="1">
      <alignment vertical="center" wrapText="1"/>
    </xf>
    <xf numFmtId="0" fontId="6" fillId="0" borderId="0" xfId="0" applyFont="1" applyBorder="1"/>
    <xf numFmtId="46" fontId="0" fillId="0" borderId="40" xfId="0" applyNumberFormat="1" applyBorder="1"/>
    <xf numFmtId="46" fontId="0" fillId="0" borderId="35" xfId="0" applyNumberFormat="1" applyBorder="1"/>
    <xf numFmtId="16" fontId="8" fillId="0" borderId="41" xfId="0" applyNumberFormat="1" applyFont="1" applyBorder="1" applyAlignment="1">
      <alignment horizontal="center"/>
    </xf>
    <xf numFmtId="0" fontId="0" fillId="34" borderId="0" xfId="0" applyFill="1"/>
    <xf numFmtId="10" fontId="6" fillId="0" borderId="34" xfId="0" applyNumberFormat="1" applyFont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0" fontId="39" fillId="0" borderId="0" xfId="0" applyFont="1" applyAlignment="1"/>
    <xf numFmtId="2" fontId="13" fillId="0" borderId="0" xfId="0" applyNumberFormat="1" applyFont="1" applyAlignment="1"/>
    <xf numFmtId="46" fontId="0" fillId="0" borderId="42" xfId="0" applyNumberFormat="1" applyBorder="1"/>
    <xf numFmtId="46" fontId="0" fillId="0" borderId="36" xfId="0" applyNumberFormat="1" applyBorder="1"/>
    <xf numFmtId="165" fontId="8" fillId="0" borderId="3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0" fontId="8" fillId="0" borderId="3" xfId="0" applyNumberFormat="1" applyFont="1" applyBorder="1" applyAlignment="1">
      <alignment horizontal="left" vertical="center" wrapText="1"/>
    </xf>
    <xf numFmtId="10" fontId="8" fillId="0" borderId="34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8" fillId="0" borderId="18" xfId="0" applyNumberFormat="1" applyFont="1" applyBorder="1" applyAlignment="1">
      <alignment horizontal="left" vertical="center" wrapText="1"/>
    </xf>
    <xf numFmtId="10" fontId="8" fillId="0" borderId="39" xfId="0" applyNumberFormat="1" applyFont="1" applyBorder="1" applyAlignment="1">
      <alignment horizontal="left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5" fontId="8" fillId="0" borderId="26" xfId="0" applyNumberFormat="1" applyFont="1" applyBorder="1" applyAlignment="1">
      <alignment horizontal="center" vertical="center" wrapText="1"/>
    </xf>
    <xf numFmtId="15" fontId="8" fillId="0" borderId="36" xfId="0" applyNumberFormat="1" applyFont="1" applyBorder="1" applyAlignment="1">
      <alignment horizontal="center" vertical="center" wrapText="1"/>
    </xf>
    <xf numFmtId="16" fontId="8" fillId="0" borderId="33" xfId="0" applyNumberFormat="1" applyFont="1" applyFill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4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8"/>
  <sheetViews>
    <sheetView tabSelected="1" zoomScale="80" zoomScaleNormal="80" workbookViewId="0">
      <selection activeCell="AD28" sqref="AD28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3" max="33" width="9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45231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98" t="s">
        <v>2</v>
      </c>
      <c r="B10" s="100" t="s">
        <v>0</v>
      </c>
      <c r="C10" s="102" t="s">
        <v>7</v>
      </c>
      <c r="D10" s="117">
        <v>44501</v>
      </c>
      <c r="E10" s="117">
        <v>44502</v>
      </c>
      <c r="F10" s="117">
        <v>44503</v>
      </c>
      <c r="G10" s="117">
        <v>44504</v>
      </c>
      <c r="H10" s="117">
        <v>44505</v>
      </c>
      <c r="I10" s="117">
        <v>44506</v>
      </c>
      <c r="J10" s="117">
        <v>44507</v>
      </c>
      <c r="K10" s="117">
        <v>44508</v>
      </c>
      <c r="L10" s="117">
        <v>44509</v>
      </c>
      <c r="M10" s="117">
        <v>44510</v>
      </c>
      <c r="N10" s="117">
        <v>44511</v>
      </c>
      <c r="O10" s="117">
        <v>44512</v>
      </c>
      <c r="P10" s="117">
        <v>44513</v>
      </c>
      <c r="Q10" s="117">
        <v>44514</v>
      </c>
      <c r="R10" s="117">
        <v>44515</v>
      </c>
      <c r="S10" s="117">
        <v>44516</v>
      </c>
      <c r="T10" s="117">
        <v>44517</v>
      </c>
      <c r="U10" s="117">
        <v>44518</v>
      </c>
      <c r="V10" s="117">
        <v>44519</v>
      </c>
      <c r="W10" s="117">
        <v>44520</v>
      </c>
      <c r="X10" s="117">
        <v>44521</v>
      </c>
      <c r="Y10" s="117">
        <v>44522</v>
      </c>
      <c r="Z10" s="117">
        <v>44523</v>
      </c>
      <c r="AA10" s="117">
        <v>44524</v>
      </c>
      <c r="AB10" s="117">
        <v>44525</v>
      </c>
      <c r="AC10" s="117">
        <v>44526</v>
      </c>
      <c r="AD10" s="59">
        <v>44527</v>
      </c>
      <c r="AE10" s="59">
        <v>44528</v>
      </c>
      <c r="AF10" s="59">
        <v>44529</v>
      </c>
      <c r="AG10" s="78">
        <v>44530</v>
      </c>
    </row>
    <row r="11" spans="1:33" s="1" customFormat="1" x14ac:dyDescent="0.2">
      <c r="A11" s="99"/>
      <c r="B11" s="101"/>
      <c r="C11" s="103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5" t="s">
        <v>16</v>
      </c>
      <c r="D13" s="58">
        <v>0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58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0.17376157407407408</v>
      </c>
      <c r="Z13" s="35">
        <v>0.39180555555555552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65" t="s">
        <v>17</v>
      </c>
      <c r="C14" s="55" t="s">
        <v>16</v>
      </c>
      <c r="D14" s="58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58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  <c r="U14" s="35">
        <v>0</v>
      </c>
      <c r="V14" s="35">
        <v>0</v>
      </c>
      <c r="W14" s="35">
        <v>0</v>
      </c>
      <c r="X14" s="35">
        <v>0</v>
      </c>
      <c r="Y14" s="35">
        <v>0.17376157407407408</v>
      </c>
      <c r="Z14" s="35">
        <v>0.39180555555555552</v>
      </c>
      <c r="AA14" s="35">
        <v>0</v>
      </c>
      <c r="AB14" s="35">
        <v>0</v>
      </c>
      <c r="AC14" s="35">
        <v>0</v>
      </c>
      <c r="AD14" s="35">
        <v>0</v>
      </c>
      <c r="AE14" s="35">
        <v>0</v>
      </c>
      <c r="AF14" s="35">
        <v>0</v>
      </c>
      <c r="AG14" s="35">
        <v>0</v>
      </c>
    </row>
    <row r="15" spans="1:33" s="15" customFormat="1" ht="18" customHeight="1" thickBot="1" x14ac:dyDescent="0.3">
      <c r="A15" s="66"/>
      <c r="B15" s="67"/>
      <c r="C15" s="68"/>
      <c r="D15" s="62"/>
      <c r="E15" s="63"/>
      <c r="F15" s="63"/>
      <c r="G15" s="63"/>
      <c r="H15" s="63"/>
      <c r="I15" s="63"/>
      <c r="J15" s="63"/>
      <c r="K15" s="63"/>
      <c r="L15" s="62"/>
      <c r="M15" s="63"/>
      <c r="N15" s="63"/>
      <c r="O15" s="63"/>
      <c r="P15" s="63"/>
      <c r="Q15" s="63"/>
      <c r="R15" s="35"/>
      <c r="S15" s="63"/>
      <c r="T15" s="63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64"/>
    </row>
    <row r="16" spans="1:33" s="15" customFormat="1" ht="19.5" customHeight="1" thickBot="1" x14ac:dyDescent="0.3">
      <c r="A16" s="69"/>
      <c r="B16" s="70"/>
      <c r="C16" s="71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</row>
    <row r="17" spans="1:33" s="15" customFormat="1" ht="15" customHeight="1" x14ac:dyDescent="0.2">
      <c r="A17" s="92">
        <v>3</v>
      </c>
      <c r="B17" s="95" t="s">
        <v>20</v>
      </c>
      <c r="C17" s="87">
        <v>45252</v>
      </c>
      <c r="D17" s="88"/>
      <c r="E17" s="110" t="s">
        <v>21</v>
      </c>
      <c r="F17" s="111"/>
      <c r="G17" s="111"/>
      <c r="H17" s="111"/>
      <c r="I17" s="111"/>
      <c r="J17" s="111"/>
      <c r="K17" s="111"/>
      <c r="L17" s="111"/>
      <c r="M17" s="111"/>
      <c r="N17" s="111"/>
      <c r="O17" s="56"/>
      <c r="P17" s="56"/>
      <c r="Q17" s="56"/>
      <c r="R17" s="56"/>
      <c r="S17" s="56"/>
      <c r="T17" s="76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</row>
    <row r="18" spans="1:33" s="15" customFormat="1" ht="12.75" customHeight="1" x14ac:dyDescent="0.2">
      <c r="A18" s="93"/>
      <c r="B18" s="96"/>
      <c r="C18" s="87">
        <v>45253</v>
      </c>
      <c r="D18" s="88"/>
      <c r="E18" s="89" t="s">
        <v>21</v>
      </c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56"/>
      <c r="R18" s="56"/>
      <c r="S18" s="56"/>
      <c r="T18" s="8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s="15" customFormat="1" ht="15" customHeight="1" x14ac:dyDescent="0.2">
      <c r="A19" s="93"/>
      <c r="B19" s="96"/>
      <c r="C19" s="81"/>
      <c r="D19" s="82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56"/>
      <c r="P19" s="56"/>
      <c r="Q19" s="56"/>
      <c r="R19" s="56"/>
      <c r="S19" s="56"/>
      <c r="T19" s="85"/>
      <c r="AC19" s="33"/>
    </row>
    <row r="20" spans="1:33" s="15" customFormat="1" ht="15" customHeight="1" x14ac:dyDescent="0.2">
      <c r="A20" s="93"/>
      <c r="B20" s="96"/>
      <c r="C20" s="87"/>
      <c r="D20" s="88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56"/>
      <c r="Q20" s="56"/>
      <c r="R20" s="56"/>
      <c r="S20" s="56"/>
      <c r="T20" s="77"/>
      <c r="AC20" s="33"/>
    </row>
    <row r="21" spans="1:33" s="15" customFormat="1" ht="15" customHeight="1" thickBot="1" x14ac:dyDescent="0.25">
      <c r="A21" s="94"/>
      <c r="B21" s="97"/>
      <c r="C21" s="115"/>
      <c r="D21" s="116"/>
      <c r="E21" s="113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57"/>
      <c r="Q21" s="57"/>
      <c r="R21" s="57"/>
      <c r="S21" s="57"/>
      <c r="T21" s="86"/>
      <c r="AC21" s="33"/>
    </row>
    <row r="22" spans="1:33" s="15" customFormat="1" ht="15" customHeigh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T22" s="74"/>
      <c r="AC22" s="33"/>
    </row>
    <row r="23" spans="1:33" s="15" customFormat="1" ht="13.5" thickBot="1" x14ac:dyDescent="0.25">
      <c r="A23" s="27" t="s">
        <v>11</v>
      </c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P23" s="19"/>
      <c r="T23" s="74"/>
    </row>
    <row r="24" spans="1:33" s="15" customFormat="1" x14ac:dyDescent="0.2">
      <c r="A24" s="106" t="s">
        <v>2</v>
      </c>
      <c r="B24" s="108" t="s">
        <v>8</v>
      </c>
      <c r="C24" s="108" t="s">
        <v>1</v>
      </c>
      <c r="D24" s="104" t="s">
        <v>6</v>
      </c>
      <c r="E24" s="105"/>
      <c r="F24" s="19"/>
      <c r="G24" s="19"/>
      <c r="H24" s="19"/>
      <c r="I24" s="19"/>
      <c r="J24" s="19"/>
      <c r="K24" s="19"/>
      <c r="L24" s="19"/>
      <c r="M24" s="19"/>
      <c r="N24" s="19"/>
      <c r="P24" s="19"/>
      <c r="T24" s="74"/>
    </row>
    <row r="25" spans="1:33" s="20" customFormat="1" x14ac:dyDescent="0.2">
      <c r="A25" s="107"/>
      <c r="B25" s="109"/>
      <c r="C25" s="109"/>
      <c r="D25" s="29" t="s">
        <v>9</v>
      </c>
      <c r="E25" s="45" t="s">
        <v>10</v>
      </c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ht="15.75" x14ac:dyDescent="0.25">
      <c r="A26" s="46">
        <v>1</v>
      </c>
      <c r="B26" s="39" t="str">
        <f>B13</f>
        <v>Link Wireless   Hexindo to Pama Soulmate</v>
      </c>
      <c r="C26" s="40">
        <f>1-(((D26*3600)+(LEFT(E26,2)*60)+RIGHT(E26,2))/((60*60*24)*$C$8))</f>
        <v>0.98114776234567902</v>
      </c>
      <c r="D26" s="41" t="str">
        <f>TEXT(SUM(D13:AG13),"[h]")</f>
        <v>13</v>
      </c>
      <c r="E26" s="47" t="str">
        <f>TEXT(SUM(D13:AG13),"mm ss")</f>
        <v>34 25</v>
      </c>
      <c r="F26" s="25"/>
      <c r="G26" s="19"/>
      <c r="H26" s="26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</row>
    <row r="27" spans="1:33" ht="16.5" thickBot="1" x14ac:dyDescent="0.3">
      <c r="A27" s="48">
        <v>2</v>
      </c>
      <c r="B27" s="49" t="str">
        <f>B14</f>
        <v>Voip Gateway ( Link Telephone )</v>
      </c>
      <c r="C27" s="50">
        <f>1-(((D27*3600)+(LEFT(E27,2)*60)+RIGHT(E27,2))/((60*60*24)*$C$8))</f>
        <v>0.98114776234567902</v>
      </c>
      <c r="D27" s="51" t="str">
        <f>TEXT(SUM(D14:AG14),"[h]")</f>
        <v>13</v>
      </c>
      <c r="E27" s="52" t="str">
        <f>TEXT(SUM(D14:AG14),"mm ss")</f>
        <v>34 25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5"/>
      <c r="R27" s="15"/>
      <c r="S27" s="15"/>
      <c r="T27" s="15"/>
    </row>
    <row r="28" spans="1:33" x14ac:dyDescent="0.2">
      <c r="A28" s="16"/>
      <c r="B28" s="15"/>
      <c r="C28" s="15"/>
      <c r="D28" s="17"/>
      <c r="E28" s="18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</row>
    <row r="29" spans="1:33" x14ac:dyDescent="0.2">
      <c r="A29" s="28" t="s">
        <v>14</v>
      </c>
      <c r="B29" s="20"/>
      <c r="C29" s="24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15"/>
    </row>
    <row r="30" spans="1:33" x14ac:dyDescent="0.2">
      <c r="A30" s="38" t="s">
        <v>19</v>
      </c>
      <c r="C30" s="29">
        <f>(SUM(C26:C27))/(100%*2)</f>
        <v>0.98114776234567902</v>
      </c>
      <c r="F30" s="84"/>
      <c r="H30" s="36"/>
      <c r="I30" s="83"/>
      <c r="T30" s="15"/>
    </row>
    <row r="31" spans="1:33" x14ac:dyDescent="0.2">
      <c r="J31" s="32"/>
      <c r="T31" s="15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 spans="1:33" x14ac:dyDescent="0.2">
      <c r="B32" s="79"/>
      <c r="T32" s="23"/>
    </row>
    <row r="33" spans="1:32" x14ac:dyDescent="0.2">
      <c r="A33" s="18"/>
    </row>
    <row r="34" spans="1:32" x14ac:dyDescent="0.2">
      <c r="B34" s="15"/>
    </row>
    <row r="35" spans="1:32" ht="15" customHeight="1" x14ac:dyDescent="0.2">
      <c r="E35" s="91"/>
      <c r="F35" s="91"/>
      <c r="G35" s="91"/>
      <c r="H35" s="91"/>
      <c r="Q35" s="32"/>
      <c r="R35" s="32"/>
      <c r="S35" s="32"/>
    </row>
    <row r="37" spans="1:32" x14ac:dyDescent="0.2">
      <c r="J37" s="32"/>
    </row>
    <row r="38" spans="1:32" x14ac:dyDescent="0.2">
      <c r="I38" s="83"/>
      <c r="T38" s="32"/>
    </row>
    <row r="39" spans="1:32" x14ac:dyDescent="0.2">
      <c r="E39" s="84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x14ac:dyDescent="0.2"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x14ac:dyDescent="0.2"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x14ac:dyDescent="0.2">
      <c r="F42" s="30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0"/>
      <c r="R42" s="30"/>
      <c r="S42" s="30"/>
    </row>
    <row r="43" spans="1:32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</row>
    <row r="44" spans="1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</row>
    <row r="46" spans="1:32" x14ac:dyDescent="0.2">
      <c r="T46" s="30"/>
    </row>
    <row r="47" spans="1:32" x14ac:dyDescent="0.2">
      <c r="T47" s="30"/>
    </row>
    <row r="48" spans="1:32" x14ac:dyDescent="0.2">
      <c r="T48" s="30"/>
    </row>
  </sheetData>
  <mergeCells count="18">
    <mergeCell ref="A10:A11"/>
    <mergeCell ref="B10:B11"/>
    <mergeCell ref="C10:C11"/>
    <mergeCell ref="D24:E24"/>
    <mergeCell ref="A24:A25"/>
    <mergeCell ref="B24:B25"/>
    <mergeCell ref="C24:C25"/>
    <mergeCell ref="E17:N17"/>
    <mergeCell ref="E20:O20"/>
    <mergeCell ref="E21:O21"/>
    <mergeCell ref="C20:D20"/>
    <mergeCell ref="C21:D21"/>
    <mergeCell ref="C17:D17"/>
    <mergeCell ref="E18:P18"/>
    <mergeCell ref="C18:D18"/>
    <mergeCell ref="E35:H35"/>
    <mergeCell ref="A17:A21"/>
    <mergeCell ref="B17:B21"/>
  </mergeCells>
  <phoneticPr fontId="9" type="noConversion"/>
  <conditionalFormatting sqref="D16:T16 D15:Q15 S15:T15 T17:T21">
    <cfRule type="cellIs" dxfId="39" priority="137" stopIfTrue="1" operator="greaterThan">
      <formula>0</formula>
    </cfRule>
  </conditionalFormatting>
  <conditionalFormatting sqref="Y13:Z13 AC13">
    <cfRule type="cellIs" dxfId="38" priority="118" stopIfTrue="1" operator="greaterThan">
      <formula>0</formula>
    </cfRule>
  </conditionalFormatting>
  <conditionalFormatting sqref="E13 X13 J13:K13 P13:Q13 G13">
    <cfRule type="cellIs" dxfId="37" priority="116" stopIfTrue="1" operator="greaterThan">
      <formula>0</formula>
    </cfRule>
  </conditionalFormatting>
  <conditionalFormatting sqref="P14 J14:K14">
    <cfRule type="cellIs" dxfId="36" priority="111" stopIfTrue="1" operator="greaterThan">
      <formula>0</formula>
    </cfRule>
  </conditionalFormatting>
  <conditionalFormatting sqref="AF13">
    <cfRule type="cellIs" dxfId="35" priority="106" stopIfTrue="1" operator="greaterThan">
      <formula>0</formula>
    </cfRule>
  </conditionalFormatting>
  <conditionalFormatting sqref="E14">
    <cfRule type="cellIs" dxfId="34" priority="93" stopIfTrue="1" operator="greaterThan">
      <formula>0</formula>
    </cfRule>
  </conditionalFormatting>
  <conditionalFormatting sqref="G14">
    <cfRule type="cellIs" dxfId="33" priority="92" stopIfTrue="1" operator="greaterThan">
      <formula>0</formula>
    </cfRule>
  </conditionalFormatting>
  <conditionalFormatting sqref="R13">
    <cfRule type="cellIs" dxfId="32" priority="84" stopIfTrue="1" operator="greaterThan">
      <formula>0</formula>
    </cfRule>
  </conditionalFormatting>
  <conditionalFormatting sqref="S14">
    <cfRule type="cellIs" dxfId="31" priority="68" stopIfTrue="1" operator="greaterThan">
      <formula>0</formula>
    </cfRule>
  </conditionalFormatting>
  <conditionalFormatting sqref="S13">
    <cfRule type="cellIs" dxfId="30" priority="69" stopIfTrue="1" operator="greaterThan">
      <formula>0</formula>
    </cfRule>
  </conditionalFormatting>
  <conditionalFormatting sqref="T13">
    <cfRule type="cellIs" dxfId="29" priority="67" stopIfTrue="1" operator="greaterThan">
      <formula>0</formula>
    </cfRule>
  </conditionalFormatting>
  <conditionalFormatting sqref="U13">
    <cfRule type="cellIs" dxfId="28" priority="65" stopIfTrue="1" operator="greaterThan">
      <formula>0</formula>
    </cfRule>
  </conditionalFormatting>
  <conditionalFormatting sqref="U14">
    <cfRule type="cellIs" dxfId="27" priority="64" stopIfTrue="1" operator="greaterThan">
      <formula>0</formula>
    </cfRule>
  </conditionalFormatting>
  <conditionalFormatting sqref="V13">
    <cfRule type="cellIs" dxfId="26" priority="63" stopIfTrue="1" operator="greaterThan">
      <formula>0</formula>
    </cfRule>
  </conditionalFormatting>
  <conditionalFormatting sqref="V14">
    <cfRule type="cellIs" dxfId="25" priority="62" stopIfTrue="1" operator="greaterThan">
      <formula>0</formula>
    </cfRule>
  </conditionalFormatting>
  <conditionalFormatting sqref="W13">
    <cfRule type="cellIs" dxfId="24" priority="61" stopIfTrue="1" operator="greaterThan">
      <formula>0</formula>
    </cfRule>
  </conditionalFormatting>
  <conditionalFormatting sqref="W14">
    <cfRule type="cellIs" dxfId="23" priority="60" stopIfTrue="1" operator="greaterThan">
      <formula>0</formula>
    </cfRule>
  </conditionalFormatting>
  <conditionalFormatting sqref="L13">
    <cfRule type="cellIs" dxfId="22" priority="48" stopIfTrue="1" operator="greaterThan">
      <formula>0</formula>
    </cfRule>
  </conditionalFormatting>
  <conditionalFormatting sqref="M13:O13">
    <cfRule type="cellIs" dxfId="21" priority="46" stopIfTrue="1" operator="greaterThan">
      <formula>0</formula>
    </cfRule>
  </conditionalFormatting>
  <conditionalFormatting sqref="M14:O14">
    <cfRule type="cellIs" dxfId="20" priority="45" stopIfTrue="1" operator="greaterThan">
      <formula>0</formula>
    </cfRule>
  </conditionalFormatting>
  <conditionalFormatting sqref="AG13">
    <cfRule type="cellIs" dxfId="19" priority="44" stopIfTrue="1" operator="greaterThan">
      <formula>0</formula>
    </cfRule>
  </conditionalFormatting>
  <conditionalFormatting sqref="AB13">
    <cfRule type="cellIs" dxfId="18" priority="38" stopIfTrue="1" operator="greaterThan">
      <formula>0</formula>
    </cfRule>
  </conditionalFormatting>
  <conditionalFormatting sqref="AD13:AE13">
    <cfRule type="cellIs" dxfId="17" priority="36" stopIfTrue="1" operator="greaterThan">
      <formula>0</formula>
    </cfRule>
  </conditionalFormatting>
  <conditionalFormatting sqref="L14">
    <cfRule type="cellIs" dxfId="16" priority="33" stopIfTrue="1" operator="greaterThan">
      <formula>0</formula>
    </cfRule>
  </conditionalFormatting>
  <conditionalFormatting sqref="D13">
    <cfRule type="cellIs" dxfId="15" priority="32" stopIfTrue="1" operator="greaterThan">
      <formula>0</formula>
    </cfRule>
  </conditionalFormatting>
  <conditionalFormatting sqref="D14">
    <cfRule type="cellIs" dxfId="14" priority="30" stopIfTrue="1" operator="greaterThan">
      <formula>0</formula>
    </cfRule>
  </conditionalFormatting>
  <conditionalFormatting sqref="H13">
    <cfRule type="cellIs" dxfId="13" priority="21" stopIfTrue="1" operator="greaterThan">
      <formula>0</formula>
    </cfRule>
  </conditionalFormatting>
  <conditionalFormatting sqref="H14">
    <cfRule type="cellIs" dxfId="12" priority="20" stopIfTrue="1" operator="greaterThan">
      <formula>0</formula>
    </cfRule>
  </conditionalFormatting>
  <conditionalFormatting sqref="I14">
    <cfRule type="cellIs" dxfId="11" priority="19" stopIfTrue="1" operator="greaterThan">
      <formula>0</formula>
    </cfRule>
  </conditionalFormatting>
  <conditionalFormatting sqref="I13">
    <cfRule type="cellIs" dxfId="10" priority="18" stopIfTrue="1" operator="greaterThan">
      <formula>0</formula>
    </cfRule>
  </conditionalFormatting>
  <conditionalFormatting sqref="Q14">
    <cfRule type="cellIs" dxfId="9" priority="17" stopIfTrue="1" operator="greaterThan">
      <formula>0</formula>
    </cfRule>
  </conditionalFormatting>
  <conditionalFormatting sqref="R15">
    <cfRule type="cellIs" dxfId="8" priority="16" stopIfTrue="1" operator="greaterThan">
      <formula>0</formula>
    </cfRule>
  </conditionalFormatting>
  <conditionalFormatting sqref="R14">
    <cfRule type="cellIs" dxfId="7" priority="15" stopIfTrue="1" operator="greaterThan">
      <formula>0</formula>
    </cfRule>
  </conditionalFormatting>
  <conditionalFormatting sqref="T14">
    <cfRule type="cellIs" dxfId="6" priority="14" stopIfTrue="1" operator="greaterThan">
      <formula>0</formula>
    </cfRule>
  </conditionalFormatting>
  <conditionalFormatting sqref="X14">
    <cfRule type="cellIs" dxfId="5" priority="13" stopIfTrue="1" operator="greaterThan">
      <formula>0</formula>
    </cfRule>
  </conditionalFormatting>
  <conditionalFormatting sqref="AB14:AG14">
    <cfRule type="cellIs" dxfId="4" priority="12" stopIfTrue="1" operator="greaterThan">
      <formula>0</formula>
    </cfRule>
  </conditionalFormatting>
  <conditionalFormatting sqref="F13:F14">
    <cfRule type="cellIs" dxfId="3" priority="10" stopIfTrue="1" operator="greaterThan">
      <formula>0</formula>
    </cfRule>
  </conditionalFormatting>
  <conditionalFormatting sqref="H36">
    <cfRule type="colorScale" priority="7">
      <colorScale>
        <cfvo type="min"/>
        <cfvo type="max"/>
        <color rgb="FFFF7128"/>
        <color rgb="FFFFEF9C"/>
      </colorScale>
    </cfRule>
  </conditionalFormatting>
  <conditionalFormatting sqref="AA13:AA14">
    <cfRule type="cellIs" dxfId="2" priority="5" stopIfTrue="1" operator="greaterThan">
      <formula>0</formula>
    </cfRule>
  </conditionalFormatting>
  <conditionalFormatting sqref="Y14">
    <cfRule type="cellIs" dxfId="1" priority="3" stopIfTrue="1" operator="greaterThan">
      <formula>0</formula>
    </cfRule>
  </conditionalFormatting>
  <conditionalFormatting sqref="Z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Avaibility LINK Hexindo - Pama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2023-11-30T02:44:45Z</dcterms:modified>
</cp:coreProperties>
</file>