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Avaibility LINK Hexindo - Pama" sheetId="11" r:id="rId1"/>
  </sheets>
  <calcPr calcId="144525"/>
</workbook>
</file>

<file path=xl/calcChain.xml><?xml version="1.0" encoding="utf-8"?>
<calcChain xmlns="http://schemas.openxmlformats.org/spreadsheetml/2006/main">
  <c r="D25" i="11" l="1"/>
  <c r="D24" i="11"/>
  <c r="E24" i="11" l="1"/>
  <c r="C24" i="11" s="1"/>
  <c r="E25" i="11"/>
  <c r="B25" i="11"/>
  <c r="B24" i="11"/>
  <c r="C25" i="11" l="1"/>
  <c r="C28" i="11" l="1"/>
</calcChain>
</file>

<file path=xl/sharedStrings.xml><?xml version="1.0" encoding="utf-8"?>
<sst xmlns="http://schemas.openxmlformats.org/spreadsheetml/2006/main" count="62" uniqueCount="29">
  <si>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</si>
  <si>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</si>
  <si>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</si>
  <si>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</si>
  <si>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</si>
  <si>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</si>
  <si>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</si>
  <si>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</si>
  <si>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</si>
  <si>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</si>
  <si>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</si>
  <si>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</si>
  <si>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</si>
  <si>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</si>
  <si>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</si>
  <si>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</si>
  <si>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</si>
  <si>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</si>
  <si>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  Hexindo to Pama Soulmate</t>
  </si>
  <si>
    <t>Radio Link &amp; Voip Gateway Hexindo - Pama Soulmate</t>
  </si>
  <si>
    <t>18.12.23</t>
  </si>
  <si>
    <t>14.12.23</t>
  </si>
  <si>
    <t xml:space="preserve">          Soulmate mati lampu</t>
  </si>
  <si>
    <t xml:space="preserve">          Area TD mati lampu</t>
  </si>
  <si>
    <t>29.12.23</t>
  </si>
  <si>
    <t>27.12.23</t>
  </si>
  <si>
    <t xml:space="preserve">          Intermitten</t>
  </si>
  <si>
    <t xml:space="preserve">          Maintenance GenSet area soulmate</t>
  </si>
  <si>
    <t>Remaks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</si>
</sst>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m/d/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2137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9" fontId="6" fillId="0" borderId="0"/>
  </cellStyleXfs>
  <cellXfs count="9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0" fontId="8" fillId="0" borderId="0" xfId="0" applyNumberFormat="1" applyFont="1" applyBorder="1" applyAlignment="1">
      <alignment horizontal="left" vertic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8" fillId="0" borderId="0" xfId="0" applyFont="1"/>
    <xf numFmtId="0" fontId="35" fillId="0" borderId="1" xfId="0" applyFont="1" applyBorder="1"/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46" fontId="36" fillId="0" borderId="20" xfId="0" applyNumberFormat="1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6" fillId="0" borderId="25" xfId="0" applyFont="1" applyBorder="1"/>
    <xf numFmtId="10" fontId="36" fillId="0" borderId="25" xfId="0" applyNumberFormat="1" applyFont="1" applyBorder="1" applyAlignment="1">
      <alignment horizontal="center"/>
    </xf>
    <xf numFmtId="46" fontId="36" fillId="0" borderId="25" xfId="0" applyNumberFormat="1" applyFont="1" applyBorder="1" applyAlignment="1">
      <alignment horizontal="center"/>
    </xf>
    <xf numFmtId="46" fontId="36" fillId="0" borderId="26" xfId="0" applyNumberFormat="1" applyFont="1" applyBorder="1" applyAlignment="1">
      <alignment horizontal="center"/>
    </xf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 wrapText="1"/>
    </xf>
    <xf numFmtId="46" fontId="6" fillId="0" borderId="0" xfId="0" applyNumberFormat="1" applyFont="1" applyBorder="1"/>
    <xf numFmtId="46" fontId="0" fillId="0" borderId="0" xfId="0" applyNumberFormat="1" applyBorder="1"/>
    <xf numFmtId="9" fontId="13" fillId="0" borderId="0" xfId="0" applyNumberFormat="1" applyFont="1" applyBorder="1" applyAlignment="1">
      <alignment horizontal="center"/>
    </xf>
    <xf numFmtId="0" fontId="37" fillId="0" borderId="14" xfId="0" applyFont="1" applyBorder="1"/>
    <xf numFmtId="0" fontId="6" fillId="0" borderId="21" xfId="0" applyFont="1" applyBorder="1" applyAlignment="1">
      <alignment horizontal="center"/>
    </xf>
    <xf numFmtId="0" fontId="6" fillId="0" borderId="0" xfId="0" applyFont="1" applyBorder="1"/>
    <xf numFmtId="46" fontId="0" fillId="0" borderId="29" xfId="0" applyNumberFormat="1" applyBorder="1"/>
    <xf numFmtId="0" fontId="37" fillId="0" borderId="2" xfId="0" applyFont="1" applyBorder="1" applyAlignment="1">
      <alignment horizontal="center" vertical="center"/>
    </xf>
    <xf numFmtId="46" fontId="0" fillId="0" borderId="2" xfId="0" applyNumberFormat="1" applyBorder="1"/>
    <xf numFmtId="0" fontId="6" fillId="0" borderId="29" xfId="0" applyFont="1" applyBorder="1" applyAlignment="1">
      <alignment horizontal="center"/>
    </xf>
    <xf numFmtId="0" fontId="37" fillId="0" borderId="29" xfId="0" applyFont="1" applyBorder="1"/>
    <xf numFmtId="0" fontId="37" fillId="0" borderId="29" xfId="0" applyFont="1" applyBorder="1" applyAlignment="1">
      <alignment horizontal="center" vertical="center"/>
    </xf>
    <xf numFmtId="0" fontId="6" fillId="0" borderId="0" xfId="0" applyFont="1" applyBorder="1" applyAlignment="1" applyProtection="1">
      <alignment horizontal="left" indent="4"/>
      <protection locked="0"/>
    </xf>
    <xf numFmtId="0" fontId="0" fillId="33" borderId="21" xfId="0" applyFill="1" applyBorder="1" applyAlignment="1">
      <alignment horizontal="center"/>
    </xf>
    <xf numFmtId="0" fontId="0" fillId="33" borderId="14" xfId="0" applyFill="1" applyBorder="1"/>
    <xf numFmtId="0" fontId="0" fillId="33" borderId="2" xfId="0" applyFill="1" applyBorder="1"/>
    <xf numFmtId="9" fontId="13" fillId="33" borderId="2" xfId="0" applyNumberFormat="1" applyFont="1" applyFill="1" applyBorder="1" applyAlignment="1">
      <alignment horizontal="center"/>
    </xf>
    <xf numFmtId="9" fontId="13" fillId="33" borderId="1" xfId="0" applyNumberFormat="1" applyFont="1" applyFill="1" applyBorder="1" applyAlignment="1">
      <alignment horizontal="center"/>
    </xf>
    <xf numFmtId="0" fontId="0" fillId="33" borderId="1" xfId="0" applyFill="1" applyBorder="1"/>
    <xf numFmtId="16" fontId="8" fillId="34" borderId="3" xfId="0" applyNumberFormat="1" applyFont="1" applyFill="1" applyBorder="1" applyAlignment="1">
      <alignment horizontal="center"/>
    </xf>
    <xf numFmtId="16" fontId="8" fillId="34" borderId="1" xfId="0" applyNumberFormat="1" applyFont="1" applyFill="1" applyBorder="1" applyAlignment="1">
      <alignment horizontal="center"/>
    </xf>
    <xf numFmtId="165" fontId="8" fillId="0" borderId="32" xfId="0" applyNumberFormat="1" applyFont="1" applyBorder="1" applyAlignment="1">
      <alignment horizontal="center" vertical="center" wrapText="1"/>
    </xf>
    <xf numFmtId="165" fontId="8" fillId="0" borderId="30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0" fontId="8" fillId="0" borderId="28" xfId="0" applyNumberFormat="1" applyFont="1" applyBorder="1" applyAlignment="1">
      <alignment horizontal="left" vertical="center" wrapText="1"/>
    </xf>
    <xf numFmtId="10" fontId="8" fillId="0" borderId="33" xfId="0" applyNumberFormat="1" applyFont="1" applyBorder="1" applyAlignment="1">
      <alignment horizontal="left" vertical="center" wrapText="1"/>
    </xf>
    <xf numFmtId="10" fontId="8" fillId="0" borderId="31" xfId="0" applyNumberFormat="1" applyFont="1" applyBorder="1" applyAlignment="1">
      <alignment horizontal="left" vertical="center" wrapText="1"/>
    </xf>
    <xf numFmtId="10" fontId="8" fillId="0" borderId="18" xfId="0" applyNumberFormat="1" applyFont="1" applyBorder="1" applyAlignment="1">
      <alignment horizontal="center"/>
    </xf>
    <xf numFmtId="10" fontId="8" fillId="0" borderId="23" xfId="0" applyNumberFormat="1" applyFont="1" applyBorder="1" applyAlignment="1">
      <alignment horizontal="center"/>
    </xf>
    <xf numFmtId="0" fontId="38" fillId="0" borderId="2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34" borderId="16" xfId="0" applyFont="1" applyFill="1" applyBorder="1" applyAlignment="1">
      <alignment horizontal="center" vertical="center" wrapText="1"/>
    </xf>
    <xf numFmtId="0" fontId="8" fillId="34" borderId="19" xfId="0" applyFont="1" applyFill="1" applyBorder="1" applyAlignment="1">
      <alignment horizontal="center" vertical="center" wrapText="1"/>
    </xf>
    <xf numFmtId="0" fontId="8" fillId="34" borderId="27" xfId="0" applyFont="1" applyFill="1" applyBorder="1" applyAlignment="1">
      <alignment horizontal="center" vertical="center" wrapText="1"/>
    </xf>
    <xf numFmtId="0" fontId="8" fillId="34" borderId="28" xfId="0" applyFont="1" applyFill="1" applyBorder="1" applyAlignment="1">
      <alignment horizontal="center" vertical="center" wrapText="1"/>
    </xf>
    <xf numFmtId="0" fontId="8" fillId="34" borderId="2" xfId="0" applyFont="1" applyFill="1" applyBorder="1" applyAlignment="1">
      <alignment horizontal="center" vertical="center" wrapText="1"/>
    </xf>
    <xf numFmtId="0" fontId="8" fillId="34" borderId="4" xfId="0" applyFont="1" applyFill="1" applyBorder="1" applyAlignment="1">
      <alignment horizontal="center" vertical="center" wrapText="1"/>
    </xf>
  </cellXfs>
  <cellStyles count="2137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Style 1" xfId="2136"/>
    <cellStyle name="Title" xfId="20" builtinId="15" customBuiltin="1"/>
    <cellStyle name="Total" xfId="35" builtinId="25" customBuiltin="1"/>
    <cellStyle name="Warning Text" xfId="33" builtinId="11" customBuiltin="1"/>
  </cellStyles>
  <dxfs count="4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7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H27" sqref="H27"/>
    </sheetView>
  </sheetViews>
  <sheetFormatPr defaultRowHeight="12.75" x14ac:dyDescent="0.2"/>
  <cols>
    <col min="1" max="1" width="5.7109375" style="2" customWidth="1"/>
    <col min="2" max="2" width="45.5703125" customWidth="1"/>
    <col min="3" max="3" width="20.140625" customWidth="1"/>
    <col min="4" max="4" width="9.140625" style="12" customWidth="1"/>
    <col min="5" max="12" width="9.140625" style="14" customWidth="1"/>
    <col min="13" max="13" width="8.5703125" style="14" customWidth="1"/>
    <col min="14" max="14" width="9.140625" style="14" customWidth="1"/>
    <col min="15" max="15" width="10" style="14" customWidth="1"/>
    <col min="16" max="16" width="9.140625" style="14" customWidth="1"/>
    <col min="17" max="32" width="9.140625" customWidth="1"/>
    <col min="34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35">
        <v>45261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1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ht="13.5" thickBot="1" x14ac:dyDescent="0.25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89" t="s">
        <v>2</v>
      </c>
      <c r="B10" s="91" t="s">
        <v>0</v>
      </c>
      <c r="C10" s="93" t="s">
        <v>7</v>
      </c>
      <c r="D10" s="71">
        <v>44896</v>
      </c>
      <c r="E10" s="71">
        <v>44897</v>
      </c>
      <c r="F10" s="71">
        <v>44898</v>
      </c>
      <c r="G10" s="71">
        <v>44899</v>
      </c>
      <c r="H10" s="71">
        <v>44900</v>
      </c>
      <c r="I10" s="71">
        <v>44901</v>
      </c>
      <c r="J10" s="71">
        <v>44902</v>
      </c>
      <c r="K10" s="71">
        <v>44903</v>
      </c>
      <c r="L10" s="71">
        <v>44904</v>
      </c>
      <c r="M10" s="71">
        <v>44905</v>
      </c>
      <c r="N10" s="71">
        <v>44906</v>
      </c>
      <c r="O10" s="71">
        <v>44907</v>
      </c>
      <c r="P10" s="71">
        <v>44908</v>
      </c>
      <c r="Q10" s="71">
        <v>44909</v>
      </c>
      <c r="R10" s="71">
        <v>44910</v>
      </c>
      <c r="S10" s="71">
        <v>44911</v>
      </c>
      <c r="T10" s="71">
        <v>44912</v>
      </c>
      <c r="U10" s="71">
        <v>44913</v>
      </c>
      <c r="V10" s="71">
        <v>44914</v>
      </c>
      <c r="W10" s="71">
        <v>44915</v>
      </c>
      <c r="X10" s="71">
        <v>44916</v>
      </c>
      <c r="Y10" s="71">
        <v>44917</v>
      </c>
      <c r="Z10" s="71">
        <v>44918</v>
      </c>
      <c r="AA10" s="71">
        <v>44919</v>
      </c>
      <c r="AB10" s="71">
        <v>44920</v>
      </c>
      <c r="AC10" s="71">
        <v>44921</v>
      </c>
      <c r="AD10" s="71">
        <v>44922</v>
      </c>
      <c r="AE10" s="71">
        <v>44923</v>
      </c>
      <c r="AF10" s="71">
        <v>44924</v>
      </c>
      <c r="AG10" s="71">
        <v>44925</v>
      </c>
      <c r="AH10" s="72">
        <v>44926</v>
      </c>
    </row>
    <row r="11" spans="1:34" s="1" customFormat="1" x14ac:dyDescent="0.2">
      <c r="A11" s="90"/>
      <c r="B11" s="92"/>
      <c r="C11" s="94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65"/>
      <c r="B12" s="66"/>
      <c r="C12" s="67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9"/>
      <c r="AG12" s="69"/>
      <c r="AH12" s="70"/>
    </row>
    <row r="13" spans="1:34" s="15" customFormat="1" ht="15" x14ac:dyDescent="0.25">
      <c r="A13" s="40">
        <v>1</v>
      </c>
      <c r="B13" s="49" t="s">
        <v>18</v>
      </c>
      <c r="C13" s="50" t="s">
        <v>16</v>
      </c>
      <c r="D13" s="33">
        <v>0</v>
      </c>
      <c r="E13" s="33">
        <v>0</v>
      </c>
      <c r="F13" s="33">
        <v>0</v>
      </c>
      <c r="G13" s="33">
        <v>0</v>
      </c>
      <c r="H13" s="60">
        <v>0</v>
      </c>
      <c r="I13" s="60">
        <v>0</v>
      </c>
      <c r="J13" s="33">
        <v>0</v>
      </c>
      <c r="K13" s="60">
        <v>0</v>
      </c>
      <c r="L13" s="60">
        <v>0</v>
      </c>
      <c r="M13" s="33">
        <v>0</v>
      </c>
      <c r="N13" s="33">
        <v>0</v>
      </c>
      <c r="O13" s="60">
        <v>0</v>
      </c>
      <c r="P13" s="33">
        <v>0</v>
      </c>
      <c r="Q13" s="33">
        <v>1.0474537037037037E-2</v>
      </c>
      <c r="R13" s="33">
        <v>0</v>
      </c>
      <c r="S13" s="33">
        <v>0</v>
      </c>
      <c r="T13" s="33">
        <v>0</v>
      </c>
      <c r="U13" s="33">
        <v>1.4212962962962962E-2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0</v>
      </c>
      <c r="AB13" s="33">
        <v>0</v>
      </c>
      <c r="AC13" s="33">
        <v>0</v>
      </c>
      <c r="AD13" s="33">
        <v>3.5532407407407405E-3</v>
      </c>
      <c r="AE13" s="33">
        <v>0</v>
      </c>
      <c r="AF13" s="33">
        <v>2.4270833333333335E-2</v>
      </c>
      <c r="AG13" s="33">
        <v>0</v>
      </c>
      <c r="AH13" s="33">
        <v>0</v>
      </c>
    </row>
    <row r="14" spans="1:34" s="15" customFormat="1" ht="15" x14ac:dyDescent="0.25">
      <c r="A14" s="56">
        <v>2</v>
      </c>
      <c r="B14" s="55" t="s">
        <v>17</v>
      </c>
      <c r="C14" s="59" t="s">
        <v>16</v>
      </c>
      <c r="D14" s="60">
        <v>0</v>
      </c>
      <c r="E14" s="33">
        <v>0</v>
      </c>
      <c r="F14" s="60">
        <v>0</v>
      </c>
      <c r="G14" s="33">
        <v>0</v>
      </c>
      <c r="H14" s="33">
        <v>0</v>
      </c>
      <c r="I14" s="60">
        <v>0</v>
      </c>
      <c r="J14" s="60">
        <v>0</v>
      </c>
      <c r="K14" s="60">
        <v>0</v>
      </c>
      <c r="L14" s="60">
        <v>0</v>
      </c>
      <c r="M14" s="60">
        <v>0</v>
      </c>
      <c r="N14" s="60">
        <v>0</v>
      </c>
      <c r="O14" s="33">
        <v>0</v>
      </c>
      <c r="P14" s="33">
        <v>0</v>
      </c>
      <c r="Q14" s="33">
        <v>1.0474537037037037E-2</v>
      </c>
      <c r="R14" s="33">
        <v>0</v>
      </c>
      <c r="S14" s="33">
        <v>0</v>
      </c>
      <c r="T14" s="33">
        <v>0</v>
      </c>
      <c r="U14" s="33">
        <v>1.4212962962962962E-2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v>0</v>
      </c>
      <c r="AB14" s="33">
        <v>0</v>
      </c>
      <c r="AC14" s="33">
        <v>0</v>
      </c>
      <c r="AD14" s="33">
        <v>3.5532407407407405E-3</v>
      </c>
      <c r="AE14" s="33">
        <v>0</v>
      </c>
      <c r="AF14" s="33">
        <v>2.4270833333333335E-2</v>
      </c>
      <c r="AG14" s="33">
        <v>0</v>
      </c>
      <c r="AH14" s="33">
        <v>0</v>
      </c>
    </row>
    <row r="15" spans="1:34" s="15" customFormat="1" ht="18" customHeight="1" x14ac:dyDescent="0.25">
      <c r="A15" s="61"/>
      <c r="B15" s="62"/>
      <c r="C15" s="63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1"/>
      <c r="Q15" s="51"/>
      <c r="R15" s="51"/>
      <c r="S15" s="52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7"/>
    </row>
    <row r="16" spans="1:34" s="15" customFormat="1" ht="19.5" customHeight="1" x14ac:dyDescent="0.2">
      <c r="A16" s="87">
        <v>3</v>
      </c>
      <c r="B16" s="84" t="s">
        <v>28</v>
      </c>
      <c r="C16" s="73" t="s">
        <v>21</v>
      </c>
      <c r="D16" s="79" t="s">
        <v>22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3"/>
      <c r="AC16" s="51"/>
      <c r="AD16" s="51"/>
      <c r="AE16" s="51"/>
      <c r="AF16" s="51"/>
      <c r="AG16" s="51"/>
      <c r="AH16" s="57"/>
    </row>
    <row r="17" spans="1:34" s="15" customFormat="1" ht="19.5" customHeight="1" x14ac:dyDescent="0.2">
      <c r="A17" s="87"/>
      <c r="B17" s="85"/>
      <c r="C17" s="74" t="s">
        <v>20</v>
      </c>
      <c r="D17" s="79" t="s">
        <v>23</v>
      </c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3"/>
      <c r="AC17" s="51"/>
      <c r="AD17" s="51"/>
      <c r="AE17" s="51"/>
      <c r="AF17" s="51"/>
      <c r="AG17" s="51"/>
      <c r="AH17" s="57"/>
    </row>
    <row r="18" spans="1:34" s="15" customFormat="1" ht="19.5" customHeight="1" x14ac:dyDescent="0.2">
      <c r="A18" s="87"/>
      <c r="B18" s="85"/>
      <c r="C18" s="73" t="s">
        <v>25</v>
      </c>
      <c r="D18" s="79" t="s">
        <v>26</v>
      </c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3"/>
      <c r="AC18" s="51"/>
      <c r="AD18" s="51"/>
      <c r="AE18" s="51"/>
      <c r="AF18" s="51"/>
      <c r="AG18" s="51"/>
      <c r="AH18" s="57"/>
    </row>
    <row r="19" spans="1:34" s="15" customFormat="1" ht="21.75" customHeight="1" x14ac:dyDescent="0.2">
      <c r="A19" s="88"/>
      <c r="B19" s="86"/>
      <c r="C19" s="74" t="s">
        <v>24</v>
      </c>
      <c r="D19" s="79" t="s">
        <v>27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7"/>
    </row>
    <row r="20" spans="1:34" s="15" customFormat="1" ht="21.75" customHeight="1" x14ac:dyDescent="0.2">
      <c r="A20" s="16"/>
      <c r="D20" s="17"/>
      <c r="E20" s="18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7"/>
    </row>
    <row r="21" spans="1:34" s="15" customFormat="1" ht="21.75" customHeight="1" thickBot="1" x14ac:dyDescent="0.25">
      <c r="A21" s="26" t="s">
        <v>11</v>
      </c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7"/>
    </row>
    <row r="22" spans="1:34" s="15" customFormat="1" ht="20.100000000000001" customHeight="1" x14ac:dyDescent="0.2">
      <c r="A22" s="75" t="s">
        <v>2</v>
      </c>
      <c r="B22" s="77" t="s">
        <v>8</v>
      </c>
      <c r="C22" s="77" t="s">
        <v>1</v>
      </c>
      <c r="D22" s="82" t="s">
        <v>6</v>
      </c>
      <c r="E22" s="83"/>
      <c r="F22" s="19"/>
      <c r="G22" s="19"/>
      <c r="H22" s="19"/>
      <c r="I22" s="19"/>
      <c r="J22" s="19"/>
      <c r="K22" s="19"/>
      <c r="L22" s="19"/>
      <c r="M22" s="19"/>
      <c r="N22" s="19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3"/>
      <c r="AC22" s="51"/>
      <c r="AD22" s="51"/>
      <c r="AE22" s="51"/>
      <c r="AF22" s="51"/>
      <c r="AG22" s="51"/>
      <c r="AH22" s="57"/>
    </row>
    <row r="23" spans="1:34" s="15" customFormat="1" ht="20.100000000000001" customHeight="1" x14ac:dyDescent="0.2">
      <c r="A23" s="76"/>
      <c r="B23" s="78"/>
      <c r="C23" s="78"/>
      <c r="D23" s="28" t="s">
        <v>9</v>
      </c>
      <c r="E23" s="41" t="s">
        <v>10</v>
      </c>
      <c r="F23" s="19"/>
      <c r="G23" s="19"/>
      <c r="H23" s="19"/>
      <c r="I23" s="19"/>
      <c r="J23" s="64"/>
      <c r="K23" s="19"/>
      <c r="L23" s="19"/>
      <c r="M23" s="19"/>
      <c r="N23" s="19"/>
      <c r="P23" s="19"/>
    </row>
    <row r="24" spans="1:34" s="15" customFormat="1" ht="20.100000000000001" customHeight="1" x14ac:dyDescent="0.25">
      <c r="A24" s="42">
        <v>1</v>
      </c>
      <c r="B24" s="37" t="str">
        <f>B13</f>
        <v>Link Wireless   Hexindo to Pama Soulmate</v>
      </c>
      <c r="C24" s="38">
        <f>1-(((D24*3600)+(LEFT(E24,2)*60)+RIGHT(E24,2))/((60*60*24)*$C$8))</f>
        <v>0.99830607825567508</v>
      </c>
      <c r="D24" s="39" t="str">
        <f>TEXT(SUM(D13:AG13),"[h]")</f>
        <v>1</v>
      </c>
      <c r="E24" s="43" t="str">
        <f>TEXT(SUM(D13:AF13),"mm ss")</f>
        <v>15 37</v>
      </c>
      <c r="F24" s="24"/>
      <c r="G24" s="19"/>
      <c r="H24" s="25"/>
      <c r="I24" s="19"/>
      <c r="J24" s="19"/>
      <c r="K24" s="19"/>
      <c r="L24" s="19"/>
      <c r="M24" s="19"/>
      <c r="N24" s="19"/>
      <c r="P24" s="19"/>
      <c r="AC24" s="32"/>
    </row>
    <row r="25" spans="1:34" s="15" customFormat="1" ht="20.100000000000001" customHeight="1" thickBot="1" x14ac:dyDescent="0.3">
      <c r="A25" s="44">
        <v>2</v>
      </c>
      <c r="B25" s="45" t="str">
        <f>B14</f>
        <v>Voip Gateway ( Link Telephone )</v>
      </c>
      <c r="C25" s="46">
        <f>1-(((D25*3600)+(LEFT(E25,2)*60)+RIGHT(E25,2))/((60*60*24)*$C$8))</f>
        <v>0.99830607825567508</v>
      </c>
      <c r="D25" s="47" t="str">
        <f>TEXT(SUM(D14:AG14),"[h]")</f>
        <v>1</v>
      </c>
      <c r="E25" s="48" t="str">
        <f>TEXT(SUM(D14:AF14),"mm ss")</f>
        <v>15 37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AC25" s="32"/>
    </row>
    <row r="26" spans="1:34" s="15" customFormat="1" ht="20.100000000000001" customHeight="1" x14ac:dyDescent="0.2">
      <c r="A26" s="16"/>
      <c r="D26" s="17"/>
      <c r="E26" s="18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AC26" s="32"/>
      <c r="AE26" s="53"/>
    </row>
    <row r="27" spans="1:34" s="15" customFormat="1" ht="21" customHeight="1" x14ac:dyDescent="0.2">
      <c r="A27" s="27" t="s">
        <v>14</v>
      </c>
      <c r="B27" s="20"/>
      <c r="C27" s="23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19"/>
      <c r="AC27" s="32"/>
    </row>
    <row r="28" spans="1:34" s="15" customFormat="1" ht="14.25" customHeight="1" x14ac:dyDescent="0.2">
      <c r="A28" s="36" t="s">
        <v>19</v>
      </c>
      <c r="B28"/>
      <c r="C28" s="28">
        <f>(SUM(C24:C25))/(100%*2)</f>
        <v>0.99830607825567508</v>
      </c>
      <c r="D28" s="12"/>
      <c r="E28" s="14"/>
      <c r="F28" s="14"/>
      <c r="G28" s="14"/>
      <c r="H28" s="34"/>
      <c r="I28" s="14"/>
      <c r="J28" s="14"/>
      <c r="K28" s="14"/>
      <c r="L28" s="14"/>
      <c r="M28" s="14"/>
      <c r="N28" s="14"/>
      <c r="O28" s="14"/>
      <c r="P28" s="54"/>
      <c r="R28" s="53"/>
      <c r="T28" s="53"/>
    </row>
    <row r="29" spans="1:34" s="20" customFormat="1" x14ac:dyDescent="0.2">
      <c r="A29" s="2"/>
      <c r="B29"/>
      <c r="C29"/>
      <c r="D29" s="12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9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</row>
    <row r="30" spans="1:34" x14ac:dyDescent="0.2">
      <c r="J30" s="53"/>
      <c r="P30" s="22"/>
      <c r="Q30" s="22"/>
      <c r="R30" s="22"/>
      <c r="S30" s="22"/>
      <c r="T30" s="22"/>
      <c r="U30" s="22"/>
      <c r="V30" s="5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0"/>
      <c r="AH30" s="20"/>
    </row>
    <row r="35" spans="6:32" x14ac:dyDescent="0.2">
      <c r="J35" s="31"/>
    </row>
    <row r="36" spans="6:32" x14ac:dyDescent="0.2"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41" spans="6:32" x14ac:dyDescent="0.2">
      <c r="F41" s="29"/>
      <c r="G41" s="30"/>
      <c r="H41" s="30"/>
      <c r="I41" s="30"/>
      <c r="J41" s="30"/>
      <c r="K41" s="30"/>
      <c r="L41" s="30"/>
      <c r="M41" s="30"/>
      <c r="N41" s="30"/>
      <c r="O41" s="30"/>
    </row>
    <row r="42" spans="6:32" x14ac:dyDescent="0.2">
      <c r="F42" s="29"/>
      <c r="G42" s="30"/>
      <c r="H42" s="30"/>
      <c r="I42" s="30"/>
      <c r="J42" s="30"/>
      <c r="K42" s="30"/>
      <c r="L42" s="30"/>
      <c r="M42" s="30"/>
      <c r="N42" s="30"/>
      <c r="O42" s="30"/>
    </row>
    <row r="43" spans="6:32" x14ac:dyDescent="0.2">
      <c r="F43" s="29"/>
      <c r="G43" s="30"/>
      <c r="H43" s="30"/>
      <c r="I43" s="30"/>
      <c r="J43" s="30"/>
      <c r="K43" s="30"/>
      <c r="L43" s="30"/>
      <c r="M43" s="30"/>
      <c r="N43" s="30"/>
      <c r="O43" s="30"/>
    </row>
    <row r="44" spans="6:32" x14ac:dyDescent="0.2">
      <c r="F44" s="29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</row>
    <row r="45" spans="6:32" x14ac:dyDescent="0.2">
      <c r="P45" s="30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</row>
    <row r="46" spans="6:32" x14ac:dyDescent="0.2">
      <c r="P46" s="30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</row>
    <row r="47" spans="6:32" x14ac:dyDescent="0.2">
      <c r="P47" s="30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</row>
  </sheetData>
  <sheetProtection formatRows="0"/>
  <mergeCells count="13">
    <mergeCell ref="A10:A11"/>
    <mergeCell ref="B10:B11"/>
    <mergeCell ref="C10:C11"/>
    <mergeCell ref="A22:A23"/>
    <mergeCell ref="B22:B23"/>
    <mergeCell ref="C22:C23"/>
    <mergeCell ref="D19:O19"/>
    <mergeCell ref="D22:E22"/>
    <mergeCell ref="B16:B19"/>
    <mergeCell ref="A16:A19"/>
    <mergeCell ref="D16:O16"/>
    <mergeCell ref="D17:O17"/>
    <mergeCell ref="D18:O18"/>
  </mergeCells>
  <phoneticPr fontId="9" type="noConversion"/>
  <conditionalFormatting sqref="D15:O15 AB16:AB18">
    <cfRule type="cellIs" dxfId="43" priority="194" stopIfTrue="1" operator="greaterThan">
      <formula>0</formula>
    </cfRule>
  </conditionalFormatting>
  <conditionalFormatting sqref="X14">
    <cfRule type="cellIs" dxfId="42" priority="176" stopIfTrue="1" operator="greaterThan">
      <formula>0</formula>
    </cfRule>
  </conditionalFormatting>
  <conditionalFormatting sqref="F13 J13">
    <cfRule type="cellIs" dxfId="41" priority="173" stopIfTrue="1" operator="greaterThan">
      <formula>0</formula>
    </cfRule>
  </conditionalFormatting>
  <conditionalFormatting sqref="P14 J14:K14">
    <cfRule type="cellIs" dxfId="40" priority="168" stopIfTrue="1" operator="greaterThan">
      <formula>0</formula>
    </cfRule>
  </conditionalFormatting>
  <conditionalFormatting sqref="AD13">
    <cfRule type="cellIs" dxfId="39" priority="153" stopIfTrue="1" operator="greaterThan">
      <formula>0</formula>
    </cfRule>
  </conditionalFormatting>
  <conditionalFormatting sqref="Y14">
    <cfRule type="cellIs" dxfId="38" priority="146" stopIfTrue="1" operator="greaterThan">
      <formula>0</formula>
    </cfRule>
  </conditionalFormatting>
  <conditionalFormatting sqref="F14">
    <cfRule type="cellIs" dxfId="37" priority="129" stopIfTrue="1" operator="greaterThan">
      <formula>0</formula>
    </cfRule>
  </conditionalFormatting>
  <conditionalFormatting sqref="M13:N13">
    <cfRule type="cellIs" dxfId="36" priority="103" stopIfTrue="1" operator="greaterThan">
      <formula>0</formula>
    </cfRule>
  </conditionalFormatting>
  <conditionalFormatting sqref="L14">
    <cfRule type="cellIs" dxfId="35" priority="104" stopIfTrue="1" operator="greaterThan">
      <formula>0</formula>
    </cfRule>
  </conditionalFormatting>
  <conditionalFormatting sqref="AB14">
    <cfRule type="cellIs" dxfId="34" priority="95" stopIfTrue="1" operator="greaterThan">
      <formula>0</formula>
    </cfRule>
  </conditionalFormatting>
  <conditionalFormatting sqref="M14:N14">
    <cfRule type="cellIs" dxfId="33" priority="102" stopIfTrue="1" operator="greaterThan">
      <formula>0</formula>
    </cfRule>
  </conditionalFormatting>
  <conditionalFormatting sqref="AH13:AH14">
    <cfRule type="cellIs" dxfId="32" priority="91" stopIfTrue="1" operator="greaterThan">
      <formula>0</formula>
    </cfRule>
  </conditionalFormatting>
  <conditionalFormatting sqref="S15">
    <cfRule type="cellIs" dxfId="31" priority="85" stopIfTrue="1" operator="greaterThan">
      <formula>0</formula>
    </cfRule>
  </conditionalFormatting>
  <conditionalFormatting sqref="V30">
    <cfRule type="cellIs" dxfId="30" priority="71" stopIfTrue="1" operator="greaterThan">
      <formula>0</formula>
    </cfRule>
  </conditionalFormatting>
  <conditionalFormatting sqref="S13:S14">
    <cfRule type="cellIs" dxfId="29" priority="68" stopIfTrue="1" operator="greaterThan">
      <formula>0</formula>
    </cfRule>
  </conditionalFormatting>
  <conditionalFormatting sqref="T28">
    <cfRule type="cellIs" dxfId="28" priority="67" stopIfTrue="1" operator="greaterThan">
      <formula>0</formula>
    </cfRule>
  </conditionalFormatting>
  <conditionalFormatting sqref="AA14">
    <cfRule type="cellIs" dxfId="27" priority="65" stopIfTrue="1" operator="greaterThan">
      <formula>0</formula>
    </cfRule>
  </conditionalFormatting>
  <conditionalFormatting sqref="D13:D14">
    <cfRule type="cellIs" dxfId="26" priority="61" stopIfTrue="1" operator="greaterThan">
      <formula>0</formula>
    </cfRule>
  </conditionalFormatting>
  <conditionalFormatting sqref="J30">
    <cfRule type="cellIs" dxfId="25" priority="57" stopIfTrue="1" operator="greaterThan">
      <formula>0</formula>
    </cfRule>
  </conditionalFormatting>
  <conditionalFormatting sqref="R28">
    <cfRule type="cellIs" dxfId="24" priority="54" stopIfTrue="1" operator="greaterThan">
      <formula>0</formula>
    </cfRule>
  </conditionalFormatting>
  <conditionalFormatting sqref="H14">
    <cfRule type="cellIs" dxfId="23" priority="41" stopIfTrue="1" operator="greaterThan">
      <formula>0</formula>
    </cfRule>
  </conditionalFormatting>
  <conditionalFormatting sqref="O14">
    <cfRule type="cellIs" dxfId="22" priority="40" stopIfTrue="1" operator="greaterThan">
      <formula>0</formula>
    </cfRule>
  </conditionalFormatting>
  <conditionalFormatting sqref="R13:R14">
    <cfRule type="cellIs" dxfId="21" priority="39" stopIfTrue="1" operator="greaterThan">
      <formula>0</formula>
    </cfRule>
  </conditionalFormatting>
  <conditionalFormatting sqref="U13:W13 T14:W14">
    <cfRule type="cellIs" dxfId="20" priority="38" stopIfTrue="1" operator="greaterThan">
      <formula>0</formula>
    </cfRule>
  </conditionalFormatting>
  <conditionalFormatting sqref="Z14">
    <cfRule type="cellIs" dxfId="19" priority="37" stopIfTrue="1" operator="greaterThan">
      <formula>0</formula>
    </cfRule>
  </conditionalFormatting>
  <conditionalFormatting sqref="AC13:AC14">
    <cfRule type="cellIs" dxfId="18" priority="36" stopIfTrue="1" operator="greaterThan">
      <formula>0</formula>
    </cfRule>
  </conditionalFormatting>
  <conditionalFormatting sqref="AG13:AG14">
    <cfRule type="cellIs" dxfId="17" priority="34" stopIfTrue="1" operator="greaterThan">
      <formula>0</formula>
    </cfRule>
  </conditionalFormatting>
  <conditionalFormatting sqref="L13">
    <cfRule type="cellIs" dxfId="16" priority="29" stopIfTrue="1" operator="greaterThan">
      <formula>0</formula>
    </cfRule>
  </conditionalFormatting>
  <conditionalFormatting sqref="T13">
    <cfRule type="cellIs" dxfId="15" priority="32" stopIfTrue="1" operator="greaterThan">
      <formula>0</formula>
    </cfRule>
  </conditionalFormatting>
  <conditionalFormatting sqref="H13">
    <cfRule type="cellIs" dxfId="14" priority="31" stopIfTrue="1" operator="greaterThan">
      <formula>0</formula>
    </cfRule>
  </conditionalFormatting>
  <conditionalFormatting sqref="X13:AB13">
    <cfRule type="cellIs" dxfId="13" priority="25" stopIfTrue="1" operator="greaterThan">
      <formula>0</formula>
    </cfRule>
  </conditionalFormatting>
  <conditionalFormatting sqref="P13:Q13">
    <cfRule type="cellIs" dxfId="12" priority="27" stopIfTrue="1" operator="greaterThan">
      <formula>0</formula>
    </cfRule>
  </conditionalFormatting>
  <conditionalFormatting sqref="E14">
    <cfRule type="cellIs" dxfId="11" priority="24" stopIfTrue="1" operator="greaterThan">
      <formula>0</formula>
    </cfRule>
  </conditionalFormatting>
  <conditionalFormatting sqref="E13">
    <cfRule type="cellIs" dxfId="10" priority="22" stopIfTrue="1" operator="greaterThan">
      <formula>0</formula>
    </cfRule>
  </conditionalFormatting>
  <conditionalFormatting sqref="K13">
    <cfRule type="cellIs" dxfId="9" priority="21" stopIfTrue="1" operator="greaterThan">
      <formula>0</formula>
    </cfRule>
  </conditionalFormatting>
  <conditionalFormatting sqref="O13">
    <cfRule type="cellIs" dxfId="8" priority="20" stopIfTrue="1" operator="greaterThan">
      <formula>0</formula>
    </cfRule>
  </conditionalFormatting>
  <conditionalFormatting sqref="AE26">
    <cfRule type="cellIs" dxfId="7" priority="18" stopIfTrue="1" operator="greaterThan">
      <formula>0</formula>
    </cfRule>
  </conditionalFormatting>
  <conditionalFormatting sqref="AF13:AF14">
    <cfRule type="cellIs" dxfId="6" priority="14" stopIfTrue="1" operator="greaterThan">
      <formula>0</formula>
    </cfRule>
  </conditionalFormatting>
  <conditionalFormatting sqref="AB22">
    <cfRule type="cellIs" dxfId="5" priority="11" stopIfTrue="1" operator="greaterThan">
      <formula>0</formula>
    </cfRule>
  </conditionalFormatting>
  <conditionalFormatting sqref="I13:I14">
    <cfRule type="cellIs" dxfId="4" priority="9" stopIfTrue="1" operator="greaterThan">
      <formula>0</formula>
    </cfRule>
  </conditionalFormatting>
  <conditionalFormatting sqref="AE13:AE14">
    <cfRule type="cellIs" dxfId="3" priority="7" stopIfTrue="1" operator="greaterThan">
      <formula>0</formula>
    </cfRule>
  </conditionalFormatting>
  <conditionalFormatting sqref="Q14">
    <cfRule type="cellIs" dxfId="2" priority="5" stopIfTrue="1" operator="greaterThan">
      <formula>0</formula>
    </cfRule>
  </conditionalFormatting>
  <conditionalFormatting sqref="G13:G14">
    <cfRule type="cellIs" dxfId="1" priority="1" stopIfTrue="1" operator="greaterThan">
      <formula>0</formula>
    </cfRule>
  </conditionalFormatting>
  <conditionalFormatting sqref="AD14">
    <cfRule type="cellIs" dxfId="0" priority="3" stopIfTrue="1" operator="greaterThan">
      <formula>0</formula>
    </cfRule>
  </conditionalFormatting>
  <pageMargins left="0.75" right="0.25" top="1" bottom="1" header="0.5" footer="0.5"/>
  <pageSetup paperSize="9" scale="26" orientation="portrait" horizontalDpi="4294967292" verticalDpi="4294967292" r:id="rId1"/>
  <headerFooter alignWithMargins="0"/>
  <rowBreaks count="1" manualBreakCount="1">
    <brk id="29" max="16383" man="1"/>
  </rowBreaks>
  <colBreaks count="2" manualBreakCount="2">
    <brk id="3" max="1048575" man="1"/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LINK Hexindo - Pama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2023-12-30T02:56:25Z</dcterms:modified>
</cp:coreProperties>
</file>