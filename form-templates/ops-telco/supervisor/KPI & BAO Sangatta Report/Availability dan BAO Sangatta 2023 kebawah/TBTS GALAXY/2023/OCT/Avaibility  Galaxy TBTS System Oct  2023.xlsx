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60" windowWidth="15480" windowHeight="11280"/>
  </bookViews>
  <sheets>
    <sheet name="Avaibility ALU" sheetId="11" r:id="rId1"/>
  </sheets>
  <definedNames>
    <definedName name="_xlnm.Print_Area" localSheetId="0">'Avaibility ALU'!$A$1:$AG$37</definedName>
  </definedNames>
  <calcPr calcId="144525"/>
</workbook>
</file>

<file path=xl/calcChain.xml><?xml version="1.0" encoding="utf-8"?>
<calcChain xmlns="http://schemas.openxmlformats.org/spreadsheetml/2006/main">
  <c r="D27" i="11" l="1"/>
  <c r="E26" i="11"/>
  <c r="B27" i="11" l="1"/>
  <c r="B26" i="11"/>
  <c r="D26" i="11" l="1"/>
  <c r="C26" i="11" l="1"/>
  <c r="E27" i="11"/>
  <c r="C27" i="11" s="1"/>
  <c r="C32" i="11" l="1"/>
</calcChain>
</file>

<file path=xl/sharedStrings.xml><?xml version="1.0" encoding="utf-8"?>
<sst xmlns="http://schemas.openxmlformats.org/spreadsheetml/2006/main" count="59" uniqueCount="24">
  <si>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</si>
  <si>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</si>
  <si>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</si>
  <si>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</si>
  <si>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</si>
  <si>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</si>
  <si>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</si>
  <si>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</si>
  <si>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</si>
  <si>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</si>
  <si>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</si>
  <si>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</si>
  <si>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</si>
  <si>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</si>
  <si>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</si>
  <si>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</si>
  <si>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</si>
  <si>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</si>
  <si>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Tower System</t>
  </si>
  <si>
    <t>Power System</t>
  </si>
  <si>
    <t>Galaxy TBTS</t>
  </si>
  <si>
    <t>TBTS galaxy</t>
  </si>
  <si>
    <t>REMAKS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</si>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</sst>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64" fontId="0" fillId="0" borderId="15" xfId="0" applyBorder="1"/>
    <xf numFmtId="164" fontId="0" fillId="0" borderId="3" xfId="0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1" fontId="6" fillId="0" borderId="25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8" fillId="0" borderId="1" xfId="0" applyFont="1" applyBorder="1" applyAlignment="1">
      <alignment horizontal="center"/>
    </xf>
    <xf numFmtId="16" fontId="8" fillId="33" borderId="18" xfId="0" applyNumberFormat="1" applyFont="1" applyFill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165" fontId="8" fillId="0" borderId="3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64" fontId="0" fillId="0" borderId="27" xfId="0" applyBorder="1" applyAlignment="1">
      <alignment horizontal="left"/>
    </xf>
    <xf numFmtId="46" fontId="0" fillId="0" borderId="31" xfId="0" applyNumberFormat="1" applyBorder="1" applyAlignment="1">
      <alignment horizontal="center" vertical="center"/>
    </xf>
    <xf numFmtId="16" fontId="8" fillId="33" borderId="33" xfId="0" applyNumberFormat="1" applyFont="1" applyFill="1" applyBorder="1" applyAlignment="1">
      <alignment horizontal="center"/>
    </xf>
    <xf numFmtId="164" fontId="37" fillId="0" borderId="25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32" xfId="0" applyFont="1" applyBorder="1" applyAlignment="1">
      <alignment horizontal="left" vertical="center"/>
    </xf>
    <xf numFmtId="164" fontId="6" fillId="0" borderId="27" xfId="0" applyFont="1" applyBorder="1" applyAlignment="1">
      <alignment horizontal="left" vertical="center"/>
    </xf>
    <xf numFmtId="164" fontId="6" fillId="0" borderId="28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29" xfId="0" applyFont="1" applyBorder="1" applyAlignment="1">
      <alignment horizontal="left" vertical="center"/>
    </xf>
    <xf numFmtId="164" fontId="6" fillId="0" borderId="30" xfId="0" applyFont="1" applyBorder="1" applyAlignment="1">
      <alignment horizontal="left" vertical="center"/>
    </xf>
    <xf numFmtId="164" fontId="36" fillId="0" borderId="26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28" xfId="0" applyFont="1" applyBorder="1" applyAlignment="1">
      <alignment horizontal="center" vertical="center" wrapText="1"/>
    </xf>
    <xf numFmtId="49" fontId="37" fillId="0" borderId="26" xfId="0" applyNumberFormat="1" applyFont="1" applyBorder="1" applyAlignment="1">
      <alignment horizontal="center" vertical="center" wrapText="1"/>
    </xf>
    <xf numFmtId="49" fontId="37" fillId="0" borderId="22" xfId="0" applyNumberFormat="1" applyFont="1" applyBorder="1" applyAlignment="1">
      <alignment horizontal="center" vertical="center" wrapText="1"/>
    </xf>
    <xf numFmtId="49" fontId="37" fillId="0" borderId="28" xfId="0" applyNumberFormat="1" applyFont="1" applyBorder="1" applyAlignment="1">
      <alignment horizontal="center" vertical="center" wrapText="1"/>
    </xf>
    <xf numFmtId="164" fontId="12" fillId="0" borderId="1" xfId="0" applyFont="1" applyFill="1" applyBorder="1" applyAlignment="1">
      <alignment horizontal="center" vertical="center"/>
    </xf>
    <xf numFmtId="9" fontId="13" fillId="0" borderId="3" xfId="0" applyNumberFormat="1" applyFont="1" applyFill="1" applyBorder="1" applyAlignment="1">
      <alignment horizontal="center"/>
    </xf>
    <xf numFmtId="164" fontId="0" fillId="0" borderId="1" xfId="0" applyFill="1" applyBorder="1"/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8"/>
  <sheetViews>
    <sheetView tabSelected="1" zoomScale="80" zoomScaleNormal="80" workbookViewId="0">
      <selection activeCell="L28" sqref="L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9" style="11" customWidth="1"/>
    <col min="16" max="33" width="9" customWidth="1"/>
    <col min="34" max="34" width="9.57031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6">
        <v>45200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38" t="s">
        <v>23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AH9" s="71"/>
    </row>
    <row r="10" spans="1:34" s="3" customFormat="1" x14ac:dyDescent="0.2">
      <c r="A10" s="75" t="s">
        <v>2</v>
      </c>
      <c r="B10" s="77" t="s">
        <v>0</v>
      </c>
      <c r="C10" s="77" t="s">
        <v>8</v>
      </c>
      <c r="D10" s="66">
        <v>44470</v>
      </c>
      <c r="E10" s="66">
        <v>44471</v>
      </c>
      <c r="F10" s="66">
        <v>44472</v>
      </c>
      <c r="G10" s="66">
        <v>44473</v>
      </c>
      <c r="H10" s="66">
        <v>44474</v>
      </c>
      <c r="I10" s="66">
        <v>44475</v>
      </c>
      <c r="J10" s="66">
        <v>44476</v>
      </c>
      <c r="K10" s="66">
        <v>44477</v>
      </c>
      <c r="L10" s="66">
        <v>44478</v>
      </c>
      <c r="M10" s="66">
        <v>44479</v>
      </c>
      <c r="N10" s="66">
        <v>44480</v>
      </c>
      <c r="O10" s="66">
        <v>44481</v>
      </c>
      <c r="P10" s="66">
        <v>44482</v>
      </c>
      <c r="Q10" s="66">
        <v>44483</v>
      </c>
      <c r="R10" s="66">
        <v>44484</v>
      </c>
      <c r="S10" s="66">
        <v>44485</v>
      </c>
      <c r="T10" s="66">
        <v>44486</v>
      </c>
      <c r="U10" s="66">
        <v>44487</v>
      </c>
      <c r="V10" s="66">
        <v>44488</v>
      </c>
      <c r="W10" s="66">
        <v>44489</v>
      </c>
      <c r="X10" s="66">
        <v>44490</v>
      </c>
      <c r="Y10" s="66">
        <v>44491</v>
      </c>
      <c r="Z10" s="66">
        <v>44492</v>
      </c>
      <c r="AA10" s="66">
        <v>44493</v>
      </c>
      <c r="AB10" s="66">
        <v>44494</v>
      </c>
      <c r="AC10" s="66">
        <v>44495</v>
      </c>
      <c r="AD10" s="66">
        <v>44496</v>
      </c>
      <c r="AE10" s="66">
        <v>44497</v>
      </c>
      <c r="AF10" s="66">
        <v>44498</v>
      </c>
      <c r="AG10" s="66">
        <v>44499</v>
      </c>
      <c r="AH10" s="73">
        <v>44500</v>
      </c>
    </row>
    <row r="11" spans="1:34" s="1" customFormat="1" x14ac:dyDescent="0.2">
      <c r="A11" s="76"/>
      <c r="B11" s="78"/>
      <c r="C11" s="78"/>
      <c r="D11" s="98" t="s">
        <v>7</v>
      </c>
      <c r="E11" s="98" t="s">
        <v>7</v>
      </c>
      <c r="F11" s="98" t="s">
        <v>7</v>
      </c>
      <c r="G11" s="98" t="s">
        <v>7</v>
      </c>
      <c r="H11" s="98" t="s">
        <v>7</v>
      </c>
      <c r="I11" s="98" t="s">
        <v>7</v>
      </c>
      <c r="J11" s="98" t="s">
        <v>7</v>
      </c>
      <c r="K11" s="98" t="s">
        <v>7</v>
      </c>
      <c r="L11" s="98" t="s">
        <v>7</v>
      </c>
      <c r="M11" s="98" t="s">
        <v>7</v>
      </c>
      <c r="N11" s="98" t="s">
        <v>7</v>
      </c>
      <c r="O11" s="98" t="s">
        <v>7</v>
      </c>
      <c r="P11" s="98" t="s">
        <v>7</v>
      </c>
      <c r="Q11" s="98" t="s">
        <v>7</v>
      </c>
      <c r="R11" s="98" t="s">
        <v>7</v>
      </c>
      <c r="S11" s="98" t="s">
        <v>7</v>
      </c>
      <c r="T11" s="98" t="s">
        <v>7</v>
      </c>
      <c r="U11" s="98" t="s">
        <v>7</v>
      </c>
      <c r="V11" s="98" t="s">
        <v>7</v>
      </c>
      <c r="W11" s="98" t="s">
        <v>7</v>
      </c>
      <c r="X11" s="98" t="s">
        <v>7</v>
      </c>
      <c r="Y11" s="98" t="s">
        <v>7</v>
      </c>
      <c r="Z11" s="98" t="s">
        <v>7</v>
      </c>
      <c r="AA11" s="98" t="s">
        <v>7</v>
      </c>
      <c r="AB11" s="98" t="s">
        <v>7</v>
      </c>
      <c r="AC11" s="98" t="s">
        <v>7</v>
      </c>
      <c r="AD11" s="98" t="s">
        <v>7</v>
      </c>
      <c r="AE11" s="98" t="s">
        <v>7</v>
      </c>
      <c r="AF11" s="98" t="s">
        <v>7</v>
      </c>
      <c r="AG11" s="10" t="s">
        <v>7</v>
      </c>
      <c r="AH11" s="10" t="s">
        <v>7</v>
      </c>
    </row>
    <row r="12" spans="1:34" x14ac:dyDescent="0.2">
      <c r="A12" s="42"/>
      <c r="B12" s="32"/>
      <c r="C12" s="33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100"/>
      <c r="AG12" s="57"/>
      <c r="AH12" s="58"/>
    </row>
    <row r="13" spans="1:34" s="12" customFormat="1" ht="15.75" x14ac:dyDescent="0.25">
      <c r="A13" s="43" t="s">
        <v>17</v>
      </c>
      <c r="B13" s="31" t="s">
        <v>18</v>
      </c>
      <c r="C13" s="65" t="s">
        <v>20</v>
      </c>
      <c r="D13" s="70">
        <v>0</v>
      </c>
      <c r="E13" s="70">
        <v>0</v>
      </c>
      <c r="F13" s="70">
        <v>0</v>
      </c>
      <c r="G13" s="70">
        <v>0</v>
      </c>
      <c r="H13" s="70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0</v>
      </c>
      <c r="X13" s="70">
        <v>0</v>
      </c>
      <c r="Y13" s="70">
        <v>0</v>
      </c>
      <c r="Z13" s="70">
        <v>0</v>
      </c>
      <c r="AA13" s="70">
        <v>0</v>
      </c>
      <c r="AB13" s="70">
        <v>0</v>
      </c>
      <c r="AC13" s="70">
        <v>0</v>
      </c>
      <c r="AD13" s="70">
        <v>0</v>
      </c>
      <c r="AE13" s="70">
        <v>0</v>
      </c>
      <c r="AF13" s="70">
        <v>0</v>
      </c>
      <c r="AG13" s="70">
        <v>0</v>
      </c>
      <c r="AH13" s="70">
        <v>0</v>
      </c>
    </row>
    <row r="14" spans="1:34" s="12" customFormat="1" ht="16.5" thickBot="1" x14ac:dyDescent="0.3">
      <c r="A14" s="43" t="s">
        <v>16</v>
      </c>
      <c r="B14" s="31" t="s">
        <v>19</v>
      </c>
      <c r="C14" s="65" t="s">
        <v>20</v>
      </c>
      <c r="D14" s="70">
        <v>0</v>
      </c>
      <c r="E14" s="70">
        <v>0</v>
      </c>
      <c r="F14" s="70">
        <v>0</v>
      </c>
      <c r="G14" s="70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70">
        <v>0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0</v>
      </c>
      <c r="X14" s="70">
        <v>0</v>
      </c>
      <c r="Y14" s="70">
        <v>0</v>
      </c>
      <c r="Z14" s="70">
        <v>0</v>
      </c>
      <c r="AA14" s="70">
        <v>0</v>
      </c>
      <c r="AB14" s="70">
        <v>0</v>
      </c>
      <c r="AC14" s="70">
        <v>0</v>
      </c>
      <c r="AD14" s="70">
        <v>0</v>
      </c>
      <c r="AE14" s="70">
        <v>0</v>
      </c>
      <c r="AF14" s="70">
        <v>0</v>
      </c>
      <c r="AG14" s="70">
        <v>0</v>
      </c>
      <c r="AH14" s="72">
        <v>0</v>
      </c>
    </row>
    <row r="15" spans="1:34" s="12" customFormat="1" ht="16.5" customHeight="1" thickBot="1" x14ac:dyDescent="0.25">
      <c r="A15" s="59"/>
      <c r="B15" s="60"/>
      <c r="C15" s="61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40"/>
    </row>
    <row r="16" spans="1:34" s="12" customFormat="1" ht="16.5" customHeight="1" x14ac:dyDescent="0.2">
      <c r="A16" s="95">
        <v>3</v>
      </c>
      <c r="B16" s="92" t="s">
        <v>22</v>
      </c>
      <c r="C16" s="62"/>
      <c r="D16" s="89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1"/>
      <c r="AH16" s="40"/>
    </row>
    <row r="17" spans="1:34" s="12" customFormat="1" ht="16.5" customHeight="1" x14ac:dyDescent="0.2">
      <c r="A17" s="96"/>
      <c r="B17" s="93"/>
      <c r="C17" s="62"/>
      <c r="D17" s="82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4"/>
      <c r="AH17" s="40"/>
    </row>
    <row r="18" spans="1:34" s="12" customFormat="1" ht="16.5" customHeight="1" x14ac:dyDescent="0.2">
      <c r="A18" s="96"/>
      <c r="B18" s="93"/>
      <c r="C18" s="63"/>
      <c r="D18" s="82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4"/>
      <c r="AH18" s="40"/>
    </row>
    <row r="19" spans="1:34" s="12" customFormat="1" ht="16.5" customHeight="1" thickBot="1" x14ac:dyDescent="0.25">
      <c r="A19" s="97"/>
      <c r="B19" s="94"/>
      <c r="C19" s="68"/>
      <c r="D19" s="79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1"/>
      <c r="AH19" s="40"/>
    </row>
    <row r="20" spans="1:34" s="12" customFormat="1" ht="15" x14ac:dyDescent="0.2">
      <c r="A20" s="54"/>
      <c r="B20" s="54"/>
      <c r="C20" s="55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</row>
    <row r="21" spans="1:34" s="12" customFormat="1" ht="15" x14ac:dyDescent="0.2">
      <c r="A21" s="13"/>
      <c r="B21" s="39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0"/>
    </row>
    <row r="22" spans="1:34" s="12" customFormat="1" x14ac:dyDescent="0.2">
      <c r="A22" s="13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1:34" s="12" customFormat="1" x14ac:dyDescent="0.2">
      <c r="A23" s="22" t="s">
        <v>12</v>
      </c>
      <c r="D23" s="14"/>
      <c r="E23" s="15"/>
      <c r="F23" s="15"/>
      <c r="G23" s="15"/>
      <c r="H23" s="15"/>
      <c r="I23" s="15"/>
      <c r="J23" s="15"/>
      <c r="K23" s="48"/>
      <c r="L23" s="48"/>
      <c r="M23" s="15"/>
      <c r="O23" s="15"/>
      <c r="AB23" s="30"/>
    </row>
    <row r="24" spans="1:34" s="12" customFormat="1" x14ac:dyDescent="0.2">
      <c r="A24" s="85" t="s">
        <v>2</v>
      </c>
      <c r="B24" s="85" t="s">
        <v>9</v>
      </c>
      <c r="C24" s="85" t="s">
        <v>1</v>
      </c>
      <c r="D24" s="87" t="s">
        <v>7</v>
      </c>
      <c r="E24" s="88"/>
      <c r="F24" s="15"/>
      <c r="G24" s="15"/>
      <c r="H24" s="15"/>
      <c r="I24" s="15"/>
      <c r="J24" s="15"/>
      <c r="K24" s="49"/>
      <c r="L24" s="49"/>
      <c r="M24" s="15"/>
      <c r="O24" s="15"/>
      <c r="AB24" s="30"/>
    </row>
    <row r="25" spans="1:34" s="12" customFormat="1" x14ac:dyDescent="0.2">
      <c r="A25" s="86"/>
      <c r="B25" s="86"/>
      <c r="C25" s="86"/>
      <c r="D25" s="26" t="s">
        <v>10</v>
      </c>
      <c r="E25" s="21" t="s">
        <v>11</v>
      </c>
      <c r="F25" s="15"/>
      <c r="G25" s="15"/>
      <c r="H25" s="15"/>
      <c r="I25" s="15"/>
      <c r="J25" s="15"/>
      <c r="K25" s="15"/>
      <c r="L25" s="15"/>
      <c r="M25" s="15"/>
      <c r="O25" s="15"/>
      <c r="AB25" s="30"/>
    </row>
    <row r="26" spans="1:34" s="12" customFormat="1" ht="15.75" x14ac:dyDescent="0.25">
      <c r="A26" s="37" t="s">
        <v>17</v>
      </c>
      <c r="B26" s="31" t="str">
        <f>B13</f>
        <v>Tower System</v>
      </c>
      <c r="C26" s="34">
        <f t="shared" ref="C26:C27" si="0">1-(((D26*3600)+(LEFT(E26,2)*60)+RIGHT(E26,2))/((60*60*24)*$C$8))</f>
        <v>1</v>
      </c>
      <c r="D26" s="19" t="str">
        <f>TEXT(SUM(D13:AG13),"[h]")</f>
        <v>0</v>
      </c>
      <c r="E26" s="19" t="str">
        <f>TEXT(SUM(E13:AH13),"mm ss")</f>
        <v>00 00</v>
      </c>
      <c r="F26" s="15"/>
      <c r="G26" s="20"/>
      <c r="H26" s="15"/>
      <c r="I26" s="15"/>
      <c r="J26" s="15"/>
      <c r="K26" s="15"/>
      <c r="L26" s="15"/>
      <c r="M26" s="15"/>
      <c r="O26" s="15"/>
      <c r="AB26" s="30"/>
    </row>
    <row r="27" spans="1:34" s="12" customFormat="1" ht="15.75" x14ac:dyDescent="0.25">
      <c r="A27" s="69" t="s">
        <v>16</v>
      </c>
      <c r="B27" s="31" t="str">
        <f>B14</f>
        <v>Power System</v>
      </c>
      <c r="C27" s="67">
        <f t="shared" si="0"/>
        <v>1</v>
      </c>
      <c r="D27" s="19" t="str">
        <f>TEXT(SUM(E14:AH14),"[h]")</f>
        <v>0</v>
      </c>
      <c r="E27" s="19" t="str">
        <f>TEXT(SUM(D14:AG14),"mm ss")</f>
        <v>00 00</v>
      </c>
      <c r="F27" s="15"/>
      <c r="G27" s="20"/>
      <c r="H27" s="15"/>
      <c r="I27" s="15"/>
      <c r="J27" s="15"/>
      <c r="K27" s="15"/>
      <c r="L27" s="15"/>
      <c r="M27" s="15"/>
      <c r="O27" s="15"/>
      <c r="AB27" s="30"/>
    </row>
    <row r="28" spans="1:34" ht="15.75" x14ac:dyDescent="0.25">
      <c r="A28" s="44"/>
      <c r="B28" s="45"/>
      <c r="C28" s="46"/>
      <c r="D28" s="47"/>
      <c r="E28" s="47"/>
      <c r="F28" s="15"/>
      <c r="G28" s="20"/>
      <c r="H28" s="15"/>
      <c r="I28" s="15"/>
      <c r="J28" s="15"/>
      <c r="K28" s="15"/>
      <c r="L28" s="50"/>
      <c r="M28" s="50"/>
      <c r="N28" s="50"/>
      <c r="O28" s="50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4" x14ac:dyDescent="0.2">
      <c r="A29" s="13"/>
      <c r="B29" s="12"/>
      <c r="C29" s="25"/>
      <c r="D29" s="24"/>
      <c r="E29" s="15"/>
      <c r="F29" s="15"/>
      <c r="G29" s="15"/>
      <c r="H29" s="15"/>
      <c r="I29" s="15"/>
      <c r="J29" s="15"/>
      <c r="K29" s="15"/>
      <c r="L29" s="50"/>
      <c r="M29" s="50"/>
      <c r="N29" s="50"/>
      <c r="O29" s="50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4" x14ac:dyDescent="0.2">
      <c r="A30" s="13"/>
      <c r="B30" s="12"/>
      <c r="C30" s="12"/>
      <c r="D30" s="14"/>
      <c r="E30" s="15"/>
      <c r="F30" s="15"/>
      <c r="G30" s="15"/>
      <c r="H30" s="15"/>
      <c r="I30" s="15"/>
      <c r="J30" s="15"/>
      <c r="K30" s="15"/>
      <c r="L30" s="50"/>
      <c r="M30" s="50"/>
      <c r="N30" s="50"/>
      <c r="O30" s="50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4" x14ac:dyDescent="0.2">
      <c r="A31" s="14"/>
      <c r="B31" s="23" t="s">
        <v>13</v>
      </c>
      <c r="C31" s="18"/>
      <c r="D31" s="17"/>
      <c r="E31" s="17"/>
      <c r="F31" s="17"/>
      <c r="G31" s="17"/>
      <c r="H31" s="17"/>
      <c r="I31" s="17"/>
      <c r="J31" s="17"/>
      <c r="K31" s="17"/>
      <c r="L31" s="51"/>
      <c r="M31" s="51"/>
      <c r="N31" s="51"/>
      <c r="O31" s="51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6"/>
    </row>
    <row r="32" spans="1:34" x14ac:dyDescent="0.2">
      <c r="A32"/>
      <c r="B32" s="12" t="s">
        <v>21</v>
      </c>
      <c r="C32" s="26">
        <f>(SUM(C26:C27))/(100%*2)</f>
        <v>1</v>
      </c>
      <c r="G32" s="35"/>
      <c r="L32" s="52"/>
      <c r="M32" s="52"/>
      <c r="N32" s="52"/>
      <c r="O32" s="52"/>
    </row>
    <row r="33" spans="1:32" x14ac:dyDescent="0.2">
      <c r="L33" s="52"/>
      <c r="M33" s="52"/>
      <c r="N33" s="52"/>
      <c r="O33" s="52"/>
    </row>
    <row r="34" spans="1:32" x14ac:dyDescent="0.2">
      <c r="L34" s="52"/>
      <c r="M34" s="52"/>
      <c r="N34" s="52"/>
      <c r="O34" s="52"/>
    </row>
    <row r="35" spans="1:32" x14ac:dyDescent="0.2">
      <c r="L35" s="52"/>
      <c r="M35" s="52"/>
      <c r="N35" s="52"/>
      <c r="O35" s="52"/>
    </row>
    <row r="36" spans="1:32" x14ac:dyDescent="0.2">
      <c r="A36" s="53"/>
      <c r="B36" s="64"/>
    </row>
    <row r="37" spans="1:32" x14ac:dyDescent="0.2">
      <c r="A37"/>
      <c r="B37" s="12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</row>
    <row r="45" spans="1:32" x14ac:dyDescent="0.2">
      <c r="A45"/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 spans="1:32" x14ac:dyDescent="0.2">
      <c r="A46"/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 spans="1:32" x14ac:dyDescent="0.2">
      <c r="A47"/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 spans="1:32" x14ac:dyDescent="0.2">
      <c r="A48"/>
      <c r="D48"/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</sheetData>
  <mergeCells count="14">
    <mergeCell ref="A24:A25"/>
    <mergeCell ref="B24:B25"/>
    <mergeCell ref="C24:C25"/>
    <mergeCell ref="D24:E24"/>
    <mergeCell ref="D16:AG16"/>
    <mergeCell ref="D17:AG17"/>
    <mergeCell ref="B16:B19"/>
    <mergeCell ref="A16:A19"/>
    <mergeCell ref="D15:AG15"/>
    <mergeCell ref="A10:A11"/>
    <mergeCell ref="B10:B11"/>
    <mergeCell ref="C10:C11"/>
    <mergeCell ref="D19:AG19"/>
    <mergeCell ref="D18:AG18"/>
  </mergeCells>
  <phoneticPr fontId="9" type="noConversion"/>
  <conditionalFormatting sqref="D13:D14">
    <cfRule type="cellIs" dxfId="24" priority="288" stopIfTrue="1" operator="greaterThan">
      <formula>0</formula>
    </cfRule>
  </conditionalFormatting>
  <conditionalFormatting sqref="D13:F13">
    <cfRule type="cellIs" dxfId="23" priority="242" stopIfTrue="1" operator="greaterThan">
      <formula>0</formula>
    </cfRule>
  </conditionalFormatting>
  <conditionalFormatting sqref="D14:F14">
    <cfRule type="cellIs" dxfId="22" priority="258" stopIfTrue="1" operator="greaterThan">
      <formula>0</formula>
    </cfRule>
  </conditionalFormatting>
  <conditionalFormatting sqref="I14:M14">
    <cfRule type="cellIs" dxfId="21" priority="257" stopIfTrue="1" operator="greaterThan">
      <formula>0</formula>
    </cfRule>
  </conditionalFormatting>
  <conditionalFormatting sqref="O14:AD14">
    <cfRule type="cellIs" dxfId="20" priority="256" stopIfTrue="1" operator="greaterThan">
      <formula>0</formula>
    </cfRule>
  </conditionalFormatting>
  <conditionalFormatting sqref="G14">
    <cfRule type="cellIs" dxfId="19" priority="255" stopIfTrue="1" operator="greaterThan">
      <formula>0</formula>
    </cfRule>
  </conditionalFormatting>
  <conditionalFormatting sqref="N14">
    <cfRule type="cellIs" dxfId="18" priority="254" stopIfTrue="1" operator="greaterThan">
      <formula>0</formula>
    </cfRule>
  </conditionalFormatting>
  <conditionalFormatting sqref="H14">
    <cfRule type="cellIs" dxfId="17" priority="253" stopIfTrue="1" operator="greaterThan">
      <formula>0</formula>
    </cfRule>
  </conditionalFormatting>
  <conditionalFormatting sqref="I13:M13">
    <cfRule type="cellIs" dxfId="16" priority="241" stopIfTrue="1" operator="greaterThan">
      <formula>0</formula>
    </cfRule>
  </conditionalFormatting>
  <conditionalFormatting sqref="O13:AD13">
    <cfRule type="cellIs" dxfId="15" priority="240" stopIfTrue="1" operator="greaterThan">
      <formula>0</formula>
    </cfRule>
  </conditionalFormatting>
  <conditionalFormatting sqref="G13">
    <cfRule type="cellIs" dxfId="14" priority="239" stopIfTrue="1" operator="greaterThan">
      <formula>0</formula>
    </cfRule>
  </conditionalFormatting>
  <conditionalFormatting sqref="N13">
    <cfRule type="cellIs" dxfId="13" priority="238" stopIfTrue="1" operator="greaterThan">
      <formula>0</formula>
    </cfRule>
  </conditionalFormatting>
  <conditionalFormatting sqref="H13">
    <cfRule type="cellIs" dxfId="12" priority="237" stopIfTrue="1" operator="greaterThan">
      <formula>0</formula>
    </cfRule>
  </conditionalFormatting>
  <conditionalFormatting sqref="AE13">
    <cfRule type="cellIs" dxfId="11" priority="236" stopIfTrue="1" operator="greaterThan">
      <formula>0</formula>
    </cfRule>
  </conditionalFormatting>
  <conditionalFormatting sqref="AG13">
    <cfRule type="cellIs" dxfId="10" priority="127" stopIfTrue="1" operator="greaterThan">
      <formula>0</formula>
    </cfRule>
  </conditionalFormatting>
  <conditionalFormatting sqref="AG13">
    <cfRule type="cellIs" dxfId="9" priority="118" stopIfTrue="1" operator="greaterThan">
      <formula>0</formula>
    </cfRule>
  </conditionalFormatting>
  <conditionalFormatting sqref="AG14">
    <cfRule type="cellIs" dxfId="8" priority="129" stopIfTrue="1" operator="greaterThan">
      <formula>0</formula>
    </cfRule>
  </conditionalFormatting>
  <conditionalFormatting sqref="AG14">
    <cfRule type="cellIs" dxfId="7" priority="120" stopIfTrue="1" operator="greaterThan">
      <formula>0</formula>
    </cfRule>
  </conditionalFormatting>
  <conditionalFormatting sqref="K23">
    <cfRule type="cellIs" dxfId="6" priority="90" stopIfTrue="1" operator="greaterThan">
      <formula>0</formula>
    </cfRule>
  </conditionalFormatting>
  <conditionalFormatting sqref="L23">
    <cfRule type="cellIs" dxfId="5" priority="89" stopIfTrue="1" operator="greaterThan">
      <formula>0</formula>
    </cfRule>
  </conditionalFormatting>
  <conditionalFormatting sqref="AE14">
    <cfRule type="cellIs" dxfId="4" priority="72" stopIfTrue="1" operator="greaterThan">
      <formula>0</formula>
    </cfRule>
  </conditionalFormatting>
  <conditionalFormatting sqref="AF13">
    <cfRule type="cellIs" dxfId="3" priority="27" stopIfTrue="1" operator="greaterThan">
      <formula>0</formula>
    </cfRule>
  </conditionalFormatting>
  <conditionalFormatting sqref="AF14">
    <cfRule type="cellIs" dxfId="2" priority="26" stopIfTrue="1" operator="greaterThan">
      <formula>0</formula>
    </cfRule>
  </conditionalFormatting>
  <conditionalFormatting sqref="AH13:AH14">
    <cfRule type="cellIs" dxfId="1" priority="2" stopIfTrue="1" operator="greaterThan">
      <formula>0</formula>
    </cfRule>
  </conditionalFormatting>
  <conditionalFormatting sqref="AH13:AH1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2023-11-01T04:02:21Z</dcterms:modified>
</cp:coreProperties>
</file>