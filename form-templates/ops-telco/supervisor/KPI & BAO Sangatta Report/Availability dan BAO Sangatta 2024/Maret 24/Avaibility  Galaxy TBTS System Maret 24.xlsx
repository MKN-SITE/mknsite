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-105" yWindow="-105" windowWidth="23250" windowHeight="12450"/>
  </bookViews>
  <sheets>
    <sheet name="Avaibility Genset dan TBTS Gala" sheetId="11" r:id="rId1"/>
  </sheets>
  <definedNames>
    <definedName name="_xlnm.Print_Area" localSheetId="0">'Avaibility Genset dan TBTS Gala'!$A$1:$AH$37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1" l="1"/>
  <c r="G10" i="11"/>
  <c r="H10" i="11"/>
  <c r="I10" i="11"/>
  <c r="J10" i="11"/>
  <c r="K10" i="11"/>
  <c r="L10" i="11"/>
  <c r="M10" i="1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E10" i="11"/>
  <c r="D10" i="11"/>
  <c r="D27" i="11" l="1"/>
  <c r="E26" i="11"/>
  <c r="B27" i="11" l="1"/>
  <c r="B26" i="11"/>
  <c r="D26" i="11" l="1"/>
  <c r="C26" i="11" l="1"/>
  <c r="E27" i="11"/>
  <c r="C27" i="11" s="1"/>
  <c r="C32" i="11" l="1"/>
</calcChain>
</file>

<file path=xl/sharedStrings.xml><?xml version="1.0" encoding="utf-8"?>
<sst xmlns="http://schemas.openxmlformats.org/spreadsheetml/2006/main" count="59" uniqueCount="24">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</sst>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4" fontId="0" fillId="0" borderId="1" xfId="0" applyBorder="1"/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64" fontId="35" fillId="0" borderId="23" xfId="0" applyFont="1" applyBorder="1" applyAlignment="1">
      <alignment vertical="center"/>
    </xf>
    <xf numFmtId="164" fontId="36" fillId="0" borderId="23" xfId="0" applyFont="1" applyBorder="1" applyAlignment="1">
      <alignment vertical="center"/>
    </xf>
    <xf numFmtId="164" fontId="0" fillId="0" borderId="23" xfId="0" applyBorder="1" applyAlignment="1">
      <alignment horizontal="left"/>
    </xf>
    <xf numFmtId="164" fontId="13" fillId="0" borderId="23" xfId="0" applyFont="1" applyBorder="1" applyAlignment="1">
      <alignment horizontal="left"/>
    </xf>
    <xf numFmtId="164" fontId="6" fillId="0" borderId="0" xfId="0" applyFont="1" applyFill="1"/>
    <xf numFmtId="16" fontId="8" fillId="0" borderId="4" xfId="0" applyNumberFormat="1" applyFont="1" applyFill="1" applyBorder="1" applyAlignment="1">
      <alignment horizontal="center"/>
    </xf>
    <xf numFmtId="164" fontId="38" fillId="0" borderId="0" xfId="0" applyFont="1" applyAlignment="1">
      <alignment horizontal="left"/>
    </xf>
    <xf numFmtId="164" fontId="36" fillId="0" borderId="23" xfId="0" applyFont="1" applyBorder="1" applyAlignment="1">
      <alignment horizontal="center" vertical="center"/>
    </xf>
    <xf numFmtId="164" fontId="36" fillId="0" borderId="20" xfId="0" applyFont="1" applyBorder="1" applyAlignment="1">
      <alignment horizontal="center" vertical="center"/>
    </xf>
    <xf numFmtId="164" fontId="8" fillId="0" borderId="24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5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22" xfId="0" applyFont="1" applyBorder="1" applyAlignment="1">
      <alignment horizontal="left" vertical="center"/>
    </xf>
    <xf numFmtId="164" fontId="6" fillId="0" borderId="23" xfId="0" applyFont="1" applyBorder="1" applyAlignment="1">
      <alignment horizontal="left" vertical="center"/>
    </xf>
    <xf numFmtId="164" fontId="6" fillId="0" borderId="20" xfId="0" applyFont="1" applyBorder="1" applyAlignment="1">
      <alignment horizontal="left" vertical="center"/>
    </xf>
    <xf numFmtId="164" fontId="6" fillId="0" borderId="4" xfId="0" applyFont="1" applyBorder="1" applyAlignment="1">
      <alignment horizontal="left" vertical="center"/>
    </xf>
    <xf numFmtId="164" fontId="6" fillId="0" borderId="21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" fontId="8" fillId="0" borderId="1" xfId="0" applyNumberFormat="1" applyFont="1" applyFill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8"/>
  <sheetViews>
    <sheetView tabSelected="1" zoomScaleNormal="100" workbookViewId="0">
      <selection activeCell="E35" sqref="E35:N36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3" width="9" customWidth="1"/>
    <col min="34" max="34" width="9.5703125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2">
        <v>45352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4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3"/>
      <c r="B9" s="63"/>
      <c r="C9" s="63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</row>
    <row r="10" spans="1:34" s="3" customFormat="1" x14ac:dyDescent="0.2">
      <c r="A10" s="70" t="s">
        <v>2</v>
      </c>
      <c r="B10" s="72" t="s">
        <v>0</v>
      </c>
      <c r="C10" s="72" t="s">
        <v>8</v>
      </c>
      <c r="D10" s="66">
        <f>C7</f>
        <v>45352</v>
      </c>
      <c r="E10" s="66">
        <f>D10+1</f>
        <v>45353</v>
      </c>
      <c r="F10" s="66">
        <f t="shared" ref="F10:AH10" si="0">E10+1</f>
        <v>45354</v>
      </c>
      <c r="G10" s="66">
        <f t="shared" si="0"/>
        <v>45355</v>
      </c>
      <c r="H10" s="66">
        <f t="shared" si="0"/>
        <v>45356</v>
      </c>
      <c r="I10" s="66">
        <f t="shared" si="0"/>
        <v>45357</v>
      </c>
      <c r="J10" s="66">
        <f t="shared" si="0"/>
        <v>45358</v>
      </c>
      <c r="K10" s="66">
        <f t="shared" si="0"/>
        <v>45359</v>
      </c>
      <c r="L10" s="66">
        <f t="shared" si="0"/>
        <v>45360</v>
      </c>
      <c r="M10" s="66">
        <f t="shared" si="0"/>
        <v>45361</v>
      </c>
      <c r="N10" s="66">
        <f t="shared" si="0"/>
        <v>45362</v>
      </c>
      <c r="O10" s="66">
        <f t="shared" si="0"/>
        <v>45363</v>
      </c>
      <c r="P10" s="66">
        <f t="shared" si="0"/>
        <v>45364</v>
      </c>
      <c r="Q10" s="66">
        <f t="shared" si="0"/>
        <v>45365</v>
      </c>
      <c r="R10" s="66">
        <f t="shared" si="0"/>
        <v>45366</v>
      </c>
      <c r="S10" s="66">
        <f t="shared" si="0"/>
        <v>45367</v>
      </c>
      <c r="T10" s="66">
        <f t="shared" si="0"/>
        <v>45368</v>
      </c>
      <c r="U10" s="66">
        <f t="shared" si="0"/>
        <v>45369</v>
      </c>
      <c r="V10" s="66">
        <f t="shared" si="0"/>
        <v>45370</v>
      </c>
      <c r="W10" s="66">
        <f t="shared" si="0"/>
        <v>45371</v>
      </c>
      <c r="X10" s="66">
        <f t="shared" si="0"/>
        <v>45372</v>
      </c>
      <c r="Y10" s="66">
        <f t="shared" si="0"/>
        <v>45373</v>
      </c>
      <c r="Z10" s="66">
        <f t="shared" si="0"/>
        <v>45374</v>
      </c>
      <c r="AA10" s="66">
        <f t="shared" si="0"/>
        <v>45375</v>
      </c>
      <c r="AB10" s="66">
        <f t="shared" si="0"/>
        <v>45376</v>
      </c>
      <c r="AC10" s="66">
        <f t="shared" si="0"/>
        <v>45377</v>
      </c>
      <c r="AD10" s="66">
        <f t="shared" si="0"/>
        <v>45378</v>
      </c>
      <c r="AE10" s="66">
        <f t="shared" si="0"/>
        <v>45379</v>
      </c>
      <c r="AF10" s="66">
        <f t="shared" si="0"/>
        <v>45380</v>
      </c>
      <c r="AG10" s="66">
        <f t="shared" si="0"/>
        <v>45381</v>
      </c>
      <c r="AH10" s="88">
        <f t="shared" si="0"/>
        <v>45382</v>
      </c>
    </row>
    <row r="11" spans="1:34" s="1" customFormat="1" x14ac:dyDescent="0.2">
      <c r="A11" s="71"/>
      <c r="B11" s="73"/>
      <c r="C11" s="73"/>
      <c r="D11" s="56" t="s">
        <v>7</v>
      </c>
      <c r="E11" s="56" t="s">
        <v>7</v>
      </c>
      <c r="F11" s="56" t="s">
        <v>7</v>
      </c>
      <c r="G11" s="56" t="s">
        <v>7</v>
      </c>
      <c r="H11" s="56" t="s">
        <v>7</v>
      </c>
      <c r="I11" s="56" t="s">
        <v>7</v>
      </c>
      <c r="J11" s="56" t="s">
        <v>7</v>
      </c>
      <c r="K11" s="56" t="s">
        <v>7</v>
      </c>
      <c r="L11" s="56" t="s">
        <v>7</v>
      </c>
      <c r="M11" s="56" t="s">
        <v>7</v>
      </c>
      <c r="N11" s="56" t="s">
        <v>7</v>
      </c>
      <c r="O11" s="56" t="s">
        <v>7</v>
      </c>
      <c r="P11" s="56" t="s">
        <v>7</v>
      </c>
      <c r="Q11" s="56" t="s">
        <v>7</v>
      </c>
      <c r="R11" s="56" t="s">
        <v>7</v>
      </c>
      <c r="S11" s="56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7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51"/>
    </row>
    <row r="13" spans="1:34" s="11" customFormat="1" ht="15.75" x14ac:dyDescent="0.25">
      <c r="A13" s="38" t="s">
        <v>17</v>
      </c>
      <c r="B13" s="27" t="s">
        <v>18</v>
      </c>
      <c r="C13" s="55" t="s">
        <v>20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</row>
    <row r="14" spans="1:34" s="11" customFormat="1" ht="15.75" x14ac:dyDescent="0.25">
      <c r="A14" s="38" t="s">
        <v>16</v>
      </c>
      <c r="B14" s="27" t="s">
        <v>19</v>
      </c>
      <c r="C14" s="55" t="s">
        <v>20</v>
      </c>
      <c r="D14" s="59">
        <v>0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</row>
    <row r="15" spans="1:34" s="11" customFormat="1" ht="16.5" customHeight="1" x14ac:dyDescent="0.2">
      <c r="A15" s="60"/>
      <c r="B15" s="61"/>
      <c r="C15" s="62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9"/>
    </row>
    <row r="16" spans="1:34" s="11" customFormat="1" ht="24.95" customHeight="1" x14ac:dyDescent="0.2">
      <c r="A16" s="86">
        <v>3</v>
      </c>
      <c r="B16" s="84" t="s">
        <v>22</v>
      </c>
      <c r="C16" s="52"/>
      <c r="D16" s="78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</row>
    <row r="17" spans="1:34" s="11" customFormat="1" ht="24.95" customHeight="1" x14ac:dyDescent="0.2">
      <c r="A17" s="86"/>
      <c r="B17" s="84"/>
      <c r="C17" s="52"/>
      <c r="D17" s="81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3"/>
    </row>
    <row r="18" spans="1:34" s="11" customFormat="1" ht="24.95" customHeight="1" x14ac:dyDescent="0.2">
      <c r="A18" s="86"/>
      <c r="B18" s="84"/>
      <c r="C18" s="53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3"/>
    </row>
    <row r="19" spans="1:34" s="11" customFormat="1" ht="24.95" customHeight="1" x14ac:dyDescent="0.2">
      <c r="A19" s="87"/>
      <c r="B19" s="85"/>
      <c r="C19" s="53"/>
      <c r="D19" s="81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3"/>
    </row>
    <row r="20" spans="1:34" s="11" customFormat="1" ht="15" x14ac:dyDescent="0.2">
      <c r="A20" s="48"/>
      <c r="B20" s="48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</row>
    <row r="21" spans="1:34" s="11" customFormat="1" ht="15" x14ac:dyDescent="0.2">
      <c r="A21" s="12"/>
      <c r="B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 spans="1:34" s="11" customFormat="1" x14ac:dyDescent="0.2">
      <c r="A22" s="12"/>
      <c r="D22" s="12"/>
      <c r="H22" s="65"/>
      <c r="I22" s="20"/>
    </row>
    <row r="23" spans="1:34" s="11" customFormat="1" x14ac:dyDescent="0.2">
      <c r="A23" s="19" t="s">
        <v>12</v>
      </c>
      <c r="D23" s="12"/>
      <c r="K23" s="43"/>
      <c r="L23" s="43"/>
      <c r="AB23" s="26"/>
    </row>
    <row r="24" spans="1:34" s="11" customFormat="1" x14ac:dyDescent="0.2">
      <c r="A24" s="74" t="s">
        <v>2</v>
      </c>
      <c r="B24" s="74" t="s">
        <v>9</v>
      </c>
      <c r="C24" s="74" t="s">
        <v>1</v>
      </c>
      <c r="D24" s="76" t="s">
        <v>7</v>
      </c>
      <c r="E24" s="77"/>
      <c r="AB24" s="26"/>
    </row>
    <row r="25" spans="1:34" s="11" customFormat="1" x14ac:dyDescent="0.2">
      <c r="A25" s="75"/>
      <c r="B25" s="75"/>
      <c r="C25" s="75"/>
      <c r="D25" s="22" t="s">
        <v>10</v>
      </c>
      <c r="E25" s="18" t="s">
        <v>11</v>
      </c>
      <c r="AB25" s="26"/>
    </row>
    <row r="26" spans="1:34" s="11" customFormat="1" ht="15.75" x14ac:dyDescent="0.25">
      <c r="A26" s="33" t="s">
        <v>17</v>
      </c>
      <c r="B26" s="27" t="str">
        <f>B13</f>
        <v>Tower System</v>
      </c>
      <c r="C26" s="30">
        <f t="shared" ref="C26:C27" si="1">1-(((D26*3600)+(LEFT(E26,2)*60)+RIGHT(E26,2))/((60*60*24)*$C$8))</f>
        <v>1</v>
      </c>
      <c r="D26" s="16" t="str">
        <f>TEXT(SUM(D13:AH13),"[h]")</f>
        <v>0</v>
      </c>
      <c r="E26" s="16" t="str">
        <f>TEXT(SUM(E13:AH13),"mm ss")</f>
        <v>00 00</v>
      </c>
      <c r="G26" s="17"/>
      <c r="AB26" s="26"/>
    </row>
    <row r="27" spans="1:34" s="11" customFormat="1" ht="15.75" x14ac:dyDescent="0.25">
      <c r="A27" s="58" t="s">
        <v>16</v>
      </c>
      <c r="B27" s="27" t="str">
        <f>B14</f>
        <v>Power System</v>
      </c>
      <c r="C27" s="57">
        <f t="shared" si="1"/>
        <v>1</v>
      </c>
      <c r="D27" s="16" t="str">
        <f>TEXT(SUM(E14:AH14),"[h]")</f>
        <v>0</v>
      </c>
      <c r="E27" s="16" t="str">
        <f>TEXT(SUM(D14:AH14),"mm ss")</f>
        <v>00 00</v>
      </c>
      <c r="G27" s="17"/>
      <c r="AB27" s="26"/>
    </row>
    <row r="28" spans="1:34" ht="15.75" x14ac:dyDescent="0.25">
      <c r="A28" s="39"/>
      <c r="B28" s="40"/>
      <c r="C28" s="41"/>
      <c r="D28" s="42"/>
      <c r="E28" s="42"/>
      <c r="F28" s="11"/>
      <c r="G28" s="17"/>
      <c r="H28" s="11"/>
      <c r="I28" s="11"/>
      <c r="J28" s="11"/>
      <c r="K28" s="11"/>
      <c r="L28" s="44"/>
      <c r="M28" s="44"/>
      <c r="N28" s="44"/>
      <c r="O28" s="4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11"/>
      <c r="C29" s="21"/>
      <c r="D29" s="12"/>
      <c r="E29" s="11"/>
      <c r="F29" s="11"/>
      <c r="G29" s="11"/>
      <c r="H29" s="11"/>
      <c r="I29" s="11"/>
      <c r="J29" s="11"/>
      <c r="K29" s="11"/>
      <c r="L29" s="44"/>
      <c r="M29" s="44"/>
      <c r="N29" s="44"/>
      <c r="O29" s="44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x14ac:dyDescent="0.2">
      <c r="A30" s="12"/>
      <c r="B30" s="11"/>
      <c r="C30" s="11"/>
      <c r="D30" s="12"/>
      <c r="E30" s="11"/>
      <c r="F30" s="11"/>
      <c r="G30" s="11"/>
      <c r="H30" s="11"/>
      <c r="I30" s="11"/>
      <c r="J30" s="11"/>
      <c r="K30" s="11"/>
      <c r="L30" s="44"/>
      <c r="M30" s="44"/>
      <c r="N30" s="44"/>
      <c r="O30" s="44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x14ac:dyDescent="0.2">
      <c r="A31" s="12"/>
      <c r="B31" s="20" t="s">
        <v>13</v>
      </c>
      <c r="C31" s="15"/>
      <c r="D31" s="14"/>
      <c r="E31" s="14"/>
      <c r="F31" s="14"/>
      <c r="G31" s="14"/>
      <c r="H31" s="14"/>
      <c r="I31" s="14"/>
      <c r="J31" s="14"/>
      <c r="K31" s="14"/>
      <c r="L31" s="45"/>
      <c r="M31" s="45"/>
      <c r="N31" s="45"/>
      <c r="O31" s="45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x14ac:dyDescent="0.2">
      <c r="A32"/>
      <c r="B32" s="11" t="s">
        <v>21</v>
      </c>
      <c r="C32" s="22">
        <f>(SUM(C26:C27))/(100%*2)</f>
        <v>1</v>
      </c>
      <c r="G32" s="31"/>
      <c r="L32" s="46"/>
      <c r="M32" s="46"/>
      <c r="N32" s="46"/>
      <c r="O32" s="46"/>
    </row>
    <row r="33" spans="1:34" x14ac:dyDescent="0.2">
      <c r="L33" s="46"/>
      <c r="M33" s="46"/>
      <c r="N33" s="46"/>
      <c r="O33" s="46"/>
    </row>
    <row r="34" spans="1:34" x14ac:dyDescent="0.2">
      <c r="L34" s="46"/>
      <c r="M34" s="46"/>
      <c r="N34" s="46"/>
      <c r="O34" s="46"/>
    </row>
    <row r="35" spans="1:34" x14ac:dyDescent="0.2"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46"/>
    </row>
    <row r="36" spans="1:34" x14ac:dyDescent="0.2">
      <c r="A36" s="47"/>
      <c r="B36" s="54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 spans="1:34" x14ac:dyDescent="0.2">
      <c r="A37"/>
      <c r="B37" s="11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spans="1:34" x14ac:dyDescent="0.2">
      <c r="A47"/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spans="1:34" x14ac:dyDescent="0.2">
      <c r="A48"/>
      <c r="D48"/>
      <c r="E48" s="2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</sheetData>
  <mergeCells count="15">
    <mergeCell ref="E35:N36"/>
    <mergeCell ref="D15:AH15"/>
    <mergeCell ref="A10:A11"/>
    <mergeCell ref="B10:B11"/>
    <mergeCell ref="C10:C11"/>
    <mergeCell ref="A24:A25"/>
    <mergeCell ref="B24:B25"/>
    <mergeCell ref="C24:C25"/>
    <mergeCell ref="D24:E24"/>
    <mergeCell ref="D16:AH16"/>
    <mergeCell ref="D17:AH17"/>
    <mergeCell ref="D18:AH18"/>
    <mergeCell ref="D19:AH19"/>
    <mergeCell ref="B16:B19"/>
    <mergeCell ref="A16:A19"/>
  </mergeCells>
  <phoneticPr fontId="9" type="noConversion"/>
  <conditionalFormatting sqref="D13:AH14">
    <cfRule type="cellIs" dxfId="2" priority="26" stopIfTrue="1" operator="greaterThan">
      <formula>0</formula>
    </cfRule>
  </conditionalFormatting>
  <conditionalFormatting sqref="K23:L23">
    <cfRule type="cellIs" dxfId="1" priority="89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AIO-04</cp:lastModifiedBy>
  <cp:lastPrinted>2022-07-04T01:07:16Z</cp:lastPrinted>
  <dcterms:created xsi:type="dcterms:W3CDTF">2006-10-16T02:50:45Z</dcterms:created>
  <dcterms:modified xsi:type="dcterms:W3CDTF">2024-04-02T07:59:49Z</dcterms:modified>
</cp:coreProperties>
</file>