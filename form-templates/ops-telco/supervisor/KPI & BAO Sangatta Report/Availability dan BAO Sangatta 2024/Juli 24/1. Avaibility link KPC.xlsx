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li 24\"/>
    </mc:Choice>
  </mc:AlternateContent>
  <xr:revisionPtr revIDLastSave="0" documentId="13_ncr:1_{017F5620-5327-4E8F-9CF0-CA24D7897D1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63" i="11" s="1"/>
  <c r="C46" i="11"/>
</calcChain>
</file>

<file path=xl/sharedStrings.xml><?xml version="1.0" encoding="utf-8"?>
<sst xmlns="http://schemas.openxmlformats.org/spreadsheetml/2006/main" count="115" uniqueCount="56">
  <si>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</si>
  <si>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</si>
  <si>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</si>
  <si>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</si>
  <si>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</si>
  <si>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</si>
  <si>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</si>
  <si>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</si>
  <si>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</si>
  <si>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</si>
  <si>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</si>
  <si>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</si>
  <si>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</si>
  <si>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</si>
  <si>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</si>
  <si>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</si>
  <si>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</si>
  <si>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</si>
  <si>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</si>
  <si>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</si>
  <si>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</si>
  <si>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</si>
  <si>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</si>
  <si>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</si>
  <si>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</si>
  <si>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</si>
  <si>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</si>
  <si>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</si>
  <si>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</si>
  <si>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</si>
  <si>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</si>
  <si>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</si>
  <si>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</si>
  <si>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</si>
  <si>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</si>
  <si>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</si>
  <si>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</si>
  <si>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</si>
  <si>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</si>
  <si>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</si>
  <si>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</si>
  <si>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</si>
  <si>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</si>
  <si>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</si>
  <si>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</si>
  <si>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</si>
  <si>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</si>
  <si>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</si>
  <si>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</si>
  <si>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</si>
  <si>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</si>
  <si>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</si>
  <si>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</si>
  <si>
    <t>Availability (Overall)</t>
  </si>
  <si>
    <t>High BER</t>
  </si>
  <si>
    <t>Perbaikan NEC Ipasolink di Tower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</si>
</sst>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;@"/>
    <numFmt numFmtId="165" formatCode="[$-409]d\-mmm\-yyyy;@"/>
    <numFmt numFmtId="166" formatCode="0.0"/>
    <numFmt numFmtId="167" formatCode="h:mm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167" fontId="0" fillId="0" borderId="3" xfId="0" applyNumberFormat="1" applyBorder="1"/>
    <xf numFmtId="167" fontId="6" fillId="0" borderId="0" xfId="0" applyNumberFormat="1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34" sqref="D34:AH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45474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45474</v>
      </c>
      <c r="E10" s="40">
        <f>D10+1</f>
        <v>45475</v>
      </c>
      <c r="F10" s="40">
        <f t="shared" ref="F10:AF10" si="0">E10+1</f>
        <v>45476</v>
      </c>
      <c r="G10" s="40">
        <f t="shared" si="0"/>
        <v>45477</v>
      </c>
      <c r="H10" s="40">
        <f t="shared" si="0"/>
        <v>45478</v>
      </c>
      <c r="I10" s="40">
        <f t="shared" si="0"/>
        <v>45479</v>
      </c>
      <c r="J10" s="40">
        <f t="shared" si="0"/>
        <v>45480</v>
      </c>
      <c r="K10" s="40">
        <f t="shared" si="0"/>
        <v>45481</v>
      </c>
      <c r="L10" s="40">
        <f t="shared" si="0"/>
        <v>45482</v>
      </c>
      <c r="M10" s="40">
        <f t="shared" si="0"/>
        <v>45483</v>
      </c>
      <c r="N10" s="40">
        <f t="shared" si="0"/>
        <v>45484</v>
      </c>
      <c r="O10" s="40">
        <f t="shared" si="0"/>
        <v>45485</v>
      </c>
      <c r="P10" s="40">
        <f t="shared" si="0"/>
        <v>45486</v>
      </c>
      <c r="Q10" s="40">
        <f t="shared" si="0"/>
        <v>45487</v>
      </c>
      <c r="R10" s="40">
        <f t="shared" si="0"/>
        <v>45488</v>
      </c>
      <c r="S10" s="40">
        <f t="shared" si="0"/>
        <v>45489</v>
      </c>
      <c r="T10" s="40">
        <f t="shared" si="0"/>
        <v>45490</v>
      </c>
      <c r="U10" s="40">
        <f t="shared" si="0"/>
        <v>45491</v>
      </c>
      <c r="V10" s="40">
        <f t="shared" si="0"/>
        <v>45492</v>
      </c>
      <c r="W10" s="40">
        <f t="shared" si="0"/>
        <v>45493</v>
      </c>
      <c r="X10" s="40">
        <f t="shared" si="0"/>
        <v>45494</v>
      </c>
      <c r="Y10" s="40">
        <f t="shared" si="0"/>
        <v>45495</v>
      </c>
      <c r="Z10" s="40">
        <f t="shared" si="0"/>
        <v>45496</v>
      </c>
      <c r="AA10" s="40">
        <f t="shared" si="0"/>
        <v>45497</v>
      </c>
      <c r="AB10" s="40">
        <f t="shared" si="0"/>
        <v>45498</v>
      </c>
      <c r="AC10" s="40">
        <f t="shared" si="0"/>
        <v>45499</v>
      </c>
      <c r="AD10" s="40">
        <f t="shared" si="0"/>
        <v>45500</v>
      </c>
      <c r="AE10" s="40">
        <f t="shared" si="0"/>
        <v>45501</v>
      </c>
      <c r="AF10" s="40">
        <f t="shared" si="0"/>
        <v>45502</v>
      </c>
      <c r="AG10" s="40">
        <f>AF10+1</f>
        <v>45503</v>
      </c>
      <c r="AH10" s="72">
        <f>AG10+1</f>
        <v>45504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33</v>
      </c>
      <c r="B13" s="27" t="s">
        <v>41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26</v>
      </c>
      <c r="B16" s="27" t="s">
        <v>16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27</v>
      </c>
      <c r="B17" s="27" t="s">
        <v>17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28</v>
      </c>
      <c r="B18" s="27" t="s">
        <v>18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29</v>
      </c>
      <c r="B19" s="27" t="s">
        <v>19</v>
      </c>
      <c r="C19" s="31"/>
      <c r="D19" s="32">
        <v>0</v>
      </c>
      <c r="E19" s="32">
        <v>0</v>
      </c>
      <c r="F19" s="32">
        <v>5.347222222222222E-2</v>
      </c>
      <c r="G19" s="32">
        <v>0</v>
      </c>
      <c r="H19" s="32">
        <v>0</v>
      </c>
      <c r="I19" s="32">
        <v>2.8472222222222222E-2</v>
      </c>
      <c r="J19" s="32">
        <v>0.05</v>
      </c>
      <c r="K19" s="32">
        <v>0</v>
      </c>
      <c r="L19" s="32">
        <v>0</v>
      </c>
      <c r="M19" s="32">
        <v>0</v>
      </c>
      <c r="N19" s="32">
        <v>0</v>
      </c>
      <c r="O19" s="32">
        <v>7.8472222222222221E-2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30</v>
      </c>
      <c r="B20" s="27" t="s">
        <v>22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31</v>
      </c>
      <c r="B21" s="27" t="s">
        <v>42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32</v>
      </c>
      <c r="B22" s="43" t="s">
        <v>46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34</v>
      </c>
      <c r="B23" s="43" t="s">
        <v>43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36</v>
      </c>
      <c r="B24" s="43" t="s">
        <v>44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37</v>
      </c>
      <c r="B25" s="43" t="s">
        <v>35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45</v>
      </c>
      <c r="B26" s="43" t="s">
        <v>38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47</v>
      </c>
      <c r="B27" s="27" t="s">
        <v>48</v>
      </c>
      <c r="C27" s="70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40</v>
      </c>
      <c r="C30" s="74">
        <v>45476</v>
      </c>
      <c r="D30" s="97" t="s">
        <v>54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</row>
    <row r="31" spans="1:34" s="11" customFormat="1" ht="16.5" customHeight="1" x14ac:dyDescent="0.2">
      <c r="A31" s="92"/>
      <c r="B31" s="95"/>
      <c r="C31" s="62">
        <v>45479</v>
      </c>
      <c r="D31" s="97" t="s">
        <v>54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>
        <v>45480</v>
      </c>
      <c r="D32" s="97" t="s">
        <v>54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>
        <v>45485</v>
      </c>
      <c r="D33" s="97" t="s">
        <v>55</v>
      </c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J42" s="81"/>
      <c r="AB42" s="26"/>
      <c r="AC42" s="26"/>
      <c r="AD42" s="26"/>
      <c r="AE42" s="26"/>
    </row>
    <row r="43" spans="1:34" s="11" customFormat="1" ht="15.75" x14ac:dyDescent="0.25">
      <c r="A43" s="36" t="s">
        <v>33</v>
      </c>
      <c r="B43" s="27" t="s">
        <v>41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J43" s="81"/>
      <c r="AB43" s="26"/>
      <c r="AC43" s="26"/>
      <c r="AD43" s="26"/>
      <c r="AE43" s="26"/>
    </row>
    <row r="44" spans="1:34" s="11" customFormat="1" ht="15.75" x14ac:dyDescent="0.25">
      <c r="A44" s="36" t="s">
        <v>24</v>
      </c>
      <c r="B44" s="27" t="s">
        <v>21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J44" s="82"/>
      <c r="AB44" s="26"/>
      <c r="AC44" s="26"/>
      <c r="AD44" s="26"/>
      <c r="AE44" s="26"/>
    </row>
    <row r="45" spans="1:34" s="11" customFormat="1" ht="15.75" x14ac:dyDescent="0.25">
      <c r="A45" s="36" t="s">
        <v>25</v>
      </c>
      <c r="B45" s="4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26</v>
      </c>
      <c r="B46" s="27" t="s">
        <v>16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27</v>
      </c>
      <c r="B47" s="27" t="s">
        <v>17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28</v>
      </c>
      <c r="B48" s="27" t="s">
        <v>18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0.99321236559139781</v>
      </c>
      <c r="D49" s="16" t="str">
        <f t="shared" si="2"/>
        <v>5</v>
      </c>
      <c r="E49" s="16" t="str">
        <f t="shared" si="3"/>
        <v>03 00</v>
      </c>
      <c r="G49" s="17"/>
    </row>
    <row r="50" spans="1:34" s="11" customFormat="1" ht="15.75" x14ac:dyDescent="0.25">
      <c r="A50" s="36" t="s">
        <v>30</v>
      </c>
      <c r="B50" s="27" t="s">
        <v>22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31</v>
      </c>
      <c r="B51" s="27" t="s">
        <v>42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32</v>
      </c>
      <c r="B52" s="27" t="s">
        <v>46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36</v>
      </c>
      <c r="B54" s="27" t="s">
        <v>49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37</v>
      </c>
      <c r="B55" s="27" t="s">
        <v>50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45</v>
      </c>
      <c r="B56" s="27" t="s">
        <v>39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47</v>
      </c>
      <c r="B57" s="27" t="s">
        <v>48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53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51</v>
      </c>
      <c r="C63" s="76">
        <f>(SUM(C43:C57))/(100%*15)</f>
        <v>0.99954749103942642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8" priority="183" stopIfTrue="1" operator="greaterThan">
      <formula>0</formula>
    </cfRule>
  </conditionalFormatting>
  <conditionalFormatting sqref="D13:Z15 D16:K19 M16:Z20">
    <cfRule type="cellIs" dxfId="17" priority="14" stopIfTrue="1" operator="greaterThan">
      <formula>0</formula>
    </cfRule>
  </conditionalFormatting>
  <conditionalFormatting sqref="D23:Z28">
    <cfRule type="cellIs" dxfId="16" priority="39" stopIfTrue="1" operator="greaterThan">
      <formula>0</formula>
    </cfRule>
  </conditionalFormatting>
  <conditionalFormatting sqref="E20:F22">
    <cfRule type="cellIs" dxfId="15" priority="33" stopIfTrue="1" operator="greaterThan">
      <formula>0</formula>
    </cfRule>
  </conditionalFormatting>
  <conditionalFormatting sqref="G20:K21 M21:AB21">
    <cfRule type="cellIs" dxfId="14" priority="34" stopIfTrue="1" operator="greaterThan">
      <formula>0</formula>
    </cfRule>
  </conditionalFormatting>
  <conditionalFormatting sqref="G22:Z22">
    <cfRule type="cellIs" dxfId="13" priority="29" stopIfTrue="1" operator="greaterThan">
      <formula>0</formula>
    </cfRule>
  </conditionalFormatting>
  <conditionalFormatting sqref="J42:J43">
    <cfRule type="cellIs" dxfId="12" priority="1" stopIfTrue="1" operator="greaterThan">
      <formula>0</formula>
    </cfRule>
  </conditionalFormatting>
  <conditionalFormatting sqref="K40:L40">
    <cfRule type="cellIs" dxfId="11" priority="72" stopIfTrue="1" operator="greaterThan">
      <formula>0</formula>
    </cfRule>
  </conditionalFormatting>
  <conditionalFormatting sqref="L16:L21">
    <cfRule type="cellIs" dxfId="10" priority="7" stopIfTrue="1" operator="greaterThan">
      <formula>0</formula>
    </cfRule>
  </conditionalFormatting>
  <conditionalFormatting sqref="AA22:AA28">
    <cfRule type="cellIs" dxfId="9" priority="31" stopIfTrue="1" operator="greaterThan">
      <formula>0</formula>
    </cfRule>
  </conditionalFormatting>
  <conditionalFormatting sqref="AA13:AB20">
    <cfRule type="cellIs" dxfId="8" priority="57" stopIfTrue="1" operator="greaterThan">
      <formula>0</formula>
    </cfRule>
  </conditionalFormatting>
  <conditionalFormatting sqref="AB22:AB27">
    <cfRule type="cellIs" dxfId="7" priority="6" stopIfTrue="1" operator="greaterThan">
      <formula>0</formula>
    </cfRule>
  </conditionalFormatting>
  <conditionalFormatting sqref="AC13:AE27">
    <cfRule type="cellIs" dxfId="6" priority="8" stopIfTrue="1" operator="greaterThan">
      <formula>0</formula>
    </cfRule>
  </conditionalFormatting>
  <conditionalFormatting sqref="AF18:AF22">
    <cfRule type="cellIs" dxfId="5" priority="5" stopIfTrue="1" operator="greaterThan">
      <formula>0</formula>
    </cfRule>
  </conditionalFormatting>
  <conditionalFormatting sqref="AF13:AG17">
    <cfRule type="cellIs" dxfId="4" priority="162" stopIfTrue="1" operator="greaterThan">
      <formula>0</formula>
    </cfRule>
  </conditionalFormatting>
  <conditionalFormatting sqref="AF23:AG27 AH23:AH28 AB28:AG28">
    <cfRule type="cellIs" dxfId="3" priority="41" stopIfTrue="1" operator="greaterThan">
      <formula>0</formula>
    </cfRule>
  </conditionalFormatting>
  <conditionalFormatting sqref="AG18:AG21">
    <cfRule type="cellIs" dxfId="2" priority="181" stopIfTrue="1" operator="greaterThan">
      <formula>0</formula>
    </cfRule>
  </conditionalFormatting>
  <conditionalFormatting sqref="AG22:AH22">
    <cfRule type="cellIs" dxfId="1" priority="30" stopIfTrue="1" operator="greaterThan">
      <formula>0</formula>
    </cfRule>
  </conditionalFormatting>
  <conditionalFormatting sqref="AH13:AH21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2024-07-16T16:25:38Z</dcterms:modified>
</cp:coreProperties>
</file>