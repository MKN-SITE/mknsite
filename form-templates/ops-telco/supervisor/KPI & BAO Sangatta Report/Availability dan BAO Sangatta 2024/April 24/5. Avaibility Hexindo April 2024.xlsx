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April 24\"/>
    </mc:Choice>
  </mc:AlternateContent>
  <xr:revisionPtr revIDLastSave="0" documentId="13_ncr:1_{50F168A0-F8A8-43DA-9ABF-B73DB21DC1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<sst xmlns="http://schemas.openxmlformats.org/spreadsheetml/2006/main" count="55" uniqueCount="23">
  <si>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</si>
  <si>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</si>
  <si>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</si>
  <si>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</si>
  <si>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</si>
  <si>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</si>
  <si>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</si>
  <si>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</si>
  <si>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</si>
  <si>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</si>
  <si>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</si>
  <si>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</si>
  <si>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</si>
  <si>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</si>
  <si>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</si>
  <si>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</si>
  <si>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</si>
  <si>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</si>
  <si>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</si>
  <si>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</si>
  <si>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</si>
  <si>
    <t>Pergantian Switch MKN</t>
  </si>
  <si>
    <t>Pergantian Core Router MKN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</si>
</sst>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9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0" fontId="6" fillId="0" borderId="0" xfId="0" applyFont="1" applyFill="1"/>
    <xf numFmtId="10" fontId="11" fillId="0" borderId="0" xfId="0" applyNumberFormat="1" applyFont="1" applyFill="1" applyAlignment="1">
      <alignment horizontal="center"/>
    </xf>
    <xf numFmtId="10" fontId="6" fillId="0" borderId="0" xfId="0" applyNumberFormat="1" applyFont="1" applyFill="1" applyAlignment="1">
      <alignment horizontal="center"/>
    </xf>
    <xf numFmtId="0" fontId="13" fillId="0" borderId="0" xfId="0" applyFont="1" applyFill="1"/>
    <xf numFmtId="9" fontId="13" fillId="0" borderId="0" xfId="0" applyNumberFormat="1" applyFont="1" applyFill="1"/>
    <xf numFmtId="16" fontId="8" fillId="0" borderId="4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6"/>
  <sheetViews>
    <sheetView tabSelected="1" zoomScale="80" zoomScaleNormal="80" workbookViewId="0">
      <pane xSplit="3" ySplit="9" topLeftCell="D13" activePane="bottomRight" state="frozen"/>
      <selection pane="topRight" activeCell="D1" sqref="D1"/>
      <selection pane="bottomLeft" activeCell="A10" sqref="A10"/>
      <selection pane="bottomRight" activeCell="D24" sqref="D24:E24"/>
    </sheetView>
  </sheetViews>
  <sheetFormatPr defaultRowHeight="12.5" x14ac:dyDescent="0.25"/>
  <cols>
    <col min="1" max="1" width="5.7265625" style="2" customWidth="1"/>
    <col min="2" max="2" width="45.54296875" customWidth="1"/>
    <col min="3" max="3" width="23.269531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265625" customWidth="1"/>
    <col min="31" max="31" width="10" bestFit="1" customWidth="1"/>
    <col min="32" max="32" width="9.81640625" customWidth="1"/>
  </cols>
  <sheetData>
    <row r="1" spans="1:33" s="3" customFormat="1" ht="14" x14ac:dyDescent="0.25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" x14ac:dyDescent="0.25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5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5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5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5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5">
      <c r="A7" s="5" t="s">
        <v>4</v>
      </c>
      <c r="B7" s="6"/>
      <c r="C7" s="37">
        <v>45383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5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5">
      <c r="A10" s="58" t="s">
        <v>2</v>
      </c>
      <c r="B10" s="58" t="s">
        <v>0</v>
      </c>
      <c r="C10" s="58" t="s">
        <v>7</v>
      </c>
      <c r="D10" s="57">
        <f>C7</f>
        <v>45383</v>
      </c>
      <c r="E10" s="57">
        <f>D10+1</f>
        <v>45384</v>
      </c>
      <c r="F10" s="57">
        <f t="shared" ref="F10:AG10" si="0">E10+1</f>
        <v>45385</v>
      </c>
      <c r="G10" s="57">
        <f t="shared" si="0"/>
        <v>45386</v>
      </c>
      <c r="H10" s="57">
        <f t="shared" si="0"/>
        <v>45387</v>
      </c>
      <c r="I10" s="57">
        <f t="shared" si="0"/>
        <v>45388</v>
      </c>
      <c r="J10" s="57">
        <f t="shared" si="0"/>
        <v>45389</v>
      </c>
      <c r="K10" s="57">
        <f t="shared" si="0"/>
        <v>45390</v>
      </c>
      <c r="L10" s="57">
        <f t="shared" si="0"/>
        <v>45391</v>
      </c>
      <c r="M10" s="57">
        <f t="shared" si="0"/>
        <v>45392</v>
      </c>
      <c r="N10" s="57">
        <f t="shared" si="0"/>
        <v>45393</v>
      </c>
      <c r="O10" s="57">
        <f t="shared" si="0"/>
        <v>45394</v>
      </c>
      <c r="P10" s="57">
        <f t="shared" si="0"/>
        <v>45395</v>
      </c>
      <c r="Q10" s="57">
        <f t="shared" si="0"/>
        <v>45396</v>
      </c>
      <c r="R10" s="57">
        <f t="shared" si="0"/>
        <v>45397</v>
      </c>
      <c r="S10" s="57">
        <f t="shared" si="0"/>
        <v>45398</v>
      </c>
      <c r="T10" s="57">
        <f t="shared" si="0"/>
        <v>45399</v>
      </c>
      <c r="U10" s="57">
        <f t="shared" si="0"/>
        <v>45400</v>
      </c>
      <c r="V10" s="57">
        <f t="shared" si="0"/>
        <v>45401</v>
      </c>
      <c r="W10" s="57">
        <f t="shared" si="0"/>
        <v>45402</v>
      </c>
      <c r="X10" s="57">
        <f t="shared" si="0"/>
        <v>45403</v>
      </c>
      <c r="Y10" s="57">
        <f t="shared" si="0"/>
        <v>45404</v>
      </c>
      <c r="Z10" s="57">
        <f t="shared" si="0"/>
        <v>45405</v>
      </c>
      <c r="AA10" s="57">
        <f t="shared" si="0"/>
        <v>45406</v>
      </c>
      <c r="AB10" s="57">
        <f t="shared" si="0"/>
        <v>45407</v>
      </c>
      <c r="AC10" s="57">
        <f t="shared" si="0"/>
        <v>45408</v>
      </c>
      <c r="AD10" s="57">
        <f t="shared" si="0"/>
        <v>45409</v>
      </c>
      <c r="AE10" s="57">
        <f t="shared" si="0"/>
        <v>45410</v>
      </c>
      <c r="AF10" s="57">
        <f t="shared" si="0"/>
        <v>45411</v>
      </c>
      <c r="AG10" s="57">
        <f t="shared" si="0"/>
        <v>45412</v>
      </c>
    </row>
    <row r="11" spans="1:33" s="1" customFormat="1" x14ac:dyDescent="0.25">
      <c r="A11" s="59"/>
      <c r="B11" s="59"/>
      <c r="C11" s="5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5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</row>
    <row r="13" spans="1:33" s="14" customFormat="1" ht="15.75" customHeight="1" x14ac:dyDescent="0.3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1.0416666666666666E-2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36">
        <v>1.0416666666666666E-2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</row>
    <row r="14" spans="1:33" s="14" customFormat="1" ht="15.5" x14ac:dyDescent="0.3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1.0416666666666666E-2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36">
        <v>1.0416666666666666E-2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</row>
    <row r="15" spans="1:33" s="14" customFormat="1" ht="15.5" x14ac:dyDescent="0.3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3" s="14" customFormat="1" ht="15.5" x14ac:dyDescent="0.25">
      <c r="A16" s="64"/>
      <c r="B16" s="67" t="s">
        <v>14</v>
      </c>
      <c r="C16" s="48">
        <v>45385</v>
      </c>
      <c r="D16" s="73" t="s">
        <v>21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5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5" x14ac:dyDescent="0.25">
      <c r="A17" s="65"/>
      <c r="B17" s="68"/>
      <c r="C17" s="48">
        <v>45407</v>
      </c>
      <c r="D17" s="76" t="s">
        <v>22</v>
      </c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8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5" x14ac:dyDescent="0.25">
      <c r="A18" s="65"/>
      <c r="B18" s="68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5" x14ac:dyDescent="0.25">
      <c r="A19" s="65"/>
      <c r="B19" s="68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5" x14ac:dyDescent="0.25">
      <c r="A20" s="65"/>
      <c r="B20" s="68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5" x14ac:dyDescent="0.25">
      <c r="A21" s="66"/>
      <c r="B21" s="69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5">
      <c r="A22" s="15"/>
      <c r="D22" s="16"/>
      <c r="E22" s="15"/>
    </row>
    <row r="23" spans="1:31" s="14" customFormat="1" x14ac:dyDescent="0.25">
      <c r="A23" s="25" t="s">
        <v>11</v>
      </c>
      <c r="D23" s="16"/>
      <c r="E23" s="15"/>
      <c r="AC23" s="30"/>
    </row>
    <row r="24" spans="1:31" s="14" customFormat="1" x14ac:dyDescent="0.25">
      <c r="A24" s="62" t="s">
        <v>2</v>
      </c>
      <c r="B24" s="62" t="s">
        <v>8</v>
      </c>
      <c r="C24" s="62" t="s">
        <v>1</v>
      </c>
      <c r="D24" s="60" t="s">
        <v>6</v>
      </c>
      <c r="E24" s="61"/>
      <c r="AC24" s="30"/>
    </row>
    <row r="25" spans="1:31" s="14" customFormat="1" x14ac:dyDescent="0.25">
      <c r="A25" s="63"/>
      <c r="B25" s="63"/>
      <c r="C25" s="63"/>
      <c r="D25" s="23" t="s">
        <v>9</v>
      </c>
      <c r="E25" s="24" t="s">
        <v>10</v>
      </c>
      <c r="AC25" s="30"/>
    </row>
    <row r="26" spans="1:31" s="14" customFormat="1" ht="15.5" x14ac:dyDescent="0.3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0.99930555555555556</v>
      </c>
      <c r="D26" s="41" t="str">
        <f>TEXT(SUM(D13:AG13),"[h]")</f>
        <v>0</v>
      </c>
      <c r="E26" s="41" t="str">
        <f>TEXT(SUM(D13:AG13),"mm ss")</f>
        <v>30 00</v>
      </c>
      <c r="H26" s="22"/>
      <c r="AC26" s="30"/>
    </row>
    <row r="27" spans="1:31" s="14" customFormat="1" ht="15.5" x14ac:dyDescent="0.3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0.99930555555555556</v>
      </c>
      <c r="D27" s="41" t="str">
        <f>TEXT(SUM(D14:AG14),"[h]")</f>
        <v>0</v>
      </c>
      <c r="E27" s="41" t="str">
        <f>TEXT(SUM(D14:AG14),"mm ss")</f>
        <v>30 00</v>
      </c>
      <c r="F27" s="52"/>
      <c r="G27" s="52"/>
      <c r="H27" s="52"/>
      <c r="I27" s="52"/>
    </row>
    <row r="28" spans="1:31" s="14" customFormat="1" x14ac:dyDescent="0.25">
      <c r="A28" s="15"/>
      <c r="D28" s="16"/>
      <c r="E28" s="15"/>
      <c r="F28" s="52"/>
      <c r="G28" s="52"/>
      <c r="H28" s="52"/>
      <c r="I28" s="52"/>
    </row>
    <row r="29" spans="1:31" s="17" customFormat="1" x14ac:dyDescent="0.25">
      <c r="A29" s="26" t="s">
        <v>15</v>
      </c>
      <c r="C29" s="21"/>
      <c r="D29" s="20"/>
      <c r="E29" s="20"/>
      <c r="F29" s="53"/>
      <c r="G29" s="53"/>
      <c r="H29" s="54"/>
      <c r="I29" s="53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5">
      <c r="A30" s="14" t="s">
        <v>18</v>
      </c>
      <c r="C30" s="23">
        <f>(SUM(C26:C27))/(100%*2)</f>
        <v>0.99930555555555556</v>
      </c>
      <c r="F30" s="55"/>
      <c r="G30" s="55"/>
      <c r="H30" s="56"/>
      <c r="I30" s="55"/>
    </row>
    <row r="31" spans="1:31" x14ac:dyDescent="0.25">
      <c r="F31" s="55"/>
      <c r="G31" s="55"/>
      <c r="H31" s="55"/>
      <c r="I31" s="55"/>
    </row>
    <row r="35" spans="6:31" x14ac:dyDescent="0.25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5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5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5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5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E14">
    <cfRule type="cellIs" dxfId="11" priority="11" stopIfTrue="1" operator="greaterThan">
      <formula>0</formula>
    </cfRule>
  </conditionalFormatting>
  <conditionalFormatting sqref="G14:I14 D15:I15 D18:D21">
    <cfRule type="cellIs" dxfId="10" priority="32" stopIfTrue="1" operator="greaterThan">
      <formula>0</formula>
    </cfRule>
  </conditionalFormatting>
  <conditionalFormatting sqref="F13:N13">
    <cfRule type="cellIs" dxfId="9" priority="37" stopIfTrue="1" operator="greaterThan">
      <formula>0</formula>
    </cfRule>
  </conditionalFormatting>
  <conditionalFormatting sqref="J14:N15">
    <cfRule type="cellIs" dxfId="8" priority="18" stopIfTrue="1" operator="greaterThan">
      <formula>0</formula>
    </cfRule>
  </conditionalFormatting>
  <conditionalFormatting sqref="O13:X15">
    <cfRule type="cellIs" dxfId="7" priority="9" stopIfTrue="1" operator="greaterThan">
      <formula>0</formula>
    </cfRule>
  </conditionalFormatting>
  <conditionalFormatting sqref="V16:X21">
    <cfRule type="cellIs" dxfId="6" priority="40" stopIfTrue="1" operator="greaterThan">
      <formula>0</formula>
    </cfRule>
  </conditionalFormatting>
  <conditionalFormatting sqref="Y15:AE21 Y13:AA14 AC13:AE14">
    <cfRule type="cellIs" dxfId="5" priority="19" stopIfTrue="1" operator="greaterThan">
      <formula>0</formula>
    </cfRule>
  </conditionalFormatting>
  <conditionalFormatting sqref="AF13:AF14">
    <cfRule type="cellIs" dxfId="4" priority="5" stopIfTrue="1" operator="greaterThan">
      <formula>0</formula>
    </cfRule>
  </conditionalFormatting>
  <conditionalFormatting sqref="AG13:AG14">
    <cfRule type="cellIs" dxfId="3" priority="4" stopIfTrue="1" operator="greaterThan">
      <formula>0</formula>
    </cfRule>
  </conditionalFormatting>
  <conditionalFormatting sqref="F14">
    <cfRule type="cellIs" dxfId="2" priority="3" stopIfTrue="1" operator="greaterThan">
      <formula>0</formula>
    </cfRule>
  </conditionalFormatting>
  <conditionalFormatting sqref="AB13">
    <cfRule type="cellIs" dxfId="1" priority="2" stopIfTrue="1" operator="greaterThan">
      <formula>0</formula>
    </cfRule>
  </conditionalFormatting>
  <conditionalFormatting sqref="AB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2024-05-03T10:53:53Z</dcterms:modified>
</cp:coreProperties>
</file>