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ei 24\"/>
    </mc:Choice>
  </mc:AlternateContent>
  <bookViews>
    <workbookView xWindow="0" yWindow="0" windowWidth="19200" windowHeight="11460"/>
  </bookViews>
  <sheets>
    <sheet name="Avaibility NEC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1" l="1"/>
  <c r="D43" i="11"/>
  <c r="D46" i="11"/>
  <c r="E43" i="11"/>
  <c r="E44" i="11"/>
  <c r="E45" i="11"/>
  <c r="E4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E49" i="11"/>
  <c r="E52" i="11" l="1"/>
  <c r="D52" i="11"/>
  <c r="C52" i="11" s="1"/>
  <c r="E54" i="11" l="1"/>
  <c r="D54" i="11"/>
  <c r="C54" i="11" l="1"/>
  <c r="E56" i="11" l="1"/>
  <c r="D56" i="11"/>
  <c r="C56" i="11" l="1"/>
  <c r="D44" i="11"/>
  <c r="E53" i="11" l="1"/>
  <c r="D53" i="11" l="1"/>
  <c r="C53" i="11" s="1"/>
  <c r="C44" i="11"/>
  <c r="D45" i="11"/>
  <c r="D47" i="11"/>
  <c r="E47" i="11"/>
  <c r="D48" i="11"/>
  <c r="E48" i="11"/>
  <c r="D49" i="11"/>
  <c r="C49" i="11" s="1"/>
  <c r="D50" i="11"/>
  <c r="E50" i="11"/>
  <c r="D51" i="11"/>
  <c r="E51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<sst xmlns="http://schemas.openxmlformats.org/spreadsheetml/2006/main" count="117" uniqueCount="59">
  <si>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</si>
  <si>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</si>
  <si>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</si>
  <si>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</si>
  <si>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</si>
  <si>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</si>
  <si>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</si>
  <si>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</si>
  <si>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</si>
  <si>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</si>
  <si>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</si>
  <si>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</si>
  <si>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</si>
  <si>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</si>
  <si>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</si>
  <si>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</si>
  <si>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</si>
  <si>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</si>
  <si>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</si>
  <si>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</si>
  <si>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</si>
  <si>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</si>
  <si>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</si>
  <si>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</si>
  <si>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</si>
  <si>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</si>
  <si>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</si>
  <si>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</si>
  <si>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</si>
  <si>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</si>
  <si>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</si>
  <si>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</si>
  <si>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</si>
  <si>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</si>
  <si>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</si>
  <si>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</si>
  <si>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</si>
  <si>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</si>
  <si>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</si>
  <si>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</si>
  <si>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</si>
  <si>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 xml:space="preserve">M5 to SURYA ODU </t>
  </si>
  <si>
    <t>Remaks</t>
  </si>
  <si>
    <t>M5 to SURYA</t>
  </si>
  <si>
    <t>PTH to P11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</si>
  <si>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</si>
  <si>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</si>
  <si>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</si>
  <si>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</si>
  <si>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</si>
  <si>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</si>
  <si>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</si>
  <si>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</si>
  <si>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</si>
  <si>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</si>
  <si>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1 - 16 Mei 2024</t>
  </si>
  <si>
    <t>Relocate TBTS Lignite</t>
  </si>
  <si>
    <t>0</t>
  </si>
  <si>
    <t>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</si>
</sst>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\-yy;@"/>
    <numFmt numFmtId="165" formatCode="[$-409]d\-mmm\-yyyy;@"/>
    <numFmt numFmtId="166" formatCode="h:mm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5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38" fillId="0" borderId="0" xfId="0" applyFont="1"/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66" fontId="6" fillId="0" borderId="0" xfId="0" applyNumberFormat="1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center" vertical="center"/>
    </xf>
    <xf numFmtId="164" fontId="39" fillId="0" borderId="1" xfId="0" applyFont="1" applyBorder="1" applyAlignment="1">
      <alignment horizontal="center" vertical="top"/>
    </xf>
    <xf numFmtId="164" fontId="39" fillId="0" borderId="1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82"/>
  <sheetViews>
    <sheetView tabSelected="1" zoomScale="70" zoomScaleNormal="7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54" sqref="G5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6">
        <v>45413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8" t="s">
        <v>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0" t="s">
        <v>2</v>
      </c>
      <c r="B10" s="82" t="s">
        <v>0</v>
      </c>
      <c r="C10" s="82" t="s">
        <v>8</v>
      </c>
      <c r="D10" s="41">
        <f>C7</f>
        <v>45413</v>
      </c>
      <c r="E10" s="41">
        <f>D10+1</f>
        <v>45414</v>
      </c>
      <c r="F10" s="41">
        <f t="shared" ref="F10:AF10" si="0">E10+1</f>
        <v>45415</v>
      </c>
      <c r="G10" s="41">
        <f t="shared" si="0"/>
        <v>45416</v>
      </c>
      <c r="H10" s="41">
        <f t="shared" si="0"/>
        <v>45417</v>
      </c>
      <c r="I10" s="41">
        <f t="shared" si="0"/>
        <v>45418</v>
      </c>
      <c r="J10" s="41">
        <f t="shared" si="0"/>
        <v>45419</v>
      </c>
      <c r="K10" s="41">
        <f t="shared" si="0"/>
        <v>45420</v>
      </c>
      <c r="L10" s="41">
        <f t="shared" si="0"/>
        <v>45421</v>
      </c>
      <c r="M10" s="41">
        <f t="shared" si="0"/>
        <v>45422</v>
      </c>
      <c r="N10" s="41">
        <f t="shared" si="0"/>
        <v>45423</v>
      </c>
      <c r="O10" s="41">
        <f t="shared" si="0"/>
        <v>45424</v>
      </c>
      <c r="P10" s="41">
        <f t="shared" si="0"/>
        <v>45425</v>
      </c>
      <c r="Q10" s="41">
        <f t="shared" si="0"/>
        <v>45426</v>
      </c>
      <c r="R10" s="41">
        <f t="shared" si="0"/>
        <v>45427</v>
      </c>
      <c r="S10" s="41">
        <f t="shared" si="0"/>
        <v>45428</v>
      </c>
      <c r="T10" s="41">
        <f t="shared" si="0"/>
        <v>45429</v>
      </c>
      <c r="U10" s="41">
        <f t="shared" si="0"/>
        <v>45430</v>
      </c>
      <c r="V10" s="41">
        <f t="shared" si="0"/>
        <v>45431</v>
      </c>
      <c r="W10" s="41">
        <f t="shared" si="0"/>
        <v>45432</v>
      </c>
      <c r="X10" s="41">
        <f t="shared" si="0"/>
        <v>45433</v>
      </c>
      <c r="Y10" s="41">
        <f t="shared" si="0"/>
        <v>45434</v>
      </c>
      <c r="Z10" s="41">
        <f t="shared" si="0"/>
        <v>45435</v>
      </c>
      <c r="AA10" s="41">
        <f t="shared" si="0"/>
        <v>45436</v>
      </c>
      <c r="AB10" s="41">
        <f t="shared" si="0"/>
        <v>45437</v>
      </c>
      <c r="AC10" s="41">
        <f t="shared" si="0"/>
        <v>45438</v>
      </c>
      <c r="AD10" s="41">
        <f t="shared" si="0"/>
        <v>45439</v>
      </c>
      <c r="AE10" s="41">
        <f t="shared" si="0"/>
        <v>45440</v>
      </c>
      <c r="AF10" s="41">
        <f t="shared" si="0"/>
        <v>45441</v>
      </c>
      <c r="AG10" s="41">
        <f>AF10+1</f>
        <v>45442</v>
      </c>
      <c r="AH10" s="74">
        <f>AG10+1</f>
        <v>45443</v>
      </c>
    </row>
    <row r="11" spans="1:34" s="1" customFormat="1" x14ac:dyDescent="0.2">
      <c r="A11" s="81"/>
      <c r="B11" s="83"/>
      <c r="C11" s="83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2"/>
      <c r="B12" s="30"/>
      <c r="C12" s="3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3" t="s">
        <v>34</v>
      </c>
      <c r="B13" s="28" t="s">
        <v>43</v>
      </c>
      <c r="C13" s="32"/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</row>
    <row r="14" spans="1:34" s="11" customFormat="1" ht="15.75" customHeight="1" x14ac:dyDescent="0.25">
      <c r="A14" s="43" t="s">
        <v>25</v>
      </c>
      <c r="B14" s="28" t="s">
        <v>22</v>
      </c>
      <c r="C14" s="32"/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</row>
    <row r="15" spans="1:34" s="11" customFormat="1" ht="15.75" customHeight="1" x14ac:dyDescent="0.25">
      <c r="A15" s="43" t="s">
        <v>26</v>
      </c>
      <c r="B15" s="28" t="s">
        <v>16</v>
      </c>
      <c r="C15" s="32"/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</row>
    <row r="16" spans="1:34" s="11" customFormat="1" ht="15.75" customHeight="1" x14ac:dyDescent="0.25">
      <c r="A16" s="43" t="s">
        <v>27</v>
      </c>
      <c r="B16" s="28" t="s">
        <v>17</v>
      </c>
      <c r="C16" s="32"/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</row>
    <row r="17" spans="1:34" s="11" customFormat="1" ht="15.75" customHeight="1" x14ac:dyDescent="0.25">
      <c r="A17" s="43" t="s">
        <v>28</v>
      </c>
      <c r="B17" s="28" t="s">
        <v>18</v>
      </c>
      <c r="C17" s="32"/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</row>
    <row r="18" spans="1:34" s="11" customFormat="1" ht="15.75" customHeight="1" x14ac:dyDescent="0.25">
      <c r="A18" s="43" t="s">
        <v>29</v>
      </c>
      <c r="B18" s="28" t="s">
        <v>19</v>
      </c>
      <c r="C18" s="32"/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</row>
    <row r="19" spans="1:34" s="11" customFormat="1" ht="15.75" customHeight="1" x14ac:dyDescent="0.25">
      <c r="A19" s="43" t="s">
        <v>30</v>
      </c>
      <c r="B19" s="28" t="s">
        <v>20</v>
      </c>
      <c r="C19" s="32"/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</row>
    <row r="20" spans="1:34" s="11" customFormat="1" ht="15.75" customHeight="1" x14ac:dyDescent="0.25">
      <c r="A20" s="43" t="s">
        <v>31</v>
      </c>
      <c r="B20" s="28" t="s">
        <v>23</v>
      </c>
      <c r="C20" s="32"/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</row>
    <row r="21" spans="1:34" s="11" customFormat="1" ht="15.75" customHeight="1" x14ac:dyDescent="0.25">
      <c r="A21" s="43" t="s">
        <v>32</v>
      </c>
      <c r="B21" s="28" t="s">
        <v>44</v>
      </c>
      <c r="C21" s="32"/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</row>
    <row r="22" spans="1:34" s="11" customFormat="1" ht="15.75" customHeight="1" x14ac:dyDescent="0.25">
      <c r="A22" s="43" t="s">
        <v>33</v>
      </c>
      <c r="B22" s="44" t="s">
        <v>48</v>
      </c>
      <c r="C22" s="32"/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</row>
    <row r="23" spans="1:34" s="11" customFormat="1" ht="15.75" customHeight="1" x14ac:dyDescent="0.25">
      <c r="A23" s="43" t="s">
        <v>35</v>
      </c>
      <c r="B23" s="44" t="s">
        <v>45</v>
      </c>
      <c r="C23" s="32"/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33">
        <v>0</v>
      </c>
      <c r="L23" s="33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33">
        <v>0</v>
      </c>
      <c r="AB23" s="33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</row>
    <row r="24" spans="1:34" s="11" customFormat="1" ht="15.75" customHeight="1" x14ac:dyDescent="0.25">
      <c r="A24" s="43" t="s">
        <v>37</v>
      </c>
      <c r="B24" s="44" t="s">
        <v>46</v>
      </c>
      <c r="C24" s="51"/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33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33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</row>
    <row r="25" spans="1:34" s="11" customFormat="1" ht="15.75" customHeight="1" x14ac:dyDescent="0.25">
      <c r="A25" s="43" t="s">
        <v>38</v>
      </c>
      <c r="B25" s="44" t="s">
        <v>36</v>
      </c>
      <c r="C25" s="45"/>
      <c r="D25" s="46">
        <v>0.57430555555555551</v>
      </c>
      <c r="E25" s="46">
        <v>1</v>
      </c>
      <c r="F25" s="46">
        <v>1</v>
      </c>
      <c r="G25" s="46">
        <v>1</v>
      </c>
      <c r="H25" s="46">
        <v>1</v>
      </c>
      <c r="I25" s="46">
        <v>1</v>
      </c>
      <c r="J25" s="46">
        <v>1</v>
      </c>
      <c r="K25" s="46">
        <v>1</v>
      </c>
      <c r="L25" s="46">
        <v>1</v>
      </c>
      <c r="M25" s="46">
        <v>1</v>
      </c>
      <c r="N25" s="46">
        <v>1</v>
      </c>
      <c r="O25" s="46">
        <v>1</v>
      </c>
      <c r="P25" s="46">
        <v>1</v>
      </c>
      <c r="Q25" s="46">
        <v>1</v>
      </c>
      <c r="R25" s="46">
        <v>1</v>
      </c>
      <c r="S25" s="46">
        <v>0.72916666666666663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</row>
    <row r="26" spans="1:34" s="11" customFormat="1" ht="15.75" customHeight="1" x14ac:dyDescent="0.25">
      <c r="A26" s="66" t="s">
        <v>47</v>
      </c>
      <c r="B26" s="44" t="s">
        <v>39</v>
      </c>
      <c r="C26" s="57"/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</row>
    <row r="27" spans="1:34" s="11" customFormat="1" ht="15.75" customHeight="1" x14ac:dyDescent="0.25">
      <c r="A27" s="70" t="s">
        <v>49</v>
      </c>
      <c r="B27" s="28" t="s">
        <v>50</v>
      </c>
      <c r="C27" s="72"/>
      <c r="D27" s="46">
        <v>0.57430555555555551</v>
      </c>
      <c r="E27" s="46">
        <v>1</v>
      </c>
      <c r="F27" s="46">
        <v>1</v>
      </c>
      <c r="G27" s="46">
        <v>1</v>
      </c>
      <c r="H27" s="46">
        <v>1</v>
      </c>
      <c r="I27" s="46">
        <v>1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46">
        <v>1</v>
      </c>
      <c r="P27" s="46">
        <v>1</v>
      </c>
      <c r="Q27" s="46">
        <v>1</v>
      </c>
      <c r="R27" s="46">
        <v>1</v>
      </c>
      <c r="S27" s="46">
        <v>0.72916666666666663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</row>
    <row r="28" spans="1:34" s="11" customFormat="1" ht="12.75" customHeight="1" x14ac:dyDescent="0.25">
      <c r="A28" s="70"/>
      <c r="B28" s="71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spans="1:34" s="11" customFormat="1" ht="16.5" customHeight="1" x14ac:dyDescent="0.2">
      <c r="A29" s="67"/>
      <c r="B29" s="68"/>
      <c r="C29" s="6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75"/>
    </row>
    <row r="30" spans="1:34" s="11" customFormat="1" ht="16.5" customHeight="1" x14ac:dyDescent="0.2">
      <c r="A30" s="86"/>
      <c r="B30" s="89" t="s">
        <v>42</v>
      </c>
      <c r="C30" s="76" t="s">
        <v>55</v>
      </c>
      <c r="D30" s="94" t="s">
        <v>56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</row>
    <row r="31" spans="1:34" s="11" customFormat="1" ht="16.5" customHeight="1" x14ac:dyDescent="0.2">
      <c r="A31" s="87"/>
      <c r="B31" s="90"/>
      <c r="C31" s="64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</row>
    <row r="32" spans="1:34" s="11" customFormat="1" ht="16.5" customHeight="1" x14ac:dyDescent="0.2">
      <c r="A32" s="87"/>
      <c r="B32" s="90"/>
      <c r="C32" s="64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</row>
    <row r="33" spans="1:34" s="11" customFormat="1" ht="16.5" customHeight="1" x14ac:dyDescent="0.2">
      <c r="A33" s="87"/>
      <c r="B33" s="90"/>
      <c r="C33" s="64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</row>
    <row r="34" spans="1:34" s="11" customFormat="1" ht="15" customHeight="1" x14ac:dyDescent="0.2">
      <c r="A34" s="87"/>
      <c r="B34" s="90"/>
      <c r="C34" s="64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</row>
    <row r="35" spans="1:34" s="11" customFormat="1" ht="15" customHeight="1" x14ac:dyDescent="0.2">
      <c r="A35" s="87"/>
      <c r="B35" s="90"/>
      <c r="C35" s="64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</row>
    <row r="36" spans="1:34" s="11" customFormat="1" ht="15" customHeight="1" x14ac:dyDescent="0.2">
      <c r="A36" s="88"/>
      <c r="B36" s="91"/>
      <c r="C36" s="64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</row>
    <row r="37" spans="1:34" s="11" customFormat="1" ht="15" x14ac:dyDescent="0.2">
      <c r="A37" s="61"/>
      <c r="B37" s="61"/>
      <c r="C37" s="62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AB37" s="27"/>
      <c r="AC37" s="27"/>
      <c r="AD37" s="27"/>
      <c r="AE37" s="27"/>
    </row>
    <row r="38" spans="1:34" s="11" customFormat="1" ht="15" x14ac:dyDescent="0.2">
      <c r="A38" s="12"/>
      <c r="B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AB38" s="27"/>
      <c r="AC38" s="27"/>
      <c r="AD38" s="27"/>
      <c r="AE38" s="27"/>
    </row>
    <row r="39" spans="1:34" s="11" customFormat="1" x14ac:dyDescent="0.2">
      <c r="A39" s="12"/>
      <c r="D39" s="60"/>
      <c r="O39" s="77"/>
      <c r="AB39" s="27"/>
      <c r="AC39" s="27"/>
      <c r="AD39" s="27"/>
      <c r="AE39" s="27"/>
    </row>
    <row r="40" spans="1:34" s="11" customFormat="1" x14ac:dyDescent="0.2">
      <c r="A40" s="20" t="s">
        <v>12</v>
      </c>
      <c r="D40" s="12"/>
      <c r="K40" s="52"/>
      <c r="L40" s="52"/>
      <c r="O40" s="77"/>
      <c r="AB40" s="27"/>
      <c r="AC40" s="27"/>
      <c r="AD40" s="27"/>
      <c r="AE40" s="27"/>
    </row>
    <row r="41" spans="1:34" s="11" customFormat="1" x14ac:dyDescent="0.2">
      <c r="A41" s="84" t="s">
        <v>2</v>
      </c>
      <c r="B41" s="84" t="s">
        <v>9</v>
      </c>
      <c r="C41" s="84" t="s">
        <v>1</v>
      </c>
      <c r="D41" s="78" t="s">
        <v>7</v>
      </c>
      <c r="E41" s="79"/>
      <c r="O41" s="77"/>
      <c r="AB41" s="27"/>
      <c r="AC41" s="27"/>
      <c r="AD41" s="27"/>
      <c r="AE41" s="27"/>
    </row>
    <row r="42" spans="1:34" s="11" customFormat="1" x14ac:dyDescent="0.2">
      <c r="A42" s="85"/>
      <c r="B42" s="85"/>
      <c r="C42" s="85"/>
      <c r="D42" s="23" t="s">
        <v>10</v>
      </c>
      <c r="E42" s="19" t="s">
        <v>11</v>
      </c>
      <c r="AB42" s="27"/>
      <c r="AC42" s="27"/>
      <c r="AD42" s="27"/>
      <c r="AE42" s="27"/>
    </row>
    <row r="43" spans="1:34" s="11" customFormat="1" ht="15.75" x14ac:dyDescent="0.25">
      <c r="A43" s="37" t="s">
        <v>34</v>
      </c>
      <c r="B43" s="28" t="s">
        <v>41</v>
      </c>
      <c r="C43" s="34">
        <f>1-(((D43*3600)+(LEFT(E43,2)*60)+RIGHT(E43,2))/((60*60*24)*$C$8))</f>
        <v>1</v>
      </c>
      <c r="D43" s="17" t="str">
        <f t="shared" ref="D43:D57" si="1">TEXT(SUM(D13:AG13),"[h]")</f>
        <v>0</v>
      </c>
      <c r="E43" s="17" t="str">
        <f t="shared" ref="E43:E57" si="2">TEXT(SUM(D13:AG13),"mm ss")</f>
        <v>00 00</v>
      </c>
      <c r="G43" s="18"/>
      <c r="AB43" s="27"/>
      <c r="AC43" s="27"/>
      <c r="AD43" s="27"/>
      <c r="AE43" s="27"/>
    </row>
    <row r="44" spans="1:34" s="11" customFormat="1" ht="15.75" x14ac:dyDescent="0.25">
      <c r="A44" s="37" t="s">
        <v>25</v>
      </c>
      <c r="B44" s="28" t="s">
        <v>22</v>
      </c>
      <c r="C44" s="34">
        <f t="shared" ref="C44:C51" si="3">1-(((D44*3600)+(LEFT(E44,2)*60)+RIGHT(E44,2))/((60*60*24)*$C$8))</f>
        <v>1</v>
      </c>
      <c r="D44" s="17" t="str">
        <f t="shared" si="1"/>
        <v>0</v>
      </c>
      <c r="E44" s="17" t="str">
        <f t="shared" si="2"/>
        <v>00 00</v>
      </c>
      <c r="G44" s="18"/>
      <c r="AB44" s="27"/>
      <c r="AC44" s="27"/>
      <c r="AD44" s="27"/>
      <c r="AE44" s="27"/>
    </row>
    <row r="45" spans="1:34" s="11" customFormat="1" ht="15.75" x14ac:dyDescent="0.25">
      <c r="A45" s="37" t="s">
        <v>26</v>
      </c>
      <c r="B45" s="48" t="s">
        <v>16</v>
      </c>
      <c r="C45" s="34">
        <f t="shared" si="3"/>
        <v>1</v>
      </c>
      <c r="D45" s="17" t="str">
        <f t="shared" si="1"/>
        <v>0</v>
      </c>
      <c r="E45" s="17" t="str">
        <f t="shared" si="2"/>
        <v>00 00</v>
      </c>
      <c r="G45" s="18"/>
      <c r="H45" s="58"/>
    </row>
    <row r="46" spans="1:34" s="11" customFormat="1" ht="15.75" x14ac:dyDescent="0.25">
      <c r="A46" s="37" t="s">
        <v>27</v>
      </c>
      <c r="B46" s="28" t="s">
        <v>17</v>
      </c>
      <c r="C46" s="34">
        <f t="shared" si="3"/>
        <v>1</v>
      </c>
      <c r="D46" s="17" t="str">
        <f t="shared" si="1"/>
        <v>0</v>
      </c>
      <c r="E46" s="17" t="str">
        <f t="shared" si="2"/>
        <v>00 00</v>
      </c>
      <c r="G46" s="18"/>
    </row>
    <row r="47" spans="1:34" s="11" customFormat="1" ht="15.75" x14ac:dyDescent="0.25">
      <c r="A47" s="37" t="s">
        <v>28</v>
      </c>
      <c r="B47" s="28" t="s">
        <v>18</v>
      </c>
      <c r="C47" s="34">
        <f t="shared" si="3"/>
        <v>1</v>
      </c>
      <c r="D47" s="17" t="str">
        <f t="shared" si="1"/>
        <v>0</v>
      </c>
      <c r="E47" s="17" t="str">
        <f t="shared" si="2"/>
        <v>00 00</v>
      </c>
      <c r="G47" s="18"/>
    </row>
    <row r="48" spans="1:34" s="11" customFormat="1" ht="15.75" x14ac:dyDescent="0.25">
      <c r="A48" s="37" t="s">
        <v>29</v>
      </c>
      <c r="B48" s="28" t="s">
        <v>19</v>
      </c>
      <c r="C48" s="34">
        <f t="shared" si="3"/>
        <v>1</v>
      </c>
      <c r="D48" s="17" t="str">
        <f t="shared" si="1"/>
        <v>0</v>
      </c>
      <c r="E48" s="17" t="str">
        <f t="shared" si="2"/>
        <v>00 00</v>
      </c>
      <c r="G48" s="18"/>
      <c r="J48" s="21"/>
    </row>
    <row r="49" spans="1:34" s="11" customFormat="1" ht="15.75" x14ac:dyDescent="0.25">
      <c r="A49" s="37" t="s">
        <v>30</v>
      </c>
      <c r="B49" s="28" t="s">
        <v>24</v>
      </c>
      <c r="C49" s="34">
        <f>1-(((D49*3600)+(LEFT(E49,2)*60)+RIGHT(E49,2))/((60*60*24)*$C$8))</f>
        <v>1</v>
      </c>
      <c r="D49" s="17" t="str">
        <f t="shared" si="1"/>
        <v>0</v>
      </c>
      <c r="E49" s="17" t="str">
        <f t="shared" si="2"/>
        <v>00 00</v>
      </c>
      <c r="G49" s="18"/>
    </row>
    <row r="50" spans="1:34" s="11" customFormat="1" ht="15.75" x14ac:dyDescent="0.25">
      <c r="A50" s="37" t="s">
        <v>31</v>
      </c>
      <c r="B50" s="28" t="s">
        <v>23</v>
      </c>
      <c r="C50" s="34">
        <f t="shared" si="3"/>
        <v>1</v>
      </c>
      <c r="D50" s="17" t="str">
        <f t="shared" si="1"/>
        <v>0</v>
      </c>
      <c r="E50" s="17" t="str">
        <f t="shared" si="2"/>
        <v>00 00</v>
      </c>
      <c r="G50" s="18"/>
    </row>
    <row r="51" spans="1:34" s="11" customFormat="1" ht="15.75" x14ac:dyDescent="0.25">
      <c r="A51" s="37" t="s">
        <v>32</v>
      </c>
      <c r="B51" s="28" t="s">
        <v>44</v>
      </c>
      <c r="C51" s="34">
        <f t="shared" si="3"/>
        <v>1</v>
      </c>
      <c r="D51" s="17" t="str">
        <f t="shared" si="1"/>
        <v>0</v>
      </c>
      <c r="E51" s="17" t="str">
        <f t="shared" si="2"/>
        <v>00 00</v>
      </c>
      <c r="G51" s="18"/>
      <c r="O51" s="54"/>
    </row>
    <row r="52" spans="1:34" s="11" customFormat="1" ht="15.75" x14ac:dyDescent="0.25">
      <c r="A52" s="37" t="s">
        <v>33</v>
      </c>
      <c r="B52" s="28" t="s">
        <v>48</v>
      </c>
      <c r="C52" s="34">
        <f t="shared" ref="C52" si="4">1-(((D52*3600)+(LEFT(E52,2)*60)+RIGHT(E52,2))/((60*60*24)*$C$8))</f>
        <v>1</v>
      </c>
      <c r="D52" s="17" t="str">
        <f t="shared" si="1"/>
        <v>0</v>
      </c>
      <c r="E52" s="17" t="str">
        <f t="shared" si="2"/>
        <v>00 00</v>
      </c>
      <c r="G52" s="18"/>
      <c r="O52" s="54"/>
    </row>
    <row r="53" spans="1:34" s="11" customFormat="1" ht="15.75" x14ac:dyDescent="0.25">
      <c r="A53" s="37" t="s">
        <v>35</v>
      </c>
      <c r="B53" s="28" t="s">
        <v>21</v>
      </c>
      <c r="C53" s="29">
        <f>1-(((D53*3600)+(LEFT(E53,2)*60)+RIGHT(E53,2))/((60*60*24)*$C$8))</f>
        <v>1</v>
      </c>
      <c r="D53" s="17" t="str">
        <f t="shared" si="1"/>
        <v>0</v>
      </c>
      <c r="E53" s="17" t="str">
        <f t="shared" si="2"/>
        <v>00 00</v>
      </c>
      <c r="G53" s="18"/>
      <c r="O53" s="54"/>
    </row>
    <row r="54" spans="1:34" s="11" customFormat="1" ht="15.75" x14ac:dyDescent="0.25">
      <c r="A54" s="37" t="s">
        <v>37</v>
      </c>
      <c r="B54" s="28" t="s">
        <v>51</v>
      </c>
      <c r="C54" s="29">
        <f>1-(((D54*3600)+(LEFT(E54,2)*60)+RIGHT(E54,2))/((60*60*24)*$C$8))</f>
        <v>1</v>
      </c>
      <c r="D54" s="17" t="str">
        <f t="shared" si="1"/>
        <v>0</v>
      </c>
      <c r="E54" s="17" t="str">
        <f t="shared" si="2"/>
        <v>00 00</v>
      </c>
      <c r="G54" s="18"/>
      <c r="O54" s="54"/>
    </row>
    <row r="55" spans="1:34" s="11" customFormat="1" ht="15.75" x14ac:dyDescent="0.25">
      <c r="A55" s="37" t="s">
        <v>38</v>
      </c>
      <c r="B55" s="28" t="s">
        <v>52</v>
      </c>
      <c r="C55" s="29">
        <v>1</v>
      </c>
      <c r="D55" s="17" t="s">
        <v>57</v>
      </c>
      <c r="E55" s="17" t="s">
        <v>58</v>
      </c>
      <c r="G55" s="18"/>
      <c r="O55" s="54"/>
    </row>
    <row r="56" spans="1:34" s="13" customFormat="1" ht="15.75" x14ac:dyDescent="0.25">
      <c r="A56" s="53" t="s">
        <v>47</v>
      </c>
      <c r="B56" s="28" t="s">
        <v>40</v>
      </c>
      <c r="C56" s="29">
        <f t="shared" ref="C55:C56" si="5">1-(((D56*3600)+(LEFT(E56,2)*60)+RIGHT(E56,2))/((60*60*24)*$C$8))</f>
        <v>1</v>
      </c>
      <c r="D56" s="17" t="str">
        <f t="shared" si="1"/>
        <v>0</v>
      </c>
      <c r="E56" s="17" t="str">
        <f t="shared" si="2"/>
        <v>00 00</v>
      </c>
      <c r="F56" s="11"/>
      <c r="G56" s="18"/>
      <c r="H56" s="11"/>
      <c r="I56" s="11"/>
      <c r="J56" s="11"/>
      <c r="K56" s="11"/>
      <c r="L56" s="54"/>
      <c r="M56" s="54"/>
      <c r="N56" s="54"/>
      <c r="O56" s="5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3" t="s">
        <v>49</v>
      </c>
      <c r="B57" s="28" t="s">
        <v>50</v>
      </c>
      <c r="C57" s="29">
        <v>1</v>
      </c>
      <c r="D57" s="17" t="s">
        <v>57</v>
      </c>
      <c r="E57" s="17" t="s">
        <v>58</v>
      </c>
      <c r="F57" s="11"/>
      <c r="G57" s="18"/>
      <c r="H57" s="11"/>
      <c r="I57" s="11"/>
      <c r="J57" s="11"/>
      <c r="K57" s="11"/>
      <c r="L57" s="54"/>
      <c r="M57" s="54"/>
      <c r="N57" s="54"/>
      <c r="O57" s="5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3"/>
      <c r="B58" s="28"/>
      <c r="C58" s="29"/>
      <c r="D58" s="17"/>
      <c r="E58" s="17"/>
      <c r="F58" s="11"/>
      <c r="G58" s="18"/>
      <c r="H58" s="11"/>
      <c r="I58" s="11"/>
      <c r="J58" s="11"/>
      <c r="K58" s="11"/>
      <c r="L58" s="54"/>
      <c r="M58" s="54"/>
      <c r="N58" s="54"/>
      <c r="O58" s="5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7"/>
      <c r="B59" s="48"/>
      <c r="C59" s="49"/>
      <c r="D59" s="50"/>
      <c r="E59" s="50"/>
      <c r="F59" s="11"/>
      <c r="G59" s="18"/>
      <c r="H59" s="11"/>
      <c r="I59" s="11"/>
      <c r="J59" s="11"/>
      <c r="K59" s="11"/>
      <c r="L59" s="54"/>
      <c r="M59" s="54"/>
      <c r="N59" s="54"/>
      <c r="O59" s="56"/>
    </row>
    <row r="60" spans="1:34" x14ac:dyDescent="0.2">
      <c r="A60" s="12"/>
      <c r="B60" s="11"/>
      <c r="C60" s="22"/>
      <c r="D60" s="12"/>
      <c r="E60" s="11"/>
      <c r="F60" s="11"/>
      <c r="G60" s="11"/>
      <c r="H60" s="11"/>
      <c r="I60" s="11"/>
      <c r="J60" s="11"/>
      <c r="K60" s="11"/>
      <c r="L60" s="54"/>
      <c r="M60" s="54"/>
      <c r="N60" s="54"/>
      <c r="O60" s="56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4"/>
      <c r="M61" s="54"/>
      <c r="N61" s="54"/>
      <c r="O61" s="56"/>
    </row>
    <row r="62" spans="1:34" x14ac:dyDescent="0.2">
      <c r="A62" s="12"/>
      <c r="B62" s="21" t="s">
        <v>13</v>
      </c>
      <c r="C62" s="16"/>
      <c r="D62" s="15"/>
      <c r="E62" s="15"/>
      <c r="F62" s="15"/>
      <c r="G62" s="15"/>
      <c r="H62" s="15"/>
      <c r="I62" s="15"/>
      <c r="J62" s="15"/>
      <c r="K62" s="15"/>
      <c r="L62" s="55"/>
      <c r="M62" s="55"/>
      <c r="N62" s="55"/>
      <c r="O62" s="56"/>
    </row>
    <row r="63" spans="1:34" x14ac:dyDescent="0.2">
      <c r="A63"/>
      <c r="B63" s="11" t="s">
        <v>53</v>
      </c>
      <c r="C63" s="23">
        <f>(SUM(C43:C57))/(100%*15)</f>
        <v>1</v>
      </c>
      <c r="G63" s="35"/>
      <c r="L63" s="56"/>
      <c r="M63" s="56"/>
      <c r="N63" s="56"/>
      <c r="O63" s="56"/>
    </row>
    <row r="64" spans="1:34" x14ac:dyDescent="0.2">
      <c r="L64" s="56"/>
      <c r="M64" s="56"/>
      <c r="N64" s="56"/>
      <c r="O64" s="56"/>
    </row>
    <row r="65" spans="1:34" x14ac:dyDescent="0.2">
      <c r="L65" s="56"/>
      <c r="M65" s="56"/>
      <c r="N65" s="56"/>
    </row>
    <row r="66" spans="1:34" x14ac:dyDescent="0.2">
      <c r="L66" s="56"/>
      <c r="M66" s="56"/>
      <c r="N66" s="5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spans="1:34" x14ac:dyDescent="0.2">
      <c r="B67" s="11"/>
      <c r="L67" s="56"/>
      <c r="M67" s="56"/>
      <c r="N67" s="56"/>
    </row>
    <row r="68" spans="1:34" x14ac:dyDescent="0.2">
      <c r="B68" s="11"/>
      <c r="L68" s="56"/>
      <c r="M68" s="56"/>
      <c r="N68" s="56"/>
    </row>
    <row r="69" spans="1:34" x14ac:dyDescent="0.2">
      <c r="B69" s="11"/>
      <c r="E69" s="59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5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 x14ac:dyDescent="0.2">
      <c r="B75" s="11"/>
      <c r="O75" s="25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 x14ac:dyDescent="0.2">
      <c r="B76" s="11"/>
      <c r="O76" s="25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 x14ac:dyDescent="0.2">
      <c r="B77" s="11"/>
      <c r="O77" s="25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 x14ac:dyDescent="0.2">
      <c r="A78"/>
      <c r="B78" s="11"/>
      <c r="E78" s="24"/>
      <c r="F78" s="25"/>
      <c r="G78" s="25"/>
      <c r="H78" s="25"/>
      <c r="I78" s="25"/>
      <c r="J78" s="25"/>
      <c r="K78" s="25"/>
      <c r="L78" s="25"/>
      <c r="M78" s="25"/>
      <c r="N78" s="25"/>
    </row>
    <row r="79" spans="1:34" x14ac:dyDescent="0.2">
      <c r="A79"/>
      <c r="B79" s="11"/>
      <c r="E79" s="24"/>
      <c r="F79" s="25"/>
      <c r="G79" s="25"/>
      <c r="H79" s="25"/>
      <c r="I79" s="25"/>
      <c r="J79" s="25"/>
      <c r="K79" s="25"/>
      <c r="L79" s="25"/>
      <c r="M79" s="25"/>
      <c r="N79" s="25"/>
    </row>
    <row r="80" spans="1:34" x14ac:dyDescent="0.2">
      <c r="A80"/>
      <c r="B80" s="11"/>
      <c r="E80" s="24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2">
      <c r="A81"/>
      <c r="B81" s="11"/>
      <c r="D81"/>
      <c r="E81" s="24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2">
      <c r="B82" s="21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28" priority="181" stopIfTrue="1" operator="greaterThan">
      <formula>0</formula>
    </cfRule>
  </conditionalFormatting>
  <conditionalFormatting sqref="D13:Z15 D16:K19 M16:Z19">
    <cfRule type="cellIs" dxfId="27" priority="12" stopIfTrue="1" operator="greaterThan">
      <formula>0</formula>
    </cfRule>
  </conditionalFormatting>
  <conditionalFormatting sqref="D23:Z24 D25:AH25 D26:Z28">
    <cfRule type="cellIs" dxfId="26" priority="37" stopIfTrue="1" operator="greaterThan">
      <formula>0</formula>
    </cfRule>
  </conditionalFormatting>
  <conditionalFormatting sqref="E20:F22">
    <cfRule type="cellIs" dxfId="25" priority="31" stopIfTrue="1" operator="greaterThan">
      <formula>0</formula>
    </cfRule>
  </conditionalFormatting>
  <conditionalFormatting sqref="G22:O22 G21:K21 M21:O21">
    <cfRule type="cellIs" dxfId="24" priority="32" stopIfTrue="1" operator="greaterThan">
      <formula>0</formula>
    </cfRule>
  </conditionalFormatting>
  <conditionalFormatting sqref="G20:K20 M20:Z20">
    <cfRule type="cellIs" dxfId="23" priority="47" stopIfTrue="1" operator="greaterThan">
      <formula>0</formula>
    </cfRule>
  </conditionalFormatting>
  <conditionalFormatting sqref="K40:L40">
    <cfRule type="cellIs" dxfId="22" priority="70" stopIfTrue="1" operator="greaterThan">
      <formula>0</formula>
    </cfRule>
  </conditionalFormatting>
  <conditionalFormatting sqref="P22:Z22">
    <cfRule type="cellIs" dxfId="21" priority="27" stopIfTrue="1" operator="greaterThan">
      <formula>0</formula>
    </cfRule>
  </conditionalFormatting>
  <conditionalFormatting sqref="P21:AB21">
    <cfRule type="cellIs" dxfId="20" priority="45" stopIfTrue="1" operator="greaterThan">
      <formula>0</formula>
    </cfRule>
  </conditionalFormatting>
  <conditionalFormatting sqref="AA13:AA20">
    <cfRule type="cellIs" dxfId="19" priority="55" stopIfTrue="1" operator="greaterThan">
      <formula>0</formula>
    </cfRule>
  </conditionalFormatting>
  <conditionalFormatting sqref="AA22:AA24 AA26:AA28">
    <cfRule type="cellIs" dxfId="18" priority="29" stopIfTrue="1" operator="greaterThan">
      <formula>0</formula>
    </cfRule>
  </conditionalFormatting>
  <conditionalFormatting sqref="AB20">
    <cfRule type="cellIs" dxfId="17" priority="183" stopIfTrue="1" operator="greaterThan">
      <formula>0</formula>
    </cfRule>
  </conditionalFormatting>
  <conditionalFormatting sqref="AB18:AB19 AF18:AF19">
    <cfRule type="cellIs" dxfId="16" priority="193" stopIfTrue="1" operator="greaterThan">
      <formula>0</formula>
    </cfRule>
  </conditionalFormatting>
  <conditionalFormatting sqref="AB22 AG22:AH22">
    <cfRule type="cellIs" dxfId="15" priority="28" stopIfTrue="1" operator="greaterThan">
      <formula>0</formula>
    </cfRule>
  </conditionalFormatting>
  <conditionalFormatting sqref="AB13:AB17 AF13:AG17">
    <cfRule type="cellIs" dxfId="14" priority="160" stopIfTrue="1" operator="greaterThan">
      <formula>0</formula>
    </cfRule>
  </conditionalFormatting>
  <conditionalFormatting sqref="AB28:AG28 AB24 AF23:AH24 AH26:AH28 AF26:AG27 AB26:AB27">
    <cfRule type="cellIs" dxfId="13" priority="39" stopIfTrue="1" operator="greaterThan">
      <formula>0</formula>
    </cfRule>
  </conditionalFormatting>
  <conditionalFormatting sqref="AF20:AF21">
    <cfRule type="cellIs" dxfId="12" priority="182" stopIfTrue="1" operator="greaterThan">
      <formula>0</formula>
    </cfRule>
  </conditionalFormatting>
  <conditionalFormatting sqref="AG18:AG21">
    <cfRule type="cellIs" dxfId="11" priority="179" stopIfTrue="1" operator="greaterThan">
      <formula>0</formula>
    </cfRule>
  </conditionalFormatting>
  <conditionalFormatting sqref="AC21:AE21">
    <cfRule type="cellIs" dxfId="10" priority="8" stopIfTrue="1" operator="greaterThan">
      <formula>0</formula>
    </cfRule>
  </conditionalFormatting>
  <conditionalFormatting sqref="AC20:AE20">
    <cfRule type="cellIs" dxfId="9" priority="10" stopIfTrue="1" operator="greaterThan">
      <formula>0</formula>
    </cfRule>
  </conditionalFormatting>
  <conditionalFormatting sqref="AC18:AE19">
    <cfRule type="cellIs" dxfId="8" priority="11" stopIfTrue="1" operator="greaterThan">
      <formula>0</formula>
    </cfRule>
  </conditionalFormatting>
  <conditionalFormatting sqref="AC22:AE22">
    <cfRule type="cellIs" dxfId="7" priority="6" stopIfTrue="1" operator="greaterThan">
      <formula>0</formula>
    </cfRule>
  </conditionalFormatting>
  <conditionalFormatting sqref="AC13:AE17">
    <cfRule type="cellIs" dxfId="6" priority="9" stopIfTrue="1" operator="greaterThan">
      <formula>0</formula>
    </cfRule>
  </conditionalFormatting>
  <conditionalFormatting sqref="AC23:AE24 AC26:AE27">
    <cfRule type="cellIs" dxfId="5" priority="7" stopIfTrue="1" operator="greaterThan">
      <formula>0</formula>
    </cfRule>
  </conditionalFormatting>
  <conditionalFormatting sqref="L16:L21">
    <cfRule type="cellIs" dxfId="4" priority="5" stopIfTrue="1" operator="greaterThan">
      <formula>0</formula>
    </cfRule>
  </conditionalFormatting>
  <conditionalFormatting sqref="AB23">
    <cfRule type="cellIs" dxfId="3" priority="4" stopIfTrue="1" operator="greaterThan">
      <formula>0</formula>
    </cfRule>
  </conditionalFormatting>
  <conditionalFormatting sqref="AF22">
    <cfRule type="cellIs" dxfId="2" priority="3" stopIfTrue="1" operator="greaterThan">
      <formula>0</formula>
    </cfRule>
  </conditionalFormatting>
  <conditionalFormatting sqref="AH13:AH17">
    <cfRule type="cellIs" dxfId="1" priority="1" stopIfTrue="1" operator="greaterThan">
      <formula>0</formula>
    </cfRule>
  </conditionalFormatting>
  <conditionalFormatting sqref="AH18:AH21">
    <cfRule type="cellIs" dxfId="0" priority="2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2024-05-07T06:51:01Z</cp:lastPrinted>
  <dcterms:created xsi:type="dcterms:W3CDTF">2006-10-16T02:50:45Z</dcterms:created>
  <dcterms:modified xsi:type="dcterms:W3CDTF">2024-06-04T01:16:48Z</dcterms:modified>
</cp:coreProperties>
</file>