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ei 24\"/>
    </mc:Choice>
  </mc:AlternateContent>
  <bookViews>
    <workbookView xWindow="0" yWindow="0" windowWidth="19200" windowHeight="11460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27" i="11" l="1"/>
  <c r="E26" i="11"/>
  <c r="B27" i="11" l="1"/>
  <c r="B26" i="11"/>
  <c r="D26" i="11" l="1"/>
  <c r="C26" i="11" l="1"/>
  <c r="E27" i="11"/>
  <c r="C27" i="11" s="1"/>
  <c r="C32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<sst xmlns="http://schemas.openxmlformats.org/spreadsheetml/2006/main" count="59" uniqueCount="24">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</sst>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4" fontId="6" fillId="0" borderId="0" xfId="0" applyFont="1" applyFill="1"/>
    <xf numFmtId="16" fontId="8" fillId="0" borderId="4" xfId="0" applyNumberFormat="1" applyFont="1" applyFill="1" applyBorder="1" applyAlignment="1">
      <alignment horizontal="center"/>
    </xf>
    <xf numFmtId="16" fontId="8" fillId="0" borderId="1" xfId="0" applyNumberFormat="1" applyFont="1" applyFill="1" applyBorder="1" applyAlignment="1">
      <alignment horizontal="center"/>
    </xf>
    <xf numFmtId="164" fontId="6" fillId="0" borderId="1" xfId="0" applyFont="1" applyBorder="1" applyAlignment="1">
      <alignment horizontal="center" vertical="center"/>
    </xf>
    <xf numFmtId="164" fontId="38" fillId="0" borderId="0" xfId="0" applyFont="1" applyAlignment="1">
      <alignment horizontal="left"/>
    </xf>
    <xf numFmtId="164" fontId="36" fillId="0" borderId="0" xfId="0" applyFont="1" applyBorder="1" applyAlignment="1">
      <alignment horizontal="center" vertic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8"/>
  <sheetViews>
    <sheetView tabSelected="1" zoomScale="55" zoomScaleNormal="55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2">
        <v>45413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spans="1:34" s="3" customFormat="1" x14ac:dyDescent="0.2">
      <c r="A10" s="70" t="s">
        <v>2</v>
      </c>
      <c r="B10" s="72" t="s">
        <v>0</v>
      </c>
      <c r="C10" s="72" t="s">
        <v>8</v>
      </c>
      <c r="D10" s="65">
        <f>C7</f>
        <v>45413</v>
      </c>
      <c r="E10" s="65">
        <f>D10+1</f>
        <v>45414</v>
      </c>
      <c r="F10" s="65">
        <f t="shared" ref="F10:AH10" si="0">E10+1</f>
        <v>45415</v>
      </c>
      <c r="G10" s="65">
        <f t="shared" si="0"/>
        <v>45416</v>
      </c>
      <c r="H10" s="65">
        <f t="shared" si="0"/>
        <v>45417</v>
      </c>
      <c r="I10" s="65">
        <f t="shared" si="0"/>
        <v>45418</v>
      </c>
      <c r="J10" s="65">
        <f t="shared" si="0"/>
        <v>45419</v>
      </c>
      <c r="K10" s="65">
        <f t="shared" si="0"/>
        <v>45420</v>
      </c>
      <c r="L10" s="65">
        <f t="shared" si="0"/>
        <v>45421</v>
      </c>
      <c r="M10" s="65">
        <f t="shared" si="0"/>
        <v>45422</v>
      </c>
      <c r="N10" s="65">
        <f t="shared" si="0"/>
        <v>45423</v>
      </c>
      <c r="O10" s="65">
        <f t="shared" si="0"/>
        <v>45424</v>
      </c>
      <c r="P10" s="65">
        <f t="shared" si="0"/>
        <v>45425</v>
      </c>
      <c r="Q10" s="65">
        <f t="shared" si="0"/>
        <v>45426</v>
      </c>
      <c r="R10" s="65">
        <f t="shared" si="0"/>
        <v>45427</v>
      </c>
      <c r="S10" s="65">
        <f t="shared" si="0"/>
        <v>45428</v>
      </c>
      <c r="T10" s="65">
        <f t="shared" si="0"/>
        <v>45429</v>
      </c>
      <c r="U10" s="65">
        <f t="shared" si="0"/>
        <v>45430</v>
      </c>
      <c r="V10" s="65">
        <f t="shared" si="0"/>
        <v>45431</v>
      </c>
      <c r="W10" s="65">
        <f t="shared" si="0"/>
        <v>45432</v>
      </c>
      <c r="X10" s="65">
        <f t="shared" si="0"/>
        <v>45433</v>
      </c>
      <c r="Y10" s="65">
        <f t="shared" si="0"/>
        <v>45434</v>
      </c>
      <c r="Z10" s="65">
        <f t="shared" si="0"/>
        <v>45435</v>
      </c>
      <c r="AA10" s="65">
        <f t="shared" si="0"/>
        <v>45436</v>
      </c>
      <c r="AB10" s="65">
        <f t="shared" si="0"/>
        <v>45437</v>
      </c>
      <c r="AC10" s="65">
        <f t="shared" si="0"/>
        <v>45438</v>
      </c>
      <c r="AD10" s="65">
        <f t="shared" si="0"/>
        <v>45439</v>
      </c>
      <c r="AE10" s="65">
        <f t="shared" si="0"/>
        <v>45440</v>
      </c>
      <c r="AF10" s="65">
        <f t="shared" si="0"/>
        <v>45441</v>
      </c>
      <c r="AG10" s="65">
        <f t="shared" si="0"/>
        <v>45442</v>
      </c>
      <c r="AH10" s="66">
        <f t="shared" si="0"/>
        <v>45443</v>
      </c>
    </row>
    <row r="11" spans="1:34" s="1" customFormat="1" x14ac:dyDescent="0.2">
      <c r="A11" s="71"/>
      <c r="B11" s="73"/>
      <c r="C11" s="73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s="11" customFormat="1" ht="15.75" x14ac:dyDescent="0.2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s="11" customFormat="1" ht="16.5" customHeight="1" x14ac:dyDescent="0.2">
      <c r="A15" s="59"/>
      <c r="B15" s="60"/>
      <c r="C15" s="61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</row>
    <row r="16" spans="1:34" s="11" customFormat="1" ht="24.95" customHeight="1" x14ac:dyDescent="0.2">
      <c r="A16" s="80">
        <v>3</v>
      </c>
      <c r="B16" s="78" t="s">
        <v>22</v>
      </c>
      <c r="C16" s="51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</row>
    <row r="17" spans="1:34" s="11" customFormat="1" ht="24.95" customHeight="1" x14ac:dyDescent="0.2">
      <c r="A17" s="80"/>
      <c r="B17" s="78"/>
      <c r="C17" s="51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</row>
    <row r="18" spans="1:34" s="11" customFormat="1" ht="24.95" customHeight="1" x14ac:dyDescent="0.2">
      <c r="A18" s="80"/>
      <c r="B18" s="78"/>
      <c r="C18" s="52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</row>
    <row r="19" spans="1:34" s="11" customFormat="1" ht="24.95" customHeight="1" x14ac:dyDescent="0.2">
      <c r="A19" s="81"/>
      <c r="B19" s="79"/>
      <c r="C19" s="52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</row>
    <row r="20" spans="1:34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34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spans="1:34" s="11" customFormat="1" x14ac:dyDescent="0.2">
      <c r="A22" s="12"/>
      <c r="D22" s="12"/>
      <c r="H22" s="64"/>
      <c r="I22" s="20"/>
    </row>
    <row r="23" spans="1:34" s="11" customFormat="1" x14ac:dyDescent="0.2">
      <c r="A23" s="19" t="s">
        <v>12</v>
      </c>
      <c r="D23" s="12"/>
      <c r="K23" s="43"/>
      <c r="L23" s="43"/>
      <c r="AB23" s="26"/>
    </row>
    <row r="24" spans="1:34" s="11" customFormat="1" x14ac:dyDescent="0.2">
      <c r="A24" s="74" t="s">
        <v>2</v>
      </c>
      <c r="B24" s="74" t="s">
        <v>9</v>
      </c>
      <c r="C24" s="74" t="s">
        <v>1</v>
      </c>
      <c r="D24" s="76" t="s">
        <v>7</v>
      </c>
      <c r="E24" s="77"/>
      <c r="AB24" s="26"/>
    </row>
    <row r="25" spans="1:34" s="11" customFormat="1" x14ac:dyDescent="0.2">
      <c r="A25" s="75"/>
      <c r="B25" s="75"/>
      <c r="C25" s="75"/>
      <c r="D25" s="22" t="s">
        <v>10</v>
      </c>
      <c r="E25" s="18" t="s">
        <v>11</v>
      </c>
      <c r="AB25" s="26"/>
    </row>
    <row r="26" spans="1:34" s="11" customFormat="1" ht="15.75" x14ac:dyDescent="0.25">
      <c r="A26" s="33" t="s">
        <v>17</v>
      </c>
      <c r="B26" s="27" t="str">
        <f>B13</f>
        <v>Tower System</v>
      </c>
      <c r="C26" s="30">
        <f t="shared" ref="C26:C27" si="1">1-(((D26*3600)+(LEFT(E26,2)*60)+RIGHT(E26,2))/((60*60*24)*$C$8))</f>
        <v>1</v>
      </c>
      <c r="D26" s="16" t="str">
        <f>TEXT(SUM(D13:AG13),"[h]")</f>
        <v>0</v>
      </c>
      <c r="E26" s="16" t="str">
        <f>TEXT(SUM(E13:AG13),"mm ss")</f>
        <v>00 00</v>
      </c>
      <c r="G26" s="17"/>
      <c r="AB26" s="26"/>
    </row>
    <row r="27" spans="1:34" s="11" customFormat="1" ht="15.75" x14ac:dyDescent="0.25">
      <c r="A27" s="57" t="s">
        <v>16</v>
      </c>
      <c r="B27" s="27" t="str">
        <f>B14</f>
        <v>Power System</v>
      </c>
      <c r="C27" s="56">
        <f t="shared" si="1"/>
        <v>1</v>
      </c>
      <c r="D27" s="16" t="str">
        <f>TEXT(SUM(E14:AG14),"[h]")</f>
        <v>0</v>
      </c>
      <c r="E27" s="16" t="str">
        <f>TEXT(SUM(D14:AG14),"mm ss")</f>
        <v>00 00</v>
      </c>
      <c r="G27" s="17"/>
      <c r="AB27" s="26"/>
    </row>
    <row r="28" spans="1:34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4" x14ac:dyDescent="0.2">
      <c r="L33" s="46"/>
      <c r="M33" s="46"/>
      <c r="N33" s="46"/>
      <c r="O33" s="46"/>
    </row>
    <row r="34" spans="1:34" x14ac:dyDescent="0.2">
      <c r="L34" s="46"/>
      <c r="M34" s="46"/>
      <c r="N34" s="46"/>
      <c r="O34" s="46"/>
    </row>
    <row r="35" spans="1:34" x14ac:dyDescent="0.2"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46"/>
    </row>
    <row r="36" spans="1:34" x14ac:dyDescent="0.2">
      <c r="A36" s="47"/>
      <c r="B36" s="53"/>
      <c r="E36" s="68"/>
      <c r="F36" s="68"/>
      <c r="G36" s="68"/>
      <c r="H36" s="68"/>
      <c r="I36" s="68"/>
      <c r="J36" s="68"/>
      <c r="K36" s="68"/>
      <c r="L36" s="68"/>
      <c r="M36" s="68"/>
      <c r="N36" s="68"/>
    </row>
    <row r="37" spans="1:34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</sheetData>
  <mergeCells count="15">
    <mergeCell ref="A10:A11"/>
    <mergeCell ref="B10:B11"/>
    <mergeCell ref="C10:C11"/>
    <mergeCell ref="A24:A25"/>
    <mergeCell ref="B24:B25"/>
    <mergeCell ref="C24:C25"/>
    <mergeCell ref="B16:B19"/>
    <mergeCell ref="A16:A19"/>
    <mergeCell ref="D17:AH17"/>
    <mergeCell ref="D18:AH18"/>
    <mergeCell ref="D19:AH19"/>
    <mergeCell ref="E35:N36"/>
    <mergeCell ref="D15:AG15"/>
    <mergeCell ref="D24:E24"/>
    <mergeCell ref="D16:AH16"/>
  </mergeCells>
  <phoneticPr fontId="9" type="noConversion"/>
  <conditionalFormatting sqref="D13:AG14">
    <cfRule type="cellIs" dxfId="2" priority="27" stopIfTrue="1" operator="greaterThan">
      <formula>0</formula>
    </cfRule>
  </conditionalFormatting>
  <conditionalFormatting sqref="K23:L23">
    <cfRule type="cellIs" dxfId="1" priority="90" stopIfTrue="1" operator="greaterThan">
      <formula>0</formula>
    </cfRule>
  </conditionalFormatting>
  <conditionalFormatting sqref="AH13:AH1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2024-06-03T10:55:43Z</dcterms:modified>
</cp:coreProperties>
</file>