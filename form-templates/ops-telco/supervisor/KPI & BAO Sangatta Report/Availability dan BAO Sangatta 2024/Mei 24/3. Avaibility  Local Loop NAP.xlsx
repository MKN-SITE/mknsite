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ei 24\"/>
    </mc:Choice>
  </mc:AlternateContent>
  <bookViews>
    <workbookView xWindow="0" yWindow="0" windowWidth="19200" windowHeight="11460"/>
  </bookViews>
  <sheets>
    <sheet name="Link NAP" sheetId="1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26" i="11" l="1"/>
  <c r="D26" i="11"/>
  <c r="C26" i="11" l="1"/>
  <c r="C30" i="11" s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<sst xmlns="http://schemas.openxmlformats.org/spreadsheetml/2006/main" count="54" uniqueCount="22">
  <si>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</si>
  <si>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</si>
  <si>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</si>
  <si>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</si>
  <si>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</si>
  <si>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</si>
  <si>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</si>
  <si>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</si>
  <si>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</si>
  <si>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</si>
  <si>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</si>
  <si>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</si>
  <si>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</si>
  <si>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</si>
  <si>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</si>
  <si>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</si>
  <si>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</si>
  <si>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</si>
  <si>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</si>
  <si>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</si>
  <si>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</si>
  <si>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FO Cut Kawasan Rasuna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</si>
</sst>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E34" sqref="E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45413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4" t="s">
        <v>2</v>
      </c>
      <c r="B10" s="66" t="s">
        <v>0</v>
      </c>
      <c r="C10" s="68" t="s">
        <v>7</v>
      </c>
      <c r="D10" s="20">
        <f>C7</f>
        <v>45413</v>
      </c>
      <c r="E10" s="20">
        <f>D10+1</f>
        <v>45414</v>
      </c>
      <c r="F10" s="20">
        <f t="shared" ref="F10:AH10" si="0">E10+1</f>
        <v>45415</v>
      </c>
      <c r="G10" s="20">
        <f t="shared" si="0"/>
        <v>45416</v>
      </c>
      <c r="H10" s="20">
        <f t="shared" si="0"/>
        <v>45417</v>
      </c>
      <c r="I10" s="20">
        <f t="shared" si="0"/>
        <v>45418</v>
      </c>
      <c r="J10" s="20">
        <f t="shared" si="0"/>
        <v>45419</v>
      </c>
      <c r="K10" s="20">
        <f t="shared" si="0"/>
        <v>45420</v>
      </c>
      <c r="L10" s="20">
        <f t="shared" si="0"/>
        <v>45421</v>
      </c>
      <c r="M10" s="20">
        <f t="shared" si="0"/>
        <v>45422</v>
      </c>
      <c r="N10" s="20">
        <f t="shared" si="0"/>
        <v>45423</v>
      </c>
      <c r="O10" s="20">
        <f t="shared" si="0"/>
        <v>45424</v>
      </c>
      <c r="P10" s="20">
        <f t="shared" si="0"/>
        <v>45425</v>
      </c>
      <c r="Q10" s="20">
        <f t="shared" si="0"/>
        <v>45426</v>
      </c>
      <c r="R10" s="20">
        <f t="shared" si="0"/>
        <v>45427</v>
      </c>
      <c r="S10" s="20">
        <f t="shared" si="0"/>
        <v>45428</v>
      </c>
      <c r="T10" s="20">
        <f t="shared" si="0"/>
        <v>45429</v>
      </c>
      <c r="U10" s="20">
        <f t="shared" si="0"/>
        <v>45430</v>
      </c>
      <c r="V10" s="20">
        <f t="shared" si="0"/>
        <v>45431</v>
      </c>
      <c r="W10" s="20">
        <f t="shared" si="0"/>
        <v>45432</v>
      </c>
      <c r="X10" s="20">
        <f t="shared" si="0"/>
        <v>45433</v>
      </c>
      <c r="Y10" s="20">
        <f t="shared" si="0"/>
        <v>45434</v>
      </c>
      <c r="Z10" s="20">
        <f t="shared" si="0"/>
        <v>45435</v>
      </c>
      <c r="AA10" s="20">
        <f t="shared" si="0"/>
        <v>45436</v>
      </c>
      <c r="AB10" s="20">
        <f t="shared" si="0"/>
        <v>45437</v>
      </c>
      <c r="AC10" s="20">
        <f t="shared" si="0"/>
        <v>45438</v>
      </c>
      <c r="AD10" s="20">
        <f t="shared" si="0"/>
        <v>45439</v>
      </c>
      <c r="AE10" s="20">
        <f t="shared" si="0"/>
        <v>45440</v>
      </c>
      <c r="AF10" s="20">
        <f t="shared" si="0"/>
        <v>45441</v>
      </c>
      <c r="AG10" s="20">
        <f t="shared" si="0"/>
        <v>45442</v>
      </c>
      <c r="AH10" s="85">
        <f t="shared" si="0"/>
        <v>45443</v>
      </c>
      <c r="AI10" s="57"/>
    </row>
    <row r="11" spans="1:35" s="1" customFormat="1" x14ac:dyDescent="0.2">
      <c r="A11" s="65"/>
      <c r="B11" s="67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14</v>
      </c>
      <c r="C13" s="41" t="s">
        <v>15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0.4680555555555555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6" t="s">
        <v>20</v>
      </c>
      <c r="B14" s="77"/>
      <c r="C14" s="72">
        <v>45434</v>
      </c>
      <c r="D14" s="82" t="s">
        <v>21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</row>
    <row r="15" spans="1:35" s="14" customFormat="1" ht="12.75" customHeight="1" x14ac:dyDescent="0.2">
      <c r="A15" s="78"/>
      <c r="B15" s="79"/>
      <c r="C15" s="73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</row>
    <row r="16" spans="1:35" s="14" customFormat="1" ht="12.75" customHeight="1" x14ac:dyDescent="0.2">
      <c r="A16" s="78"/>
      <c r="B16" s="79"/>
      <c r="C16" s="7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8"/>
      <c r="B17" s="79"/>
      <c r="C17" s="7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8"/>
      <c r="B18" s="79"/>
      <c r="C18" s="74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8"/>
      <c r="B19" s="79"/>
      <c r="C19" s="75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0"/>
      <c r="B20" s="81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1" t="s">
        <v>2</v>
      </c>
      <c r="B24" s="71" t="s">
        <v>8</v>
      </c>
      <c r="C24" s="71" t="s">
        <v>1</v>
      </c>
      <c r="D24" s="70" t="s">
        <v>6</v>
      </c>
      <c r="E24" s="70"/>
      <c r="G24" s="61"/>
      <c r="H24" s="48"/>
      <c r="AF24" s="33"/>
    </row>
    <row r="25" spans="1:35" s="14" customFormat="1" x14ac:dyDescent="0.2">
      <c r="A25" s="71"/>
      <c r="B25" s="71"/>
      <c r="C25" s="71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17</v>
      </c>
      <c r="C26" s="34">
        <f>1-(((D26*3600)+(LEFT(E26,2)*60)+RIGHT(E26,2))/((60*60*24)*$C$8))</f>
        <v>0.98490143369175631</v>
      </c>
      <c r="D26" s="23" t="str">
        <f>TEXT(SUM(D13:AG13),"[h]")</f>
        <v>11</v>
      </c>
      <c r="E26" s="23" t="str">
        <f>TEXT(SUM(D13:AG13),"mm ss")</f>
        <v>14 00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18</v>
      </c>
      <c r="C30" s="49">
        <f>C26</f>
        <v>0.98490143369175631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X13 Z13:AH13">
    <cfRule type="cellIs" dxfId="1" priority="3" stopIfTrue="1" operator="greaterThan">
      <formula>0</formula>
    </cfRule>
  </conditionalFormatting>
  <conditionalFormatting sqref="Y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2024-06-04T01:17:57Z</dcterms:modified>
</cp:coreProperties>
</file>