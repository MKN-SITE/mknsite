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Mei 24\"/>
    </mc:Choice>
  </mc:AlternateContent>
  <bookViews>
    <workbookView xWindow="0" yWindow="0" windowWidth="19200" windowHeight="11460" tabRatio="361"/>
  </bookViews>
  <sheets>
    <sheet name="LINK ITU" sheetId="11" r:id="rId1"/>
  </sheets>
  <definedNames>
    <definedName name="_xlnm.Print_Area" localSheetId="0">'LINK ITU'!$A$1:$AG$36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E24" i="11" l="1"/>
  <c r="D24" i="11"/>
  <c r="C24" i="11" s="1"/>
  <c r="C28" i="11" s="1"/>
  <c r="B24" i="11" l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<sst xmlns="http://schemas.openxmlformats.org/spreadsheetml/2006/main" count="54" uniqueCount="22">
  <si>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</si>
  <si>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</si>
  <si>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</si>
  <si>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</si>
  <si>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</si>
  <si>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</si>
  <si>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</si>
  <si>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</si>
  <si>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</si>
  <si>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</si>
  <si>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</si>
  <si>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</si>
  <si>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</si>
  <si>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</si>
  <si>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</si>
  <si>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</si>
  <si>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PT. INDOTRUCK UTAMA</t>
  </si>
  <si>
    <t>Link Leased Line INDOTRUCK UTAMA</t>
  </si>
  <si>
    <t>PT. INDOTRUCK UTAMA</t>
  </si>
  <si>
    <t>LINK LEASED LINE INDOTRUCK UTAMA</t>
  </si>
  <si>
    <t xml:space="preserve">Problem Power Tower </t>
  </si>
  <si>
    <t>FO Cut Kawasan Rasuna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</si>
</sst>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9" xfId="0" applyFont="1" applyBorder="1"/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20" xfId="0" applyFont="1" applyBorder="1" applyAlignment="1">
      <alignment horizontal="center" vertical="center"/>
    </xf>
    <xf numFmtId="0" fontId="6" fillId="0" borderId="22" xfId="0" applyFont="1" applyBorder="1"/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46" fontId="0" fillId="0" borderId="15" xfId="0" applyNumberFormat="1" applyBorder="1" applyAlignment="1">
      <alignment vertical="top"/>
    </xf>
    <xf numFmtId="15" fontId="7" fillId="0" borderId="2" xfId="0" applyNumberFormat="1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2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vertical="center"/>
    </xf>
    <xf numFmtId="10" fontId="6" fillId="0" borderId="22" xfId="0" applyNumberFormat="1" applyFont="1" applyBorder="1" applyAlignment="1">
      <alignment vertical="center"/>
    </xf>
    <xf numFmtId="10" fontId="6" fillId="0" borderId="19" xfId="0" applyNumberFormat="1" applyFont="1" applyBorder="1" applyAlignment="1">
      <alignment vertical="center"/>
    </xf>
    <xf numFmtId="10" fontId="6" fillId="0" borderId="20" xfId="0" applyNumberFormat="1" applyFont="1" applyBorder="1" applyAlignment="1">
      <alignment vertical="center"/>
    </xf>
    <xf numFmtId="10" fontId="7" fillId="0" borderId="3" xfId="0" applyNumberFormat="1" applyFont="1" applyBorder="1" applyAlignment="1">
      <alignment vertical="center"/>
    </xf>
    <xf numFmtId="15" fontId="7" fillId="0" borderId="21" xfId="0" applyNumberFormat="1" applyFont="1" applyBorder="1" applyAlignment="1">
      <alignment horizontal="center" vertical="center"/>
    </xf>
    <xf numFmtId="10" fontId="7" fillId="0" borderId="15" xfId="0" applyNumberFormat="1" applyFont="1" applyBorder="1" applyAlignment="1">
      <alignment vertical="center"/>
    </xf>
    <xf numFmtId="10" fontId="7" fillId="0" borderId="20" xfId="0" applyNumberFormat="1" applyFont="1" applyBorder="1" applyAlignment="1">
      <alignment vertical="center"/>
    </xf>
    <xf numFmtId="0" fontId="6" fillId="0" borderId="16" xfId="0" applyFont="1" applyBorder="1"/>
    <xf numFmtId="0" fontId="6" fillId="0" borderId="23" xfId="0" applyFont="1" applyBorder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10" fontId="7" fillId="0" borderId="14" xfId="0" applyNumberFormat="1" applyFont="1" applyBorder="1" applyAlignment="1">
      <alignment horizontal="left" vertical="center"/>
    </xf>
    <xf numFmtId="10" fontId="7" fillId="0" borderId="19" xfId="0" applyNumberFormat="1" applyFont="1" applyBorder="1" applyAlignment="1">
      <alignment horizontal="left" vertical="center"/>
    </xf>
    <xf numFmtId="20" fontId="36" fillId="0" borderId="0" xfId="0" applyNumberFormat="1" applyFont="1"/>
    <xf numFmtId="16" fontId="7" fillId="0" borderId="1" xfId="0" applyNumberFormat="1" applyFont="1" applyBorder="1" applyAlignment="1">
      <alignment horizont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4"/>
  <sheetViews>
    <sheetView tabSelected="1" zoomScale="80" zoomScaleNormal="80" workbookViewId="0">
      <pane xSplit="3" ySplit="9" topLeftCell="T10" activePane="bottomRight" state="frozen"/>
      <selection pane="topRight" activeCell="D1" sqref="D1"/>
      <selection pane="bottomLeft" activeCell="A10" sqref="A10"/>
      <selection pane="bottomRight" activeCell="Y27" sqref="Y2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45413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73" t="s">
        <v>2</v>
      </c>
      <c r="B10" s="73" t="s">
        <v>0</v>
      </c>
      <c r="C10" s="73" t="s">
        <v>7</v>
      </c>
      <c r="D10" s="19">
        <f>C7</f>
        <v>45413</v>
      </c>
      <c r="E10" s="19">
        <f>D10+1</f>
        <v>45414</v>
      </c>
      <c r="F10" s="19">
        <f t="shared" ref="F10:AH10" si="0">E10+1</f>
        <v>45415</v>
      </c>
      <c r="G10" s="19">
        <f t="shared" si="0"/>
        <v>45416</v>
      </c>
      <c r="H10" s="19">
        <f t="shared" si="0"/>
        <v>45417</v>
      </c>
      <c r="I10" s="19">
        <f t="shared" si="0"/>
        <v>45418</v>
      </c>
      <c r="J10" s="19">
        <f t="shared" si="0"/>
        <v>45419</v>
      </c>
      <c r="K10" s="19">
        <f t="shared" si="0"/>
        <v>45420</v>
      </c>
      <c r="L10" s="19">
        <f t="shared" si="0"/>
        <v>45421</v>
      </c>
      <c r="M10" s="19">
        <f t="shared" si="0"/>
        <v>45422</v>
      </c>
      <c r="N10" s="19">
        <f t="shared" si="0"/>
        <v>45423</v>
      </c>
      <c r="O10" s="19">
        <f t="shared" si="0"/>
        <v>45424</v>
      </c>
      <c r="P10" s="19">
        <f t="shared" si="0"/>
        <v>45425</v>
      </c>
      <c r="Q10" s="19">
        <f t="shared" si="0"/>
        <v>45426</v>
      </c>
      <c r="R10" s="19">
        <f t="shared" si="0"/>
        <v>45427</v>
      </c>
      <c r="S10" s="19">
        <f t="shared" si="0"/>
        <v>45428</v>
      </c>
      <c r="T10" s="19">
        <f t="shared" si="0"/>
        <v>45429</v>
      </c>
      <c r="U10" s="19">
        <f t="shared" si="0"/>
        <v>45430</v>
      </c>
      <c r="V10" s="19">
        <f t="shared" si="0"/>
        <v>45431</v>
      </c>
      <c r="W10" s="19">
        <f t="shared" si="0"/>
        <v>45432</v>
      </c>
      <c r="X10" s="19">
        <f t="shared" si="0"/>
        <v>45433</v>
      </c>
      <c r="Y10" s="19">
        <f t="shared" si="0"/>
        <v>45434</v>
      </c>
      <c r="Z10" s="19">
        <f t="shared" si="0"/>
        <v>45435</v>
      </c>
      <c r="AA10" s="19">
        <f t="shared" si="0"/>
        <v>45436</v>
      </c>
      <c r="AB10" s="19">
        <f t="shared" si="0"/>
        <v>45437</v>
      </c>
      <c r="AC10" s="19">
        <f t="shared" si="0"/>
        <v>45438</v>
      </c>
      <c r="AD10" s="19">
        <f t="shared" si="0"/>
        <v>45439</v>
      </c>
      <c r="AE10" s="19">
        <f t="shared" si="0"/>
        <v>45440</v>
      </c>
      <c r="AF10" s="19">
        <f t="shared" si="0"/>
        <v>45441</v>
      </c>
      <c r="AG10" s="19">
        <f t="shared" si="0"/>
        <v>45442</v>
      </c>
      <c r="AH10" s="84">
        <f t="shared" si="0"/>
        <v>45443</v>
      </c>
    </row>
    <row r="11" spans="1:34" s="1" customFormat="1" x14ac:dyDescent="0.2">
      <c r="A11" s="74"/>
      <c r="B11" s="74"/>
      <c r="C11" s="74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6" t="s">
        <v>6</v>
      </c>
      <c r="AH11" s="12" t="s">
        <v>6</v>
      </c>
    </row>
    <row r="12" spans="1:34" x14ac:dyDescent="0.2">
      <c r="A12" s="33"/>
      <c r="B12" s="34"/>
      <c r="C12" s="35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5"/>
      <c r="AF12" s="55"/>
      <c r="AG12" s="55"/>
      <c r="AH12" s="52"/>
    </row>
    <row r="13" spans="1:34" s="42" customFormat="1" ht="39.950000000000003" customHeight="1" x14ac:dyDescent="0.2">
      <c r="A13" s="39">
        <v>1</v>
      </c>
      <c r="B13" s="40" t="s">
        <v>17</v>
      </c>
      <c r="C13" s="40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2.7777777777777776E-2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0.4680555555555555</v>
      </c>
      <c r="Z13" s="41">
        <v>0</v>
      </c>
      <c r="AA13" s="44">
        <v>0</v>
      </c>
      <c r="AB13" s="44">
        <v>0</v>
      </c>
      <c r="AC13" s="41">
        <v>0</v>
      </c>
      <c r="AD13" s="41">
        <v>0</v>
      </c>
      <c r="AE13" s="41">
        <v>0</v>
      </c>
      <c r="AF13" s="41">
        <v>0</v>
      </c>
      <c r="AG13" s="57">
        <v>0</v>
      </c>
      <c r="AH13" s="41">
        <v>0</v>
      </c>
    </row>
    <row r="14" spans="1:34" s="14" customFormat="1" ht="24" customHeight="1" x14ac:dyDescent="0.2">
      <c r="A14" s="77" t="s">
        <v>15</v>
      </c>
      <c r="B14" s="78"/>
      <c r="C14" s="58">
        <v>45419</v>
      </c>
      <c r="D14" s="81" t="s">
        <v>20</v>
      </c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69"/>
    </row>
    <row r="15" spans="1:34" s="14" customFormat="1" ht="24" customHeight="1" x14ac:dyDescent="0.2">
      <c r="A15" s="79"/>
      <c r="B15" s="80"/>
      <c r="C15" s="54">
        <v>45434</v>
      </c>
      <c r="D15" s="59" t="s">
        <v>21</v>
      </c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70"/>
    </row>
    <row r="16" spans="1:34" s="14" customFormat="1" ht="24" customHeight="1" x14ac:dyDescent="0.2">
      <c r="A16" s="79"/>
      <c r="B16" s="80"/>
      <c r="C16" s="54"/>
      <c r="D16" s="65"/>
      <c r="E16" s="62"/>
      <c r="F16" s="62"/>
      <c r="G16" s="62"/>
      <c r="H16" s="62"/>
      <c r="I16" s="62"/>
      <c r="J16" s="62"/>
      <c r="K16" s="62"/>
      <c r="L16" s="63"/>
      <c r="M16" s="63"/>
      <c r="N16" s="6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69"/>
    </row>
    <row r="17" spans="1:34" s="14" customFormat="1" ht="24" customHeight="1" x14ac:dyDescent="0.2">
      <c r="A17" s="79"/>
      <c r="B17" s="80"/>
      <c r="C17" s="66"/>
      <c r="D17" s="67"/>
      <c r="E17" s="68"/>
      <c r="F17" s="64"/>
      <c r="G17" s="64"/>
      <c r="H17" s="64"/>
      <c r="I17" s="64"/>
      <c r="J17" s="64"/>
      <c r="K17" s="64"/>
      <c r="L17" s="62"/>
      <c r="M17" s="62"/>
      <c r="N17" s="62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70"/>
    </row>
    <row r="18" spans="1:34" s="14" customFormat="1" ht="24" customHeight="1" x14ac:dyDescent="0.2">
      <c r="A18" s="48"/>
      <c r="B18" s="48"/>
      <c r="C18" s="50"/>
      <c r="D18" s="61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70"/>
    </row>
    <row r="19" spans="1:34" s="14" customFormat="1" ht="25.5" x14ac:dyDescent="0.2">
      <c r="A19" s="45"/>
      <c r="B19" s="45"/>
      <c r="C19" s="46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76" t="s">
        <v>2</v>
      </c>
      <c r="B22" s="76" t="s">
        <v>8</v>
      </c>
      <c r="C22" s="76" t="s">
        <v>1</v>
      </c>
      <c r="D22" s="75" t="s">
        <v>6</v>
      </c>
      <c r="E22" s="75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51"/>
      <c r="R22" s="51"/>
      <c r="S22" s="51"/>
      <c r="T22" s="51"/>
      <c r="U22" s="71"/>
      <c r="V22" s="71"/>
      <c r="W22" s="71"/>
      <c r="X22" s="71"/>
      <c r="Y22" s="71"/>
      <c r="Z22" s="71"/>
      <c r="AA22" s="71"/>
      <c r="AB22" s="71"/>
      <c r="AC22" s="31"/>
    </row>
    <row r="23" spans="1:34" s="14" customFormat="1" ht="18" x14ac:dyDescent="0.25">
      <c r="A23" s="76"/>
      <c r="B23" s="76"/>
      <c r="C23" s="76"/>
      <c r="D23" s="27" t="s">
        <v>9</v>
      </c>
      <c r="E23" s="23" t="s">
        <v>10</v>
      </c>
      <c r="G23" s="30"/>
      <c r="H23" s="30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/>
      <c r="AB23"/>
      <c r="AC23" s="31"/>
    </row>
    <row r="24" spans="1:34" s="17" customFormat="1" ht="18" x14ac:dyDescent="0.25">
      <c r="A24" s="37">
        <v>1</v>
      </c>
      <c r="B24" s="38" t="str">
        <f>B13</f>
        <v>Link Leased Line INDOTRUCK UTAMA</v>
      </c>
      <c r="C24" s="32">
        <f>1-(((D24*3600)+(LEFT(E24,2)*60)+RIGHT(E24,2))/((60*60*24)*$C$8))</f>
        <v>0.98400537634408602</v>
      </c>
      <c r="D24" s="22" t="str">
        <f>TEXT(SUM(D13:AG13),"[h]")</f>
        <v>11</v>
      </c>
      <c r="E24" s="22" t="str">
        <f>TEXT(SUM(D13:AG13),"mm ss")</f>
        <v>54 00</v>
      </c>
      <c r="F24" s="14"/>
      <c r="G24" s="30"/>
      <c r="H24" s="30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83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83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0.98400537634408602</v>
      </c>
      <c r="G28" s="30"/>
      <c r="H28" s="30"/>
      <c r="I28" s="83"/>
      <c r="J28" s="72"/>
      <c r="K28" s="72"/>
      <c r="L28" s="72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72"/>
      <c r="X28" s="72"/>
      <c r="Y28" s="72"/>
      <c r="Z28" s="51"/>
    </row>
    <row r="29" spans="1:34" ht="18" x14ac:dyDescent="0.25">
      <c r="G29" s="30"/>
      <c r="H29" s="30"/>
      <c r="I29" s="51"/>
      <c r="J29" s="71"/>
      <c r="K29" s="71"/>
      <c r="L29" s="7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71"/>
      <c r="X29" s="71"/>
      <c r="Y29" s="71"/>
      <c r="Z29" s="51"/>
    </row>
    <row r="30" spans="1:34" x14ac:dyDescent="0.2">
      <c r="B30" s="53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5">
    <mergeCell ref="A10:A11"/>
    <mergeCell ref="B10:B11"/>
    <mergeCell ref="C10:C11"/>
    <mergeCell ref="D22:E22"/>
    <mergeCell ref="A22:A23"/>
    <mergeCell ref="B22:B23"/>
    <mergeCell ref="C22:C23"/>
    <mergeCell ref="A14:B17"/>
    <mergeCell ref="D14:N14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V13 X13:AH13">
    <cfRule type="cellIs" dxfId="1" priority="2" stopIfTrue="1" operator="greaterThan">
      <formula>0</formula>
    </cfRule>
  </conditionalFormatting>
  <conditionalFormatting sqref="W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2022-03-01T02:11:25Z</cp:lastPrinted>
  <dcterms:created xsi:type="dcterms:W3CDTF">2006-10-16T02:50:45Z</dcterms:created>
  <dcterms:modified xsi:type="dcterms:W3CDTF">2024-06-03T10:35:39Z</dcterms:modified>
</cp:coreProperties>
</file>