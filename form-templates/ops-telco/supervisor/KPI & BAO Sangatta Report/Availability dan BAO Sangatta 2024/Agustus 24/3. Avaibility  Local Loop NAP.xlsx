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Agustus 24\"/>
    </mc:Choice>
  </mc:AlternateContent>
  <xr:revisionPtr revIDLastSave="0" documentId="13_ncr:1_{26392FB5-B1DE-4A9B-977C-858D91098B73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" i="11" l="1"/>
  <c r="T13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D26" i="11" l="1"/>
  <c r="E26" i="11"/>
  <c r="C26" i="11" s="1"/>
  <c r="C30" i="11" s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<sst xmlns="http://schemas.openxmlformats.org/spreadsheetml/2006/main" count="55" uniqueCount="23">
  <si>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</si>
  <si>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</si>
  <si>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</si>
  <si>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</si>
  <si>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</si>
  <si>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</si>
  <si>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</si>
  <si>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</si>
  <si>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</si>
  <si>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</si>
  <si>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</si>
  <si>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</si>
  <si>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</si>
  <si>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</si>
  <si>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</si>
  <si>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</si>
  <si>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</si>
  <si>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</si>
  <si>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</si>
  <si>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</si>
  <si>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</si>
  <si>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Circuit Breaker ke rack Network (01) Trip</t>
  </si>
  <si>
    <t>UPS di shelter Tower Surya error no power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</si>
</sst>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4" sqref="D14:AH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19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45505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78" t="s">
        <v>2</v>
      </c>
      <c r="B10" s="80" t="s">
        <v>0</v>
      </c>
      <c r="C10" s="82" t="s">
        <v>7</v>
      </c>
      <c r="D10" s="20">
        <f>C7</f>
        <v>45505</v>
      </c>
      <c r="E10" s="20">
        <f>D10+1</f>
        <v>45506</v>
      </c>
      <c r="F10" s="20">
        <f t="shared" ref="F10:AH10" si="0">E10+1</f>
        <v>45507</v>
      </c>
      <c r="G10" s="20">
        <f t="shared" si="0"/>
        <v>45508</v>
      </c>
      <c r="H10" s="20">
        <f t="shared" si="0"/>
        <v>45509</v>
      </c>
      <c r="I10" s="20">
        <f t="shared" si="0"/>
        <v>45510</v>
      </c>
      <c r="J10" s="20">
        <f t="shared" si="0"/>
        <v>45511</v>
      </c>
      <c r="K10" s="20">
        <f t="shared" si="0"/>
        <v>45512</v>
      </c>
      <c r="L10" s="20">
        <f t="shared" si="0"/>
        <v>45513</v>
      </c>
      <c r="M10" s="20">
        <f t="shared" si="0"/>
        <v>45514</v>
      </c>
      <c r="N10" s="20">
        <f t="shared" si="0"/>
        <v>45515</v>
      </c>
      <c r="O10" s="20">
        <f t="shared" si="0"/>
        <v>45516</v>
      </c>
      <c r="P10" s="20">
        <f t="shared" si="0"/>
        <v>45517</v>
      </c>
      <c r="Q10" s="20">
        <f t="shared" si="0"/>
        <v>45518</v>
      </c>
      <c r="R10" s="20">
        <f t="shared" si="0"/>
        <v>45519</v>
      </c>
      <c r="S10" s="20">
        <f t="shared" si="0"/>
        <v>45520</v>
      </c>
      <c r="T10" s="20">
        <f t="shared" si="0"/>
        <v>45521</v>
      </c>
      <c r="U10" s="20">
        <f t="shared" si="0"/>
        <v>45522</v>
      </c>
      <c r="V10" s="20">
        <f t="shared" si="0"/>
        <v>45523</v>
      </c>
      <c r="W10" s="20">
        <f t="shared" si="0"/>
        <v>45524</v>
      </c>
      <c r="X10" s="20">
        <f t="shared" si="0"/>
        <v>45525</v>
      </c>
      <c r="Y10" s="20">
        <f t="shared" si="0"/>
        <v>45526</v>
      </c>
      <c r="Z10" s="20">
        <f t="shared" si="0"/>
        <v>45527</v>
      </c>
      <c r="AA10" s="20">
        <f t="shared" si="0"/>
        <v>45528</v>
      </c>
      <c r="AB10" s="20">
        <f t="shared" si="0"/>
        <v>45529</v>
      </c>
      <c r="AC10" s="20">
        <f t="shared" si="0"/>
        <v>45530</v>
      </c>
      <c r="AD10" s="20">
        <f t="shared" si="0"/>
        <v>45531</v>
      </c>
      <c r="AE10" s="20">
        <f t="shared" si="0"/>
        <v>45532</v>
      </c>
      <c r="AF10" s="20">
        <f t="shared" si="0"/>
        <v>45533</v>
      </c>
      <c r="AG10" s="20">
        <f t="shared" si="0"/>
        <v>45534</v>
      </c>
      <c r="AH10" s="20">
        <f t="shared" si="0"/>
        <v>45535</v>
      </c>
      <c r="AI10" s="57"/>
    </row>
    <row r="11" spans="1:35" s="1" customFormat="1" x14ac:dyDescent="0.2">
      <c r="A11" s="79"/>
      <c r="B11" s="81"/>
      <c r="C11" s="83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14</v>
      </c>
      <c r="C13" s="41" t="s">
        <v>15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0.25208333333333333</v>
      </c>
      <c r="N13" s="42">
        <v>0</v>
      </c>
      <c r="O13" s="42">
        <v>0</v>
      </c>
      <c r="P13" s="42">
        <v>0</v>
      </c>
      <c r="Q13" s="42">
        <v>0</v>
      </c>
      <c r="R13" s="42">
        <f>P13-O13</f>
        <v>0</v>
      </c>
      <c r="S13" s="42">
        <v>0</v>
      </c>
      <c r="T13" s="42">
        <f>N13+R13</f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0" t="s">
        <v>20</v>
      </c>
      <c r="B14" s="71"/>
      <c r="C14" s="66">
        <v>45514</v>
      </c>
      <c r="D14" s="84" t="s">
        <v>21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</row>
    <row r="15" spans="1:35" s="14" customFormat="1" ht="12.75" customHeight="1" x14ac:dyDescent="0.2">
      <c r="A15" s="72"/>
      <c r="B15" s="73"/>
      <c r="C15" s="67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</row>
    <row r="16" spans="1:35" s="14" customFormat="1" ht="12.75" customHeight="1" x14ac:dyDescent="0.2">
      <c r="A16" s="72"/>
      <c r="B16" s="73"/>
      <c r="C16" s="66">
        <v>45514</v>
      </c>
      <c r="D16" s="84" t="s">
        <v>22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</row>
    <row r="17" spans="1:35" s="14" customFormat="1" ht="12.75" customHeight="1" x14ac:dyDescent="0.2">
      <c r="A17" s="72"/>
      <c r="B17" s="73"/>
      <c r="C17" s="67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</row>
    <row r="18" spans="1:35" s="14" customFormat="1" ht="12.75" customHeight="1" x14ac:dyDescent="0.2">
      <c r="A18" s="72"/>
      <c r="B18" s="73"/>
      <c r="C18" s="68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</row>
    <row r="19" spans="1:35" s="14" customFormat="1" ht="12.75" customHeight="1" x14ac:dyDescent="0.2">
      <c r="A19" s="72"/>
      <c r="B19" s="73"/>
      <c r="C19" s="69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57"/>
    </row>
    <row r="20" spans="1:35" s="14" customFormat="1" ht="25.5" customHeight="1" x14ac:dyDescent="0.2">
      <c r="A20" s="74"/>
      <c r="B20" s="75"/>
      <c r="C20" s="60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65" t="s">
        <v>2</v>
      </c>
      <c r="B24" s="65" t="s">
        <v>8</v>
      </c>
      <c r="C24" s="65" t="s">
        <v>1</v>
      </c>
      <c r="D24" s="64" t="s">
        <v>6</v>
      </c>
      <c r="E24" s="64"/>
      <c r="G24" s="61"/>
      <c r="H24" s="48"/>
      <c r="AF24" s="33"/>
    </row>
    <row r="25" spans="1:35" s="14" customFormat="1" x14ac:dyDescent="0.2">
      <c r="A25" s="65"/>
      <c r="B25" s="65"/>
      <c r="C25" s="65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17</v>
      </c>
      <c r="C26" s="34">
        <f>1-(((D26*3600)+(LEFT(E26,2)*60)+RIGHT(E26,2))/((60*60*24)*$C$8))</f>
        <v>0.99186827956989243</v>
      </c>
      <c r="D26" s="23" t="str">
        <f>TEXT(SUM(D13:AH13),"[h]")</f>
        <v>6</v>
      </c>
      <c r="E26" s="23" t="str">
        <f>TEXT(SUM(D13:AH13),"mm ss")</f>
        <v>03 00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16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18</v>
      </c>
      <c r="C30" s="49">
        <f>C26</f>
        <v>0.99186827956989243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2024-08-16T09:39:52Z</dcterms:modified>
</cp:coreProperties>
</file>