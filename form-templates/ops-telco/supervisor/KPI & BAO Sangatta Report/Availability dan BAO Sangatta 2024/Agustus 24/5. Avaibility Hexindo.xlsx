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33480E45-7DB5-4868-8350-6523A04C3DA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<sst xmlns="http://schemas.openxmlformats.org/spreadsheetml/2006/main" count="56" uniqueCount="23">
  <si>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</si>
  <si>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</si>
  <si>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</si>
  <si>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</si>
  <si>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</si>
  <si>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</si>
  <si>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</si>
  <si>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</si>
  <si>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</si>
  <si>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</si>
  <si>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</si>
  <si>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</si>
  <si>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</si>
  <si>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</si>
  <si>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</si>
  <si>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</si>
  <si>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</si>
  <si>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</si>
  <si>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</si>
  <si>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</si>
  <si>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</si>
  <si>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Circuit Breaker ke rack Network (01) Trip</t>
  </si>
  <si>
    <t>UPS di shelter Tower Surya error no power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</si>
</sst>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21" sqref="D21:U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45505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45505</v>
      </c>
      <c r="E10" s="53">
        <f>D10+1</f>
        <v>45506</v>
      </c>
      <c r="F10" s="53">
        <f t="shared" ref="F10:AH10" si="0">E10+1</f>
        <v>45507</v>
      </c>
      <c r="G10" s="53">
        <f t="shared" si="0"/>
        <v>45508</v>
      </c>
      <c r="H10" s="53">
        <f t="shared" si="0"/>
        <v>45509</v>
      </c>
      <c r="I10" s="53">
        <f t="shared" si="0"/>
        <v>45510</v>
      </c>
      <c r="J10" s="53">
        <f t="shared" si="0"/>
        <v>45511</v>
      </c>
      <c r="K10" s="53">
        <f t="shared" si="0"/>
        <v>45512</v>
      </c>
      <c r="L10" s="53">
        <f t="shared" si="0"/>
        <v>45513</v>
      </c>
      <c r="M10" s="53">
        <f t="shared" si="0"/>
        <v>45514</v>
      </c>
      <c r="N10" s="53">
        <f t="shared" si="0"/>
        <v>45515</v>
      </c>
      <c r="O10" s="53">
        <f t="shared" si="0"/>
        <v>45516</v>
      </c>
      <c r="P10" s="53">
        <f t="shared" si="0"/>
        <v>45517</v>
      </c>
      <c r="Q10" s="53">
        <f t="shared" si="0"/>
        <v>45518</v>
      </c>
      <c r="R10" s="53">
        <f t="shared" si="0"/>
        <v>45519</v>
      </c>
      <c r="S10" s="53">
        <f t="shared" si="0"/>
        <v>45520</v>
      </c>
      <c r="T10" s="53">
        <f t="shared" si="0"/>
        <v>45521</v>
      </c>
      <c r="U10" s="53">
        <f t="shared" si="0"/>
        <v>45522</v>
      </c>
      <c r="V10" s="53">
        <f t="shared" si="0"/>
        <v>45523</v>
      </c>
      <c r="W10" s="53">
        <f t="shared" si="0"/>
        <v>45524</v>
      </c>
      <c r="X10" s="53">
        <f t="shared" si="0"/>
        <v>45525</v>
      </c>
      <c r="Y10" s="53">
        <f t="shared" si="0"/>
        <v>45526</v>
      </c>
      <c r="Z10" s="53">
        <f t="shared" si="0"/>
        <v>45527</v>
      </c>
      <c r="AA10" s="53">
        <f t="shared" si="0"/>
        <v>45528</v>
      </c>
      <c r="AB10" s="53">
        <f t="shared" si="0"/>
        <v>45529</v>
      </c>
      <c r="AC10" s="53">
        <f t="shared" si="0"/>
        <v>45530</v>
      </c>
      <c r="AD10" s="53">
        <f t="shared" si="0"/>
        <v>45531</v>
      </c>
      <c r="AE10" s="53">
        <f t="shared" si="0"/>
        <v>45532</v>
      </c>
      <c r="AF10" s="53">
        <f t="shared" si="0"/>
        <v>45533</v>
      </c>
      <c r="AG10" s="53">
        <f t="shared" si="0"/>
        <v>45534</v>
      </c>
      <c r="AH10" s="54">
        <f t="shared" si="0"/>
        <v>45535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0.25208333333333333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36">
        <v>0.25208333333333333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>
        <v>45514</v>
      </c>
      <c r="D16" s="67" t="s">
        <v>21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>
        <v>45514</v>
      </c>
      <c r="D17" s="73" t="s">
        <v>22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0.99186827956989243</v>
      </c>
      <c r="D26" s="41" t="str">
        <f>TEXT(SUM(D13:AH13),"[h]")</f>
        <v>6</v>
      </c>
      <c r="E26" s="41" t="str">
        <f>TEXT(SUM(D13:AH13),"mm ss")</f>
        <v>03 00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0.99186827956989243</v>
      </c>
      <c r="D27" s="41" t="str">
        <f>TEXT(SUM(D14:AH14),"[h]")</f>
        <v>6</v>
      </c>
      <c r="E27" s="41" t="str">
        <f>TEXT(SUM(D14:AH14),"mm ss")</f>
        <v>03 00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0.99186827956989243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8" priority="4" stopIfTrue="1" operator="greaterThan">
      <formula>0</formula>
    </cfRule>
  </conditionalFormatting>
  <conditionalFormatting sqref="G14:I14 D15:I15 D18:D21">
    <cfRule type="cellIs" dxfId="7" priority="36" stopIfTrue="1" operator="greaterThan">
      <formula>0</formula>
    </cfRule>
  </conditionalFormatting>
  <conditionalFormatting sqref="G13:N13">
    <cfRule type="cellIs" dxfId="6" priority="41" stopIfTrue="1" operator="greaterThan">
      <formula>0</formula>
    </cfRule>
  </conditionalFormatting>
  <conditionalFormatting sqref="J15:N15 J14:L14 N14">
    <cfRule type="cellIs" dxfId="5" priority="22" stopIfTrue="1" operator="greaterThan">
      <formula>0</formula>
    </cfRule>
  </conditionalFormatting>
  <conditionalFormatting sqref="O13:X15">
    <cfRule type="cellIs" dxfId="4" priority="13" stopIfTrue="1" operator="greaterThan">
      <formula>0</formula>
    </cfRule>
  </conditionalFormatting>
  <conditionalFormatting sqref="V16:X21">
    <cfRule type="cellIs" dxfId="3" priority="44" stopIfTrue="1" operator="greaterThan">
      <formula>0</formula>
    </cfRule>
  </conditionalFormatting>
  <conditionalFormatting sqref="Y15:AE21">
    <cfRule type="cellIs" dxfId="2" priority="23" stopIfTrue="1" operator="greaterThan">
      <formula>0</formula>
    </cfRule>
  </conditionalFormatting>
  <conditionalFormatting sqref="Y13:AH14">
    <cfRule type="cellIs" dxfId="1" priority="2" stopIfTrue="1" operator="greaterThan">
      <formula>0</formula>
    </cfRule>
  </conditionalFormatting>
  <conditionalFormatting sqref="M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2024-08-16T07:12:03Z</dcterms:modified>
</cp:coreProperties>
</file>