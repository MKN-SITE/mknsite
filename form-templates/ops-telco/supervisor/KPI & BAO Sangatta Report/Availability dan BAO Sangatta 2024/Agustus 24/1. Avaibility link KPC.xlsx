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Agustus 24\"/>
    </mc:Choice>
  </mc:AlternateContent>
  <xr:revisionPtr revIDLastSave="0" documentId="13_ncr:1_{E499C0BE-58DF-47CF-8404-C7E209A86F4B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Avaibility NEC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8" i="11" l="1"/>
  <c r="E46" i="11"/>
  <c r="E45" i="11"/>
  <c r="E44" i="11"/>
  <c r="E47" i="11"/>
  <c r="E48" i="11"/>
  <c r="E49" i="11"/>
  <c r="E50" i="11"/>
  <c r="E51" i="11"/>
  <c r="E52" i="11"/>
  <c r="E53" i="11"/>
  <c r="E54" i="11"/>
  <c r="E55" i="11"/>
  <c r="E56" i="11"/>
  <c r="E57" i="11"/>
  <c r="D44" i="11"/>
  <c r="D45" i="11"/>
  <c r="D47" i="11"/>
  <c r="D48" i="11"/>
  <c r="D49" i="11"/>
  <c r="D50" i="11"/>
  <c r="D51" i="11"/>
  <c r="D46" i="11"/>
  <c r="D52" i="11"/>
  <c r="D53" i="11"/>
  <c r="D54" i="11"/>
  <c r="D55" i="11"/>
  <c r="D56" i="11"/>
  <c r="D57" i="11"/>
  <c r="E43" i="11"/>
  <c r="D43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43" i="11" l="1"/>
  <c r="C52" i="11" l="1"/>
  <c r="C57" i="11"/>
  <c r="C54" i="11" l="1"/>
  <c r="C56" i="11" l="1"/>
  <c r="C55" i="11" l="1"/>
  <c r="C53" i="11"/>
  <c r="C44" i="11"/>
  <c r="C50" i="11"/>
  <c r="C48" i="11" l="1"/>
  <c r="C46" i="11"/>
  <c r="C45" i="11"/>
  <c r="C51" i="11"/>
  <c r="C49" i="11"/>
  <c r="C47" i="11"/>
  <c r="C63" i="11" l="1"/>
</calcChain>
</file>

<file path=xl/sharedStrings.xml><?xml version="1.0" encoding="utf-8"?>
<sst xmlns="http://schemas.openxmlformats.org/spreadsheetml/2006/main" count="113" uniqueCount="56">
  <si>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</si>
  <si>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</si>
  <si>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</si>
  <si>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</si>
  <si>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</si>
  <si>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</si>
  <si>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</si>
  <si>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</si>
  <si>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</si>
  <si>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</si>
  <si>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</si>
  <si>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</si>
  <si>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</si>
  <si>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</si>
  <si>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</si>
  <si>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M5 to HATARI</t>
  </si>
  <si>
    <t>SURYA to BINTANG</t>
  </si>
  <si>
    <t>BINTANG to AB</t>
  </si>
  <si>
    <t>AB to FARNORTH</t>
  </si>
  <si>
    <t>HATARI to AB</t>
  </si>
  <si>
    <t>FARNORTH to 15000</t>
  </si>
  <si>
    <t>M5 to PTH</t>
  </si>
  <si>
    <t>PTH to LBTT</t>
  </si>
  <si>
    <t xml:space="preserve"> HATARI to AB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</si>
  <si>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</si>
  <si>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</si>
  <si>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</si>
  <si>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</si>
  <si>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</si>
  <si>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</si>
  <si>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</si>
  <si>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</si>
  <si>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</si>
  <si>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</si>
  <si>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</si>
  <si>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FARNORTH to Lignit</t>
  </si>
  <si>
    <t>12</t>
  </si>
  <si>
    <t>13</t>
  </si>
  <si>
    <t>LBTT to 15K</t>
  </si>
  <si>
    <t>LBTT to 15000</t>
  </si>
  <si>
    <t>Remaks</t>
  </si>
  <si>
    <t>M5 to SURYA</t>
  </si>
  <si>
    <t>FARNORTH to 15k</t>
  </si>
  <si>
    <t>FARNORTH to Middle</t>
  </si>
  <si>
    <t>14</t>
  </si>
  <si>
    <t>PTH to GALAXI</t>
  </si>
  <si>
    <t>15</t>
  </si>
  <si>
    <t>MIDDLE to LIGNITE</t>
  </si>
  <si>
    <t>FARNORTH to MIDDLE</t>
  </si>
  <si>
    <t>FARNORTH to LIGNITE</t>
  </si>
  <si>
    <t>KPC Microwave NEC</t>
  </si>
  <si>
    <t>31</t>
  </si>
  <si>
    <t>Availability (Overall)</t>
  </si>
  <si>
    <t>M5 to PitJ</t>
  </si>
  <si>
    <t>29 Agustus 2024</t>
  </si>
  <si>
    <t>Problem Genset dan Fuel Habis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</si>
</sst>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-yy;@"/>
    <numFmt numFmtId="165" formatCode="[$-409]d\-mmm\-yyyy;@"/>
    <numFmt numFmtId="166" formatCode="0.0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8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97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8" fillId="0" borderId="1" xfId="0" applyFont="1" applyBorder="1"/>
    <xf numFmtId="46" fontId="0" fillId="0" borderId="1" xfId="0" applyNumberForma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Alignment="1">
      <alignment horizontal="left" vertical="center"/>
    </xf>
    <xf numFmtId="164" fontId="36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" fontId="8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46" fontId="0" fillId="0" borderId="3" xfId="0" applyNumberFormat="1" applyBorder="1"/>
    <xf numFmtId="0" fontId="6" fillId="0" borderId="0" xfId="0" applyNumberFormat="1" applyFont="1" applyAlignment="1">
      <alignment horizontal="center"/>
    </xf>
    <xf numFmtId="164" fontId="35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164" fontId="18" fillId="0" borderId="5" xfId="0" applyFont="1" applyBorder="1"/>
    <xf numFmtId="46" fontId="0" fillId="33" borderId="0" xfId="0" applyNumberFormat="1" applyFill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3" xfId="0" applyFont="1" applyBorder="1" applyAlignment="1">
      <alignment vertical="center"/>
    </xf>
    <xf numFmtId="164" fontId="40" fillId="0" borderId="0" xfId="0" applyFont="1"/>
    <xf numFmtId="164" fontId="6" fillId="0" borderId="0" xfId="0" applyFont="1" applyAlignment="1">
      <alignment horizontal="left"/>
    </xf>
    <xf numFmtId="164" fontId="36" fillId="0" borderId="0" xfId="0" applyFont="1" applyAlignment="1">
      <alignment horizontal="center" vertical="center" wrapText="1"/>
    </xf>
    <xf numFmtId="165" fontId="39" fillId="0" borderId="0" xfId="0" applyNumberFormat="1" applyFont="1" applyAlignment="1">
      <alignment horizontal="center" vertical="center"/>
    </xf>
    <xf numFmtId="164" fontId="39" fillId="0" borderId="0" xfId="0" applyFont="1" applyAlignment="1">
      <alignment horizontal="left" vertical="center"/>
    </xf>
    <xf numFmtId="165" fontId="39" fillId="0" borderId="4" xfId="0" applyNumberFormat="1" applyFont="1" applyBorder="1" applyAlignment="1">
      <alignment horizontal="center" vertical="center"/>
    </xf>
    <xf numFmtId="164" fontId="38" fillId="0" borderId="25" xfId="0" applyFont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/>
    </xf>
    <xf numFmtId="164" fontId="36" fillId="0" borderId="25" xfId="0" applyFont="1" applyBorder="1" applyAlignment="1">
      <alignment vertical="center"/>
    </xf>
    <xf numFmtId="164" fontId="37" fillId="0" borderId="25" xfId="0" applyFont="1" applyBorder="1" applyAlignment="1">
      <alignment vertical="center"/>
    </xf>
    <xf numFmtId="49" fontId="6" fillId="0" borderId="27" xfId="0" applyNumberFormat="1" applyFont="1" applyBorder="1" applyAlignment="1">
      <alignment horizontal="center"/>
    </xf>
    <xf numFmtId="164" fontId="35" fillId="0" borderId="27" xfId="0" applyFont="1" applyBorder="1"/>
    <xf numFmtId="164" fontId="37" fillId="0" borderId="27" xfId="0" applyFont="1" applyBorder="1" applyAlignment="1">
      <alignment vertical="center"/>
    </xf>
    <xf numFmtId="46" fontId="0" fillId="0" borderId="27" xfId="0" applyNumberFormat="1" applyBorder="1"/>
    <xf numFmtId="16" fontId="8" fillId="0" borderId="28" xfId="0" applyNumberFormat="1" applyFont="1" applyBorder="1" applyAlignment="1">
      <alignment horizontal="center"/>
    </xf>
    <xf numFmtId="164" fontId="38" fillId="0" borderId="2" xfId="0" applyFont="1" applyBorder="1" applyAlignment="1">
      <alignment horizontal="center" vertical="center"/>
    </xf>
    <xf numFmtId="165" fontId="39" fillId="0" borderId="29" xfId="0" applyNumberFormat="1" applyFont="1" applyBorder="1" applyAlignment="1">
      <alignment horizontal="center" vertical="center"/>
    </xf>
    <xf numFmtId="10" fontId="14" fillId="0" borderId="0" xfId="0" applyNumberFormat="1" applyFont="1" applyAlignment="1">
      <alignment horizontal="center"/>
    </xf>
    <xf numFmtId="10" fontId="8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2" fontId="6" fillId="0" borderId="0" xfId="1" applyNumberFormat="1" applyFont="1" applyBorder="1" applyAlignment="1"/>
    <xf numFmtId="9" fontId="6" fillId="0" borderId="0" xfId="1" applyFont="1" applyBorder="1" applyAlignment="1"/>
    <xf numFmtId="164" fontId="38" fillId="0" borderId="0" xfId="0" applyFont="1"/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6" fillId="0" borderId="26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2" fontId="36" fillId="0" borderId="22" xfId="0" applyNumberFormat="1" applyFont="1" applyBorder="1" applyAlignment="1">
      <alignment horizontal="center" vertical="center"/>
    </xf>
    <xf numFmtId="2" fontId="36" fillId="0" borderId="23" xfId="0" applyNumberFormat="1" applyFont="1" applyBorder="1" applyAlignment="1">
      <alignment horizontal="center" vertical="center"/>
    </xf>
    <xf numFmtId="2" fontId="36" fillId="0" borderId="24" xfId="0" applyNumberFormat="1" applyFont="1" applyBorder="1" applyAlignment="1">
      <alignment horizontal="center" vertical="center"/>
    </xf>
    <xf numFmtId="164" fontId="39" fillId="0" borderId="1" xfId="0" applyFont="1" applyBorder="1" applyAlignment="1">
      <alignment horizontal="left" vertical="center"/>
    </xf>
    <xf numFmtId="164" fontId="39" fillId="0" borderId="1" xfId="0" applyFont="1" applyBorder="1" applyAlignment="1">
      <alignment horizontal="center" vertical="center"/>
    </xf>
    <xf numFmtId="164" fontId="39" fillId="0" borderId="1" xfId="0" applyFont="1" applyBorder="1" applyAlignment="1">
      <alignment horizontal="center" vertical="top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82"/>
  <sheetViews>
    <sheetView tabSelected="1" zoomScaleNormal="10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D32" sqref="D32:AH32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0" customWidth="1"/>
    <col min="16" max="34" width="10.5703125" customWidth="1"/>
  </cols>
  <sheetData>
    <row r="1" spans="1:34" s="3" customFormat="1" ht="14.25" x14ac:dyDescent="0.2">
      <c r="A1" s="4" t="s">
        <v>13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4" s="3" customFormat="1" ht="14.25" x14ac:dyDescent="0.2">
      <c r="A2" s="4" t="s">
        <v>14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4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4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4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4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4" s="3" customFormat="1" x14ac:dyDescent="0.2">
      <c r="A7" s="5" t="s">
        <v>5</v>
      </c>
      <c r="B7" s="6"/>
      <c r="C7" s="35">
        <v>45505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4" s="3" customFormat="1" x14ac:dyDescent="0.2">
      <c r="A8" s="5" t="s">
        <v>6</v>
      </c>
      <c r="B8" s="7"/>
      <c r="C8" s="37" t="s">
        <v>51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G8" s="3">
        <f>AG16-AG15</f>
        <v>0</v>
      </c>
    </row>
    <row r="9" spans="1:34" s="3" customFormat="1" ht="13.5" thickBot="1" x14ac:dyDescent="0.25"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34" s="3" customFormat="1" x14ac:dyDescent="0.2">
      <c r="A10" s="82" t="s">
        <v>2</v>
      </c>
      <c r="B10" s="84" t="s">
        <v>0</v>
      </c>
      <c r="C10" s="84" t="s">
        <v>8</v>
      </c>
      <c r="D10" s="40">
        <f>C7</f>
        <v>45505</v>
      </c>
      <c r="E10" s="40">
        <f>D10+1</f>
        <v>45506</v>
      </c>
      <c r="F10" s="40">
        <f t="shared" ref="F10:AF10" si="0">E10+1</f>
        <v>45507</v>
      </c>
      <c r="G10" s="40">
        <f t="shared" si="0"/>
        <v>45508</v>
      </c>
      <c r="H10" s="40">
        <f t="shared" si="0"/>
        <v>45509</v>
      </c>
      <c r="I10" s="40">
        <f t="shared" si="0"/>
        <v>45510</v>
      </c>
      <c r="J10" s="40">
        <f t="shared" si="0"/>
        <v>45511</v>
      </c>
      <c r="K10" s="40">
        <f t="shared" si="0"/>
        <v>45512</v>
      </c>
      <c r="L10" s="40">
        <f t="shared" si="0"/>
        <v>45513</v>
      </c>
      <c r="M10" s="40">
        <f t="shared" si="0"/>
        <v>45514</v>
      </c>
      <c r="N10" s="40">
        <f t="shared" si="0"/>
        <v>45515</v>
      </c>
      <c r="O10" s="40">
        <f t="shared" si="0"/>
        <v>45516</v>
      </c>
      <c r="P10" s="40">
        <f t="shared" si="0"/>
        <v>45517</v>
      </c>
      <c r="Q10" s="40">
        <f t="shared" si="0"/>
        <v>45518</v>
      </c>
      <c r="R10" s="40">
        <f t="shared" si="0"/>
        <v>45519</v>
      </c>
      <c r="S10" s="40">
        <f t="shared" si="0"/>
        <v>45520</v>
      </c>
      <c r="T10" s="40">
        <f t="shared" si="0"/>
        <v>45521</v>
      </c>
      <c r="U10" s="40">
        <f t="shared" si="0"/>
        <v>45522</v>
      </c>
      <c r="V10" s="40">
        <f t="shared" si="0"/>
        <v>45523</v>
      </c>
      <c r="W10" s="40">
        <f t="shared" si="0"/>
        <v>45524</v>
      </c>
      <c r="X10" s="40">
        <f t="shared" si="0"/>
        <v>45525</v>
      </c>
      <c r="Y10" s="40">
        <f t="shared" si="0"/>
        <v>45526</v>
      </c>
      <c r="Z10" s="40">
        <f t="shared" si="0"/>
        <v>45527</v>
      </c>
      <c r="AA10" s="40">
        <f t="shared" si="0"/>
        <v>45528</v>
      </c>
      <c r="AB10" s="40">
        <f t="shared" si="0"/>
        <v>45529</v>
      </c>
      <c r="AC10" s="40">
        <f t="shared" si="0"/>
        <v>45530</v>
      </c>
      <c r="AD10" s="40">
        <f t="shared" si="0"/>
        <v>45531</v>
      </c>
      <c r="AE10" s="40">
        <f t="shared" si="0"/>
        <v>45532</v>
      </c>
      <c r="AF10" s="40">
        <f t="shared" si="0"/>
        <v>45533</v>
      </c>
      <c r="AG10" s="40">
        <f>AF10+1</f>
        <v>45534</v>
      </c>
      <c r="AH10" s="71">
        <f>AG10+1</f>
        <v>45535</v>
      </c>
    </row>
    <row r="11" spans="1:34" s="1" customFormat="1" x14ac:dyDescent="0.2">
      <c r="A11" s="83"/>
      <c r="B11" s="85"/>
      <c r="C11" s="85"/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9" t="s">
        <v>7</v>
      </c>
      <c r="J11" s="9" t="s">
        <v>7</v>
      </c>
      <c r="K11" s="9" t="s">
        <v>7</v>
      </c>
      <c r="L11" s="9" t="s">
        <v>7</v>
      </c>
      <c r="M11" s="9" t="s">
        <v>7</v>
      </c>
      <c r="N11" s="9" t="s">
        <v>7</v>
      </c>
      <c r="O11" s="9" t="s">
        <v>7</v>
      </c>
      <c r="P11" s="9" t="s">
        <v>7</v>
      </c>
      <c r="Q11" s="9" t="s">
        <v>7</v>
      </c>
      <c r="R11" s="9" t="s">
        <v>7</v>
      </c>
      <c r="S11" s="9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  <c r="AH11" s="9" t="s">
        <v>7</v>
      </c>
    </row>
    <row r="12" spans="1:34" x14ac:dyDescent="0.2">
      <c r="A12" s="41"/>
      <c r="B12" s="29"/>
      <c r="C12" s="30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s="11" customFormat="1" ht="15.75" customHeight="1" x14ac:dyDescent="0.25">
      <c r="A13" s="42" t="s">
        <v>33</v>
      </c>
      <c r="B13" s="27" t="s">
        <v>41</v>
      </c>
      <c r="C13" s="31"/>
      <c r="D13" s="32">
        <v>0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2">
        <v>0</v>
      </c>
      <c r="X13" s="32">
        <v>0</v>
      </c>
      <c r="Y13" s="32">
        <v>0</v>
      </c>
      <c r="Z13" s="32">
        <v>0</v>
      </c>
      <c r="AA13" s="32">
        <v>0</v>
      </c>
      <c r="AB13" s="32">
        <v>0</v>
      </c>
      <c r="AC13" s="32">
        <v>0</v>
      </c>
      <c r="AD13" s="32">
        <v>0</v>
      </c>
      <c r="AE13" s="32">
        <v>0</v>
      </c>
      <c r="AF13" s="32">
        <v>0</v>
      </c>
      <c r="AG13" s="32">
        <v>0</v>
      </c>
      <c r="AH13" s="32">
        <v>0</v>
      </c>
    </row>
    <row r="14" spans="1:34" s="11" customFormat="1" ht="15.75" customHeight="1" x14ac:dyDescent="0.25">
      <c r="A14" s="42" t="s">
        <v>24</v>
      </c>
      <c r="B14" s="27" t="s">
        <v>21</v>
      </c>
      <c r="C14" s="31"/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2">
        <v>0</v>
      </c>
      <c r="X14" s="32">
        <v>0</v>
      </c>
      <c r="Y14" s="32">
        <v>0</v>
      </c>
      <c r="Z14" s="32">
        <v>0</v>
      </c>
      <c r="AA14" s="32">
        <v>0</v>
      </c>
      <c r="AB14" s="32">
        <v>0</v>
      </c>
      <c r="AC14" s="32">
        <v>0</v>
      </c>
      <c r="AD14" s="32">
        <v>0</v>
      </c>
      <c r="AE14" s="32">
        <v>0</v>
      </c>
      <c r="AF14" s="32">
        <v>0</v>
      </c>
      <c r="AG14" s="32">
        <v>0</v>
      </c>
      <c r="AH14" s="32">
        <v>0</v>
      </c>
    </row>
    <row r="15" spans="1:34" s="11" customFormat="1" ht="15.75" customHeight="1" x14ac:dyDescent="0.25">
      <c r="A15" s="42" t="s">
        <v>25</v>
      </c>
      <c r="B15" s="27" t="s">
        <v>15</v>
      </c>
      <c r="C15" s="31"/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2">
        <v>0</v>
      </c>
      <c r="X15" s="32">
        <v>0</v>
      </c>
      <c r="Y15" s="32">
        <v>0</v>
      </c>
      <c r="Z15" s="32">
        <v>0</v>
      </c>
      <c r="AA15" s="32">
        <v>0</v>
      </c>
      <c r="AB15" s="32">
        <v>0</v>
      </c>
      <c r="AC15" s="32">
        <v>0</v>
      </c>
      <c r="AD15" s="32">
        <v>0</v>
      </c>
      <c r="AE15" s="32">
        <v>0</v>
      </c>
      <c r="AF15" s="32">
        <v>3.1944444444444442E-2</v>
      </c>
      <c r="AG15" s="32">
        <v>0</v>
      </c>
      <c r="AH15" s="32">
        <v>0</v>
      </c>
    </row>
    <row r="16" spans="1:34" s="11" customFormat="1" ht="15.75" customHeight="1" x14ac:dyDescent="0.25">
      <c r="A16" s="42" t="s">
        <v>26</v>
      </c>
      <c r="B16" s="27" t="s">
        <v>53</v>
      </c>
      <c r="C16" s="31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>
        <v>0</v>
      </c>
      <c r="T16" s="32">
        <v>0</v>
      </c>
      <c r="U16" s="32">
        <v>0</v>
      </c>
      <c r="V16" s="32">
        <v>0</v>
      </c>
      <c r="W16" s="32">
        <v>0</v>
      </c>
      <c r="X16" s="32">
        <v>0</v>
      </c>
      <c r="Y16" s="32">
        <v>0</v>
      </c>
      <c r="Z16" s="32">
        <v>0</v>
      </c>
      <c r="AA16" s="32">
        <v>0</v>
      </c>
      <c r="AB16" s="32">
        <v>0</v>
      </c>
      <c r="AC16" s="32">
        <v>0</v>
      </c>
      <c r="AD16" s="32">
        <v>0</v>
      </c>
      <c r="AE16" s="32">
        <v>0</v>
      </c>
      <c r="AF16" s="32">
        <v>0</v>
      </c>
      <c r="AG16" s="32">
        <v>0</v>
      </c>
      <c r="AH16" s="32">
        <v>0</v>
      </c>
    </row>
    <row r="17" spans="1:34" s="11" customFormat="1" ht="15.75" customHeight="1" x14ac:dyDescent="0.25">
      <c r="A17" s="42" t="s">
        <v>27</v>
      </c>
      <c r="B17" s="27" t="s">
        <v>16</v>
      </c>
      <c r="C17" s="31"/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32">
        <v>0</v>
      </c>
      <c r="R17" s="32">
        <v>0</v>
      </c>
      <c r="S17" s="32">
        <v>0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  <c r="Y17" s="32">
        <v>0</v>
      </c>
      <c r="Z17" s="32">
        <v>0</v>
      </c>
      <c r="AA17" s="32">
        <v>0</v>
      </c>
      <c r="AB17" s="32">
        <v>0</v>
      </c>
      <c r="AC17" s="32">
        <v>0</v>
      </c>
      <c r="AD17" s="32">
        <v>0</v>
      </c>
      <c r="AE17" s="32">
        <v>0</v>
      </c>
      <c r="AF17" s="32">
        <v>0</v>
      </c>
      <c r="AG17" s="32">
        <v>0</v>
      </c>
      <c r="AH17" s="32">
        <v>0</v>
      </c>
    </row>
    <row r="18" spans="1:34" s="11" customFormat="1" ht="15.75" customHeight="1" x14ac:dyDescent="0.25">
      <c r="A18" s="42" t="s">
        <v>28</v>
      </c>
      <c r="B18" s="27" t="s">
        <v>17</v>
      </c>
      <c r="C18" s="31"/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32">
        <v>0</v>
      </c>
      <c r="AC18" s="32">
        <v>0</v>
      </c>
      <c r="AD18" s="32">
        <v>0</v>
      </c>
      <c r="AE18" s="32">
        <v>0</v>
      </c>
      <c r="AF18" s="32">
        <v>0</v>
      </c>
      <c r="AG18" s="32">
        <v>0</v>
      </c>
      <c r="AH18" s="32">
        <v>0</v>
      </c>
    </row>
    <row r="19" spans="1:34" s="11" customFormat="1" ht="15.75" customHeight="1" x14ac:dyDescent="0.25">
      <c r="A19" s="42" t="s">
        <v>29</v>
      </c>
      <c r="B19" s="27" t="s">
        <v>18</v>
      </c>
      <c r="C19" s="31"/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  <c r="AD19" s="32">
        <v>0</v>
      </c>
      <c r="AE19" s="32">
        <v>0</v>
      </c>
      <c r="AF19" s="32">
        <v>0</v>
      </c>
      <c r="AG19" s="32">
        <v>0</v>
      </c>
      <c r="AH19" s="32">
        <v>0</v>
      </c>
    </row>
    <row r="20" spans="1:34" s="11" customFormat="1" ht="15.75" customHeight="1" x14ac:dyDescent="0.25">
      <c r="A20" s="42" t="s">
        <v>30</v>
      </c>
      <c r="B20" s="27" t="s">
        <v>19</v>
      </c>
      <c r="C20" s="31"/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  <c r="AD20" s="32">
        <v>0</v>
      </c>
      <c r="AE20" s="32">
        <v>0</v>
      </c>
      <c r="AF20" s="32">
        <v>3.1944444444444442E-2</v>
      </c>
      <c r="AG20" s="32">
        <v>0</v>
      </c>
      <c r="AH20" s="32">
        <v>0</v>
      </c>
    </row>
    <row r="21" spans="1:34" s="11" customFormat="1" ht="15.75" customHeight="1" x14ac:dyDescent="0.25">
      <c r="A21" s="42" t="s">
        <v>31</v>
      </c>
      <c r="B21" s="27" t="s">
        <v>22</v>
      </c>
      <c r="C21" s="31"/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  <c r="X21" s="32">
        <v>0</v>
      </c>
      <c r="Y21" s="32">
        <v>0</v>
      </c>
      <c r="Z21" s="32">
        <v>0</v>
      </c>
      <c r="AA21" s="32">
        <v>0</v>
      </c>
      <c r="AB21" s="32">
        <v>0</v>
      </c>
      <c r="AC21" s="32">
        <v>0</v>
      </c>
      <c r="AD21" s="32">
        <v>0</v>
      </c>
      <c r="AE21" s="32">
        <v>0</v>
      </c>
      <c r="AF21" s="32">
        <v>0</v>
      </c>
      <c r="AG21" s="32">
        <v>0</v>
      </c>
      <c r="AH21" s="32">
        <v>0</v>
      </c>
    </row>
    <row r="22" spans="1:34" s="11" customFormat="1" ht="15.75" customHeight="1" x14ac:dyDescent="0.25">
      <c r="A22" s="42" t="s">
        <v>32</v>
      </c>
      <c r="B22" s="43" t="s">
        <v>45</v>
      </c>
      <c r="C22" s="31"/>
      <c r="D22" s="32">
        <v>0</v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2">
        <v>0</v>
      </c>
      <c r="X22" s="32">
        <v>0</v>
      </c>
      <c r="Y22" s="32">
        <v>0</v>
      </c>
      <c r="Z22" s="32">
        <v>0</v>
      </c>
      <c r="AA22" s="32">
        <v>0</v>
      </c>
      <c r="AB22" s="32">
        <v>0</v>
      </c>
      <c r="AC22" s="32">
        <v>0</v>
      </c>
      <c r="AD22" s="32">
        <v>0</v>
      </c>
      <c r="AE22" s="32">
        <v>0</v>
      </c>
      <c r="AF22" s="32">
        <v>0</v>
      </c>
      <c r="AG22" s="32">
        <v>0</v>
      </c>
      <c r="AH22" s="32">
        <v>0</v>
      </c>
    </row>
    <row r="23" spans="1:34" s="11" customFormat="1" ht="15.75" customHeight="1" x14ac:dyDescent="0.25">
      <c r="A23" s="42" t="s">
        <v>34</v>
      </c>
      <c r="B23" s="43" t="s">
        <v>42</v>
      </c>
      <c r="C23" s="31"/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32">
        <v>0</v>
      </c>
      <c r="L23" s="32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32">
        <v>0</v>
      </c>
      <c r="AB23" s="32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45">
        <v>0</v>
      </c>
    </row>
    <row r="24" spans="1:34" s="11" customFormat="1" ht="15.75" customHeight="1" x14ac:dyDescent="0.25">
      <c r="A24" s="42" t="s">
        <v>36</v>
      </c>
      <c r="B24" s="43" t="s">
        <v>43</v>
      </c>
      <c r="C24" s="50"/>
      <c r="D24" s="45">
        <v>0</v>
      </c>
      <c r="E24" s="45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v>0</v>
      </c>
      <c r="Q24" s="45">
        <v>0</v>
      </c>
      <c r="R24" s="32">
        <v>0</v>
      </c>
      <c r="S24" s="45">
        <v>0</v>
      </c>
      <c r="T24" s="45">
        <v>0</v>
      </c>
      <c r="U24" s="45">
        <v>0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32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45">
        <v>0</v>
      </c>
    </row>
    <row r="25" spans="1:34" s="11" customFormat="1" ht="15.75" customHeight="1" x14ac:dyDescent="0.25">
      <c r="A25" s="42" t="s">
        <v>37</v>
      </c>
      <c r="B25" s="43" t="s">
        <v>35</v>
      </c>
      <c r="C25" s="44"/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32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45">
        <v>0</v>
      </c>
    </row>
    <row r="26" spans="1:34" s="11" customFormat="1" ht="15.75" customHeight="1" x14ac:dyDescent="0.25">
      <c r="A26" s="42" t="s">
        <v>44</v>
      </c>
      <c r="B26" s="43" t="s">
        <v>38</v>
      </c>
      <c r="C26" s="56"/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45">
        <v>0</v>
      </c>
    </row>
    <row r="27" spans="1:34" s="11" customFormat="1" ht="15.75" customHeight="1" x14ac:dyDescent="0.25">
      <c r="A27" s="42" t="s">
        <v>46</v>
      </c>
      <c r="B27" s="27" t="s">
        <v>47</v>
      </c>
      <c r="C27" s="69"/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5">
        <v>0</v>
      </c>
      <c r="AH27" s="45">
        <v>0</v>
      </c>
    </row>
    <row r="28" spans="1:34" s="11" customFormat="1" ht="12.75" customHeight="1" x14ac:dyDescent="0.25">
      <c r="A28" s="67"/>
      <c r="B28" s="68"/>
      <c r="C28" s="69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</row>
    <row r="29" spans="1:34" s="11" customFormat="1" ht="16.5" customHeight="1" x14ac:dyDescent="0.2">
      <c r="A29" s="64"/>
      <c r="B29" s="65"/>
      <c r="C29" s="66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72"/>
    </row>
    <row r="30" spans="1:34" s="11" customFormat="1" ht="16.5" customHeight="1" x14ac:dyDescent="0.2">
      <c r="A30" s="88"/>
      <c r="B30" s="91" t="s">
        <v>40</v>
      </c>
      <c r="C30" s="73" t="s">
        <v>54</v>
      </c>
      <c r="D30" s="94" t="s">
        <v>55</v>
      </c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  <c r="AG30" s="94"/>
      <c r="AH30" s="94"/>
    </row>
    <row r="31" spans="1:34" s="11" customFormat="1" ht="16.5" customHeight="1" x14ac:dyDescent="0.2">
      <c r="A31" s="89"/>
      <c r="B31" s="92"/>
      <c r="C31" s="62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</row>
    <row r="32" spans="1:34" s="11" customFormat="1" ht="16.5" customHeight="1" x14ac:dyDescent="0.2">
      <c r="A32" s="89"/>
      <c r="B32" s="92"/>
      <c r="C32" s="62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</row>
    <row r="33" spans="1:34" s="11" customFormat="1" ht="16.5" customHeight="1" x14ac:dyDescent="0.2">
      <c r="A33" s="89"/>
      <c r="B33" s="92"/>
      <c r="C33" s="62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</row>
    <row r="34" spans="1:34" s="11" customFormat="1" ht="15" customHeight="1" x14ac:dyDescent="0.2">
      <c r="A34" s="89"/>
      <c r="B34" s="92"/>
      <c r="C34" s="62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</row>
    <row r="35" spans="1:34" s="11" customFormat="1" ht="15" customHeight="1" x14ac:dyDescent="0.2">
      <c r="A35" s="89"/>
      <c r="B35" s="92"/>
      <c r="C35" s="62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</row>
    <row r="36" spans="1:34" s="11" customFormat="1" ht="15" customHeight="1" x14ac:dyDescent="0.2">
      <c r="A36" s="90"/>
      <c r="B36" s="93"/>
      <c r="C36" s="62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5"/>
      <c r="AH36" s="95"/>
    </row>
    <row r="37" spans="1:34" s="11" customFormat="1" ht="15" x14ac:dyDescent="0.2">
      <c r="A37" s="59"/>
      <c r="B37" s="59"/>
      <c r="C37" s="60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AB37" s="26"/>
      <c r="AC37" s="26"/>
      <c r="AD37" s="26"/>
      <c r="AE37" s="26"/>
    </row>
    <row r="38" spans="1:34" s="11" customFormat="1" ht="15" x14ac:dyDescent="0.2">
      <c r="A38" s="12"/>
      <c r="B38" s="38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AB38" s="26"/>
      <c r="AC38" s="26"/>
      <c r="AD38" s="26"/>
      <c r="AE38" s="26"/>
    </row>
    <row r="39" spans="1:34" s="11" customFormat="1" x14ac:dyDescent="0.2">
      <c r="A39" s="12"/>
      <c r="D39" s="58"/>
      <c r="AB39" s="26"/>
      <c r="AC39" s="26"/>
      <c r="AD39" s="26"/>
      <c r="AE39" s="26"/>
    </row>
    <row r="40" spans="1:34" s="11" customFormat="1" x14ac:dyDescent="0.2">
      <c r="A40" s="19" t="s">
        <v>12</v>
      </c>
      <c r="D40" s="12"/>
      <c r="K40" s="51"/>
      <c r="L40" s="51"/>
      <c r="AB40" s="26"/>
      <c r="AC40" s="26"/>
      <c r="AD40" s="26"/>
      <c r="AE40" s="26"/>
    </row>
    <row r="41" spans="1:34" s="11" customFormat="1" x14ac:dyDescent="0.2">
      <c r="A41" s="86" t="s">
        <v>2</v>
      </c>
      <c r="B41" s="86" t="s">
        <v>9</v>
      </c>
      <c r="C41" s="86" t="s">
        <v>1</v>
      </c>
      <c r="D41" s="80" t="s">
        <v>7</v>
      </c>
      <c r="E41" s="81"/>
      <c r="AB41" s="26"/>
      <c r="AC41" s="26"/>
      <c r="AD41" s="26"/>
      <c r="AE41" s="26"/>
    </row>
    <row r="42" spans="1:34" s="11" customFormat="1" x14ac:dyDescent="0.2">
      <c r="A42" s="87"/>
      <c r="B42" s="87"/>
      <c r="C42" s="87"/>
      <c r="D42" s="22" t="s">
        <v>10</v>
      </c>
      <c r="E42" s="18" t="s">
        <v>11</v>
      </c>
      <c r="AB42" s="26"/>
      <c r="AC42" s="26"/>
      <c r="AD42" s="26"/>
      <c r="AE42" s="26"/>
    </row>
    <row r="43" spans="1:34" s="11" customFormat="1" ht="15.75" x14ac:dyDescent="0.25">
      <c r="A43" s="36" t="s">
        <v>33</v>
      </c>
      <c r="B43" s="27" t="s">
        <v>41</v>
      </c>
      <c r="C43" s="33">
        <f>1-(((D43*3600)+(LEFT(E43,2)*60)+RIGHT(E43,2))/((60*60*24)*$C$8))</f>
        <v>1</v>
      </c>
      <c r="D43" s="16" t="str">
        <f t="shared" ref="D43:D57" si="1">TEXT(SUM(D13:AH13),"[h]")</f>
        <v>0</v>
      </c>
      <c r="E43" s="16" t="str">
        <f>TEXT(SUM(D13:AH13),"mm ss")</f>
        <v>00 00</v>
      </c>
      <c r="G43" s="76"/>
      <c r="H43" s="49"/>
      <c r="I43" s="49"/>
      <c r="AB43" s="26"/>
      <c r="AC43" s="26"/>
      <c r="AD43" s="26"/>
      <c r="AE43" s="26"/>
    </row>
    <row r="44" spans="1:34" s="11" customFormat="1" ht="15.75" x14ac:dyDescent="0.25">
      <c r="A44" s="36" t="s">
        <v>24</v>
      </c>
      <c r="B44" s="27" t="s">
        <v>21</v>
      </c>
      <c r="C44" s="33">
        <f t="shared" ref="C44:C51" si="2">1-(((D44*3600)+(LEFT(E44,2)*60)+RIGHT(E44,2))/((60*60*24)*$C$8))</f>
        <v>1</v>
      </c>
      <c r="D44" s="16" t="str">
        <f t="shared" si="1"/>
        <v>0</v>
      </c>
      <c r="E44" s="16" t="str">
        <f>TEXT(SUM(D14:AH14),"mm ss")</f>
        <v>00 00</v>
      </c>
      <c r="G44" s="77"/>
      <c r="H44" s="49"/>
      <c r="I44" s="49"/>
      <c r="AB44" s="26"/>
      <c r="AC44" s="26"/>
      <c r="AD44" s="26"/>
      <c r="AE44" s="26"/>
    </row>
    <row r="45" spans="1:34" s="11" customFormat="1" ht="15.75" x14ac:dyDescent="0.25">
      <c r="A45" s="36" t="s">
        <v>25</v>
      </c>
      <c r="B45" s="47" t="s">
        <v>15</v>
      </c>
      <c r="C45" s="33">
        <f t="shared" si="2"/>
        <v>0.99896953405017919</v>
      </c>
      <c r="D45" s="16" t="str">
        <f t="shared" si="1"/>
        <v>0</v>
      </c>
      <c r="E45" s="16" t="str">
        <f>TEXT(SUM(D15:AH15),"mm ss")</f>
        <v>46 00</v>
      </c>
      <c r="G45" s="78"/>
      <c r="H45" s="79"/>
    </row>
    <row r="46" spans="1:34" s="11" customFormat="1" ht="15.75" x14ac:dyDescent="0.25">
      <c r="A46" s="36" t="s">
        <v>26</v>
      </c>
      <c r="B46" s="27" t="s">
        <v>53</v>
      </c>
      <c r="C46" s="33">
        <f>1-(((D46*3600)+(LEFT(E46,2)*60)+RIGHT(E46,2))/((60*60*24)*$C$8))</f>
        <v>1</v>
      </c>
      <c r="D46" s="16" t="str">
        <f t="shared" si="1"/>
        <v>0</v>
      </c>
      <c r="E46" s="16" t="str">
        <f>TEXT(SUM(S16:AH16),"mm ss")</f>
        <v>00 00</v>
      </c>
      <c r="G46" s="17"/>
      <c r="O46" s="53"/>
    </row>
    <row r="47" spans="1:34" s="11" customFormat="1" ht="15.75" x14ac:dyDescent="0.25">
      <c r="A47" s="36" t="s">
        <v>27</v>
      </c>
      <c r="B47" s="27" t="s">
        <v>16</v>
      </c>
      <c r="C47" s="33">
        <f t="shared" si="2"/>
        <v>1</v>
      </c>
      <c r="D47" s="16" t="str">
        <f t="shared" si="1"/>
        <v>0</v>
      </c>
      <c r="E47" s="16" t="str">
        <f t="shared" ref="E47:E57" si="3">TEXT(SUM(D17:AH17),"mm ss")</f>
        <v>00 00</v>
      </c>
      <c r="G47" s="78"/>
    </row>
    <row r="48" spans="1:34" s="11" customFormat="1" ht="15.75" x14ac:dyDescent="0.25">
      <c r="A48" s="36" t="s">
        <v>28</v>
      </c>
      <c r="B48" s="27" t="s">
        <v>17</v>
      </c>
      <c r="C48" s="33">
        <f t="shared" si="2"/>
        <v>1</v>
      </c>
      <c r="D48" s="16" t="str">
        <f t="shared" si="1"/>
        <v>0</v>
      </c>
      <c r="E48" s="16" t="str">
        <f t="shared" si="3"/>
        <v>00 00</v>
      </c>
      <c r="G48" s="17"/>
    </row>
    <row r="49" spans="1:34" s="11" customFormat="1" ht="15.75" x14ac:dyDescent="0.25">
      <c r="A49" s="36" t="s">
        <v>29</v>
      </c>
      <c r="B49" s="27" t="s">
        <v>18</v>
      </c>
      <c r="C49" s="33">
        <f t="shared" si="2"/>
        <v>1</v>
      </c>
      <c r="D49" s="16" t="str">
        <f t="shared" si="1"/>
        <v>0</v>
      </c>
      <c r="E49" s="16" t="str">
        <f t="shared" si="3"/>
        <v>00 00</v>
      </c>
      <c r="G49" s="17"/>
      <c r="J49" s="20"/>
    </row>
    <row r="50" spans="1:34" s="11" customFormat="1" ht="15.75" x14ac:dyDescent="0.25">
      <c r="A50" s="36" t="s">
        <v>30</v>
      </c>
      <c r="B50" s="27" t="s">
        <v>23</v>
      </c>
      <c r="C50" s="33">
        <f>1-(((D50*3600)+(LEFT(E50,2)*60)+RIGHT(E50,2))/((60*60*24)*$C$8))</f>
        <v>0.99896953405017919</v>
      </c>
      <c r="D50" s="16" t="str">
        <f t="shared" si="1"/>
        <v>0</v>
      </c>
      <c r="E50" s="16" t="str">
        <f t="shared" si="3"/>
        <v>46 00</v>
      </c>
      <c r="G50" s="17"/>
    </row>
    <row r="51" spans="1:34" s="11" customFormat="1" ht="15.75" x14ac:dyDescent="0.25">
      <c r="A51" s="36" t="s">
        <v>31</v>
      </c>
      <c r="B51" s="27" t="s">
        <v>22</v>
      </c>
      <c r="C51" s="33">
        <f t="shared" si="2"/>
        <v>1</v>
      </c>
      <c r="D51" s="16" t="str">
        <f t="shared" si="1"/>
        <v>0</v>
      </c>
      <c r="E51" s="16" t="str">
        <f t="shared" si="3"/>
        <v>00 00</v>
      </c>
      <c r="G51" s="17"/>
    </row>
    <row r="52" spans="1:34" s="11" customFormat="1" ht="15.75" x14ac:dyDescent="0.25">
      <c r="A52" s="36" t="s">
        <v>32</v>
      </c>
      <c r="B52" s="27" t="s">
        <v>45</v>
      </c>
      <c r="C52" s="33">
        <f t="shared" ref="C52" si="4">1-(((D52*3600)+(LEFT(E52,2)*60)+RIGHT(E52,2))/((60*60*24)*$C$8))</f>
        <v>1</v>
      </c>
      <c r="D52" s="16" t="str">
        <f t="shared" si="1"/>
        <v>0</v>
      </c>
      <c r="E52" s="16" t="str">
        <f t="shared" si="3"/>
        <v>00 00</v>
      </c>
      <c r="G52" s="17"/>
      <c r="O52" s="53"/>
    </row>
    <row r="53" spans="1:34" s="11" customFormat="1" ht="15.75" x14ac:dyDescent="0.25">
      <c r="A53" s="36" t="s">
        <v>34</v>
      </c>
      <c r="B53" s="27" t="s">
        <v>20</v>
      </c>
      <c r="C53" s="28">
        <f>1-(((D53*3600)+(LEFT(E53,2)*60)+RIGHT(E53,2))/((60*60*24)*$C$8))</f>
        <v>1</v>
      </c>
      <c r="D53" s="16" t="str">
        <f t="shared" si="1"/>
        <v>0</v>
      </c>
      <c r="E53" s="16" t="str">
        <f t="shared" si="3"/>
        <v>00 00</v>
      </c>
      <c r="G53" s="17"/>
      <c r="O53" s="53"/>
    </row>
    <row r="54" spans="1:34" s="11" customFormat="1" ht="15.75" x14ac:dyDescent="0.25">
      <c r="A54" s="36" t="s">
        <v>36</v>
      </c>
      <c r="B54" s="27" t="s">
        <v>48</v>
      </c>
      <c r="C54" s="28">
        <f>1-(((D54*3600)+(LEFT(E54,2)*60)+RIGHT(E54,2))/((60*60*24)*$C$8))</f>
        <v>1</v>
      </c>
      <c r="D54" s="16" t="str">
        <f t="shared" si="1"/>
        <v>0</v>
      </c>
      <c r="E54" s="16" t="str">
        <f t="shared" si="3"/>
        <v>00 00</v>
      </c>
      <c r="G54" s="17"/>
      <c r="O54" s="53"/>
    </row>
    <row r="55" spans="1:34" s="11" customFormat="1" ht="15.75" x14ac:dyDescent="0.25">
      <c r="A55" s="36" t="s">
        <v>37</v>
      </c>
      <c r="B55" s="27" t="s">
        <v>49</v>
      </c>
      <c r="C55" s="28">
        <f t="shared" ref="C55:C56" si="5">1-(((D55*3600)+(LEFT(E55,2)*60)+RIGHT(E55,2))/((60*60*24)*$C$8))</f>
        <v>1</v>
      </c>
      <c r="D55" s="16" t="str">
        <f t="shared" si="1"/>
        <v>0</v>
      </c>
      <c r="E55" s="16" t="str">
        <f t="shared" si="3"/>
        <v>00 00</v>
      </c>
      <c r="G55" s="17"/>
      <c r="O55" s="53"/>
    </row>
    <row r="56" spans="1:34" s="13" customFormat="1" ht="15.75" x14ac:dyDescent="0.25">
      <c r="A56" s="36" t="s">
        <v>44</v>
      </c>
      <c r="B56" s="27" t="s">
        <v>39</v>
      </c>
      <c r="C56" s="28">
        <f t="shared" si="5"/>
        <v>1</v>
      </c>
      <c r="D56" s="16" t="str">
        <f t="shared" si="1"/>
        <v>0</v>
      </c>
      <c r="E56" s="16" t="str">
        <f t="shared" si="3"/>
        <v>00 00</v>
      </c>
      <c r="F56" s="11"/>
      <c r="G56" s="17"/>
      <c r="H56" s="11"/>
      <c r="I56" s="11"/>
      <c r="J56" s="11"/>
      <c r="K56" s="11"/>
      <c r="L56" s="53"/>
      <c r="M56" s="53"/>
      <c r="N56" s="53"/>
      <c r="O56" s="54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</row>
    <row r="57" spans="1:34" s="13" customFormat="1" ht="15.75" x14ac:dyDescent="0.25">
      <c r="A57" s="36" t="s">
        <v>46</v>
      </c>
      <c r="B57" s="27" t="s">
        <v>47</v>
      </c>
      <c r="C57" s="28">
        <f>1-(((D57*3600)+(LEFT(E57,2)*60)+RIGHT(E57,2))/((60*60*24)*$C$8))</f>
        <v>1</v>
      </c>
      <c r="D57" s="16" t="str">
        <f t="shared" si="1"/>
        <v>0</v>
      </c>
      <c r="E57" s="16" t="str">
        <f t="shared" si="3"/>
        <v>00 00</v>
      </c>
      <c r="F57" s="11"/>
      <c r="G57" s="17"/>
      <c r="H57" s="11"/>
      <c r="I57" s="11"/>
      <c r="J57" s="11"/>
      <c r="K57" s="11"/>
      <c r="L57" s="53"/>
      <c r="M57" s="53"/>
      <c r="N57" s="53"/>
      <c r="O57" s="54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</row>
    <row r="58" spans="1:34" s="13" customFormat="1" ht="15.75" x14ac:dyDescent="0.25">
      <c r="A58" s="52"/>
      <c r="B58" s="27"/>
      <c r="C58" s="28"/>
      <c r="D58" s="16"/>
      <c r="E58" s="16"/>
      <c r="F58" s="11"/>
      <c r="G58" s="17"/>
      <c r="H58" s="11"/>
      <c r="I58" s="11"/>
      <c r="J58" s="11"/>
      <c r="K58" s="11"/>
      <c r="L58" s="53"/>
      <c r="M58" s="53"/>
      <c r="N58" s="53"/>
      <c r="O58" s="54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</row>
    <row r="59" spans="1:34" ht="15.75" x14ac:dyDescent="0.25">
      <c r="A59" s="46"/>
      <c r="B59" s="47"/>
      <c r="C59" s="48"/>
      <c r="D59" s="49"/>
      <c r="E59" s="49"/>
      <c r="F59" s="11"/>
      <c r="G59" s="17"/>
      <c r="H59" s="11"/>
      <c r="I59" s="11"/>
      <c r="J59" s="11"/>
      <c r="K59" s="11"/>
      <c r="L59" s="53"/>
      <c r="M59" s="53"/>
      <c r="N59" s="53"/>
      <c r="O59" s="55"/>
    </row>
    <row r="60" spans="1:34" x14ac:dyDescent="0.2">
      <c r="A60" s="12"/>
      <c r="B60" s="11"/>
      <c r="C60" s="21"/>
      <c r="D60" s="12"/>
      <c r="E60" s="11"/>
      <c r="F60" s="11"/>
      <c r="G60" s="11"/>
      <c r="H60" s="11"/>
      <c r="I60" s="11"/>
      <c r="J60" s="11"/>
      <c r="K60" s="11"/>
      <c r="L60" s="53"/>
      <c r="M60" s="53"/>
      <c r="N60" s="53"/>
      <c r="O60" s="55"/>
    </row>
    <row r="61" spans="1:34" x14ac:dyDescent="0.2">
      <c r="A61" s="12"/>
      <c r="B61" s="11"/>
      <c r="C61" s="11"/>
      <c r="D61" s="12"/>
      <c r="E61" s="11"/>
      <c r="F61" s="11"/>
      <c r="G61" s="11"/>
      <c r="H61" s="11"/>
      <c r="I61" s="11"/>
      <c r="J61" s="11"/>
      <c r="K61" s="11"/>
      <c r="L61" s="53"/>
      <c r="M61" s="53"/>
      <c r="N61" s="53"/>
      <c r="O61" s="55"/>
    </row>
    <row r="62" spans="1:34" x14ac:dyDescent="0.2">
      <c r="A62" s="12"/>
      <c r="B62" s="20" t="s">
        <v>52</v>
      </c>
      <c r="C62" s="74"/>
      <c r="D62" s="15"/>
      <c r="E62" s="15"/>
      <c r="F62" s="15"/>
      <c r="G62" s="15"/>
      <c r="H62" s="15"/>
      <c r="I62" s="15"/>
      <c r="J62" s="15"/>
      <c r="K62" s="15"/>
      <c r="L62" s="54"/>
      <c r="M62" s="54"/>
      <c r="N62" s="54"/>
      <c r="O62" s="55"/>
    </row>
    <row r="63" spans="1:34" x14ac:dyDescent="0.2">
      <c r="A63"/>
      <c r="B63" s="11" t="s">
        <v>50</v>
      </c>
      <c r="C63" s="75">
        <f>(SUM(C43:C57))/(100%*15)</f>
        <v>0.99986260454002385</v>
      </c>
      <c r="G63" s="34"/>
      <c r="L63" s="55"/>
      <c r="M63" s="55"/>
      <c r="N63" s="55"/>
      <c r="O63" s="55"/>
    </row>
    <row r="64" spans="1:34" x14ac:dyDescent="0.2">
      <c r="L64" s="55"/>
      <c r="M64" s="55"/>
      <c r="N64" s="55"/>
      <c r="O64" s="55"/>
    </row>
    <row r="65" spans="1:34" x14ac:dyDescent="0.2">
      <c r="L65" s="55"/>
      <c r="M65" s="55"/>
      <c r="N65" s="55"/>
    </row>
    <row r="66" spans="1:34" x14ac:dyDescent="0.2">
      <c r="L66" s="55"/>
      <c r="M66" s="55"/>
      <c r="N66" s="5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</row>
    <row r="67" spans="1:34" x14ac:dyDescent="0.2">
      <c r="B67" s="11"/>
      <c r="L67" s="55"/>
      <c r="M67" s="55"/>
      <c r="N67" s="55"/>
    </row>
    <row r="68" spans="1:34" x14ac:dyDescent="0.2">
      <c r="B68" s="11"/>
      <c r="L68" s="55"/>
      <c r="M68" s="55"/>
      <c r="N68" s="55"/>
    </row>
    <row r="69" spans="1:34" x14ac:dyDescent="0.2">
      <c r="B69" s="11"/>
      <c r="E69" s="57"/>
    </row>
    <row r="70" spans="1:34" x14ac:dyDescent="0.2">
      <c r="A70"/>
      <c r="B70" s="11"/>
    </row>
    <row r="71" spans="1:34" x14ac:dyDescent="0.2">
      <c r="B71" s="11"/>
    </row>
    <row r="72" spans="1:34" x14ac:dyDescent="0.2">
      <c r="B72" s="11"/>
    </row>
    <row r="73" spans="1:34" x14ac:dyDescent="0.2">
      <c r="B73" s="11"/>
    </row>
    <row r="74" spans="1:34" x14ac:dyDescent="0.2">
      <c r="O74" s="24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</row>
    <row r="75" spans="1:34" x14ac:dyDescent="0.2">
      <c r="B75" s="11"/>
      <c r="O75" s="24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</row>
    <row r="76" spans="1:34" x14ac:dyDescent="0.2">
      <c r="B76" s="11"/>
      <c r="O76" s="24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</row>
    <row r="77" spans="1:34" x14ac:dyDescent="0.2">
      <c r="B77" s="11"/>
      <c r="O77" s="24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</row>
    <row r="78" spans="1:34" x14ac:dyDescent="0.2">
      <c r="A78"/>
      <c r="B78" s="11"/>
      <c r="E78" s="23"/>
      <c r="F78" s="24"/>
      <c r="G78" s="24"/>
      <c r="H78" s="24"/>
      <c r="I78" s="24"/>
      <c r="J78" s="24"/>
      <c r="K78" s="24"/>
      <c r="L78" s="24"/>
      <c r="M78" s="24"/>
      <c r="N78" s="24"/>
    </row>
    <row r="79" spans="1:34" x14ac:dyDescent="0.2">
      <c r="A79"/>
      <c r="B79" s="11"/>
      <c r="E79" s="23"/>
      <c r="F79" s="24"/>
      <c r="G79" s="24"/>
      <c r="H79" s="24"/>
      <c r="I79" s="24"/>
      <c r="J79" s="24"/>
      <c r="K79" s="24"/>
      <c r="L79" s="24"/>
      <c r="M79" s="24"/>
      <c r="N79" s="24"/>
    </row>
    <row r="80" spans="1:34" x14ac:dyDescent="0.2">
      <c r="A80"/>
      <c r="B80" s="11"/>
      <c r="E80" s="23"/>
      <c r="F80" s="24"/>
      <c r="G80" s="24"/>
      <c r="H80" s="24"/>
      <c r="I80" s="24"/>
      <c r="J80" s="24"/>
      <c r="K80" s="24"/>
      <c r="L80" s="24"/>
      <c r="M80" s="24"/>
      <c r="N80" s="24"/>
    </row>
    <row r="81" spans="1:14" x14ac:dyDescent="0.2">
      <c r="A81"/>
      <c r="B81" s="11"/>
      <c r="D81"/>
      <c r="E81" s="23"/>
      <c r="F81" s="24"/>
      <c r="G81" s="24"/>
      <c r="H81" s="24"/>
      <c r="I81" s="24"/>
      <c r="J81" s="24"/>
      <c r="K81" s="24"/>
      <c r="L81" s="24"/>
      <c r="M81" s="24"/>
      <c r="N81" s="24"/>
    </row>
    <row r="82" spans="1:14" x14ac:dyDescent="0.2">
      <c r="B82" s="20"/>
    </row>
  </sheetData>
  <mergeCells count="16">
    <mergeCell ref="D41:E41"/>
    <mergeCell ref="A10:A11"/>
    <mergeCell ref="B10:B11"/>
    <mergeCell ref="C10:C11"/>
    <mergeCell ref="A41:A42"/>
    <mergeCell ref="B41:B42"/>
    <mergeCell ref="C41:C42"/>
    <mergeCell ref="A30:A36"/>
    <mergeCell ref="B30:B36"/>
    <mergeCell ref="D30:AH30"/>
    <mergeCell ref="D36:AH36"/>
    <mergeCell ref="D31:AH31"/>
    <mergeCell ref="D32:AH32"/>
    <mergeCell ref="D33:AH33"/>
    <mergeCell ref="D34:AH34"/>
    <mergeCell ref="D35:AH35"/>
  </mergeCells>
  <phoneticPr fontId="9" type="noConversion"/>
  <conditionalFormatting sqref="D13:D15 AC13:AE15 L16:L21 D17:D21 AC17:AE27 E21:K21">
    <cfRule type="cellIs" dxfId="8" priority="181" stopIfTrue="1" operator="greaterThan">
      <formula>0</formula>
    </cfRule>
  </conditionalFormatting>
  <conditionalFormatting sqref="D13:Z16 D16:K20 M17:Z21">
    <cfRule type="cellIs" dxfId="7" priority="12" stopIfTrue="1" operator="greaterThan">
      <formula>0</formula>
    </cfRule>
  </conditionalFormatting>
  <conditionalFormatting sqref="D22:AA28">
    <cfRule type="cellIs" dxfId="6" priority="27" stopIfTrue="1" operator="greaterThan">
      <formula>0</formula>
    </cfRule>
  </conditionalFormatting>
  <conditionalFormatting sqref="K40:L40">
    <cfRule type="cellIs" dxfId="5" priority="70" stopIfTrue="1" operator="greaterThan">
      <formula>0</formula>
    </cfRule>
  </conditionalFormatting>
  <conditionalFormatting sqref="M16:AG16">
    <cfRule type="cellIs" dxfId="4" priority="32" stopIfTrue="1" operator="greaterThan">
      <formula>0</formula>
    </cfRule>
  </conditionalFormatting>
  <conditionalFormatting sqref="AA13:AB21">
    <cfRule type="cellIs" dxfId="3" priority="55" stopIfTrue="1" operator="greaterThan">
      <formula>0</formula>
    </cfRule>
  </conditionalFormatting>
  <conditionalFormatting sqref="AB22:AB27">
    <cfRule type="cellIs" dxfId="2" priority="4" stopIfTrue="1" operator="greaterThan">
      <formula>0</formula>
    </cfRule>
  </conditionalFormatting>
  <conditionalFormatting sqref="AF23:AG27 AH23:AH28 AB28:AG28">
    <cfRule type="cellIs" dxfId="1" priority="39" stopIfTrue="1" operator="greaterThan">
      <formula>0</formula>
    </cfRule>
  </conditionalFormatting>
  <conditionalFormatting sqref="AF13:AH22">
    <cfRule type="cellIs" dxfId="0" priority="28" stopIfTrue="1" operator="greaterThan">
      <formula>0</formula>
    </cfRule>
  </conditionalFormatting>
  <pageMargins left="0.75" right="0.25" top="1" bottom="1" header="0.5" footer="0.5"/>
  <pageSetup paperSize="9" scale="23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NEC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2024-07-02T06:15:38Z</cp:lastPrinted>
  <dcterms:created xsi:type="dcterms:W3CDTF">2006-10-16T02:50:45Z</dcterms:created>
  <dcterms:modified xsi:type="dcterms:W3CDTF">2024-09-02T09:04:43Z</dcterms:modified>
</cp:coreProperties>
</file>