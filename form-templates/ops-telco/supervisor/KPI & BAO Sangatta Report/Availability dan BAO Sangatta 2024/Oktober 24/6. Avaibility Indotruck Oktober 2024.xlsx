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B48F0C90-A491-4EE9-9D88-9DF0480674F5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C24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8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<sst xmlns="http://schemas.openxmlformats.org/spreadsheetml/2006/main" count="55" uniqueCount="23">
  <si>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</si>
  <si>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</si>
  <si>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</si>
  <si>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</si>
  <si>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</si>
  <si>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</si>
  <si>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</si>
  <si>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</si>
  <si>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</si>
  <si>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</si>
  <si>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</si>
  <si>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</si>
  <si>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</si>
  <si>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</si>
  <si>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</si>
  <si>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</si>
  <si>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</si>
  <si>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</si>
  <si>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</si>
  <si>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INTERNET INDOTRUCK UTAMA</t>
  </si>
  <si>
    <t>Link Internet 5 Mbps dedicated</t>
  </si>
  <si>
    <t>DNS Problem</t>
  </si>
  <si>
    <t>Vlan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</si>
</sst>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22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5" sqref="D15:AH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45566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19">
        <f>C7</f>
        <v>45566</v>
      </c>
      <c r="E10" s="19">
        <f>D10+1</f>
        <v>45567</v>
      </c>
      <c r="F10" s="19">
        <f t="shared" ref="F10:AH10" si="0">E10+1</f>
        <v>45568</v>
      </c>
      <c r="G10" s="19">
        <f t="shared" si="0"/>
        <v>45569</v>
      </c>
      <c r="H10" s="19">
        <f t="shared" si="0"/>
        <v>45570</v>
      </c>
      <c r="I10" s="19">
        <f t="shared" si="0"/>
        <v>45571</v>
      </c>
      <c r="J10" s="19">
        <f t="shared" si="0"/>
        <v>45572</v>
      </c>
      <c r="K10" s="19">
        <f t="shared" si="0"/>
        <v>45573</v>
      </c>
      <c r="L10" s="19">
        <f t="shared" si="0"/>
        <v>45574</v>
      </c>
      <c r="M10" s="19">
        <f t="shared" si="0"/>
        <v>45575</v>
      </c>
      <c r="N10" s="19">
        <f t="shared" si="0"/>
        <v>45576</v>
      </c>
      <c r="O10" s="19">
        <f t="shared" si="0"/>
        <v>45577</v>
      </c>
      <c r="P10" s="19">
        <f t="shared" si="0"/>
        <v>45578</v>
      </c>
      <c r="Q10" s="19">
        <f t="shared" si="0"/>
        <v>45579</v>
      </c>
      <c r="R10" s="19">
        <f t="shared" si="0"/>
        <v>45580</v>
      </c>
      <c r="S10" s="19">
        <f t="shared" si="0"/>
        <v>45581</v>
      </c>
      <c r="T10" s="19">
        <f t="shared" si="0"/>
        <v>45582</v>
      </c>
      <c r="U10" s="19">
        <f t="shared" si="0"/>
        <v>45583</v>
      </c>
      <c r="V10" s="19">
        <f t="shared" si="0"/>
        <v>45584</v>
      </c>
      <c r="W10" s="19">
        <f t="shared" si="0"/>
        <v>45585</v>
      </c>
      <c r="X10" s="19">
        <f t="shared" si="0"/>
        <v>45586</v>
      </c>
      <c r="Y10" s="19">
        <f t="shared" si="0"/>
        <v>45587</v>
      </c>
      <c r="Z10" s="19">
        <f t="shared" si="0"/>
        <v>45588</v>
      </c>
      <c r="AA10" s="19">
        <f t="shared" si="0"/>
        <v>45589</v>
      </c>
      <c r="AB10" s="19">
        <f t="shared" si="0"/>
        <v>45590</v>
      </c>
      <c r="AC10" s="19">
        <f t="shared" si="0"/>
        <v>45591</v>
      </c>
      <c r="AD10" s="19">
        <f t="shared" si="0"/>
        <v>45592</v>
      </c>
      <c r="AE10" s="19">
        <f t="shared" si="0"/>
        <v>45593</v>
      </c>
      <c r="AF10" s="19">
        <f t="shared" si="0"/>
        <v>45594</v>
      </c>
      <c r="AG10" s="19">
        <f t="shared" si="0"/>
        <v>45595</v>
      </c>
      <c r="AH10" s="57">
        <f t="shared" si="0"/>
        <v>45596</v>
      </c>
    </row>
    <row r="11" spans="1:34" s="1" customFormat="1" x14ac:dyDescent="0.2">
      <c r="A11" s="59"/>
      <c r="B11" s="59"/>
      <c r="C11" s="5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8.1944444444444445E-2</v>
      </c>
      <c r="AA13" s="41">
        <v>0</v>
      </c>
      <c r="AB13" s="43">
        <v>3.5416666666666666E-2</v>
      </c>
      <c r="AC13" s="41">
        <v>0</v>
      </c>
      <c r="AD13" s="41">
        <v>0</v>
      </c>
      <c r="AE13" s="41">
        <v>0</v>
      </c>
      <c r="AF13" s="41">
        <v>0</v>
      </c>
      <c r="AG13" s="55">
        <v>0</v>
      </c>
      <c r="AH13" s="41">
        <v>0</v>
      </c>
    </row>
    <row r="14" spans="1:34" s="14" customFormat="1" ht="24" customHeight="1" x14ac:dyDescent="0.2">
      <c r="A14" s="62" t="s">
        <v>15</v>
      </c>
      <c r="B14" s="63"/>
      <c r="C14" s="74">
        <v>45588</v>
      </c>
      <c r="D14" s="66" t="s">
        <v>21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8"/>
    </row>
    <row r="15" spans="1:34" s="14" customFormat="1" ht="24" customHeight="1" x14ac:dyDescent="0.2">
      <c r="A15" s="64"/>
      <c r="B15" s="65"/>
      <c r="C15" s="74">
        <v>45590</v>
      </c>
      <c r="D15" s="66" t="s">
        <v>22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8"/>
    </row>
    <row r="16" spans="1:34" s="14" customFormat="1" ht="24" customHeight="1" x14ac:dyDescent="0.2">
      <c r="A16" s="64"/>
      <c r="B16" s="65"/>
      <c r="C16" s="52"/>
      <c r="D16" s="66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8"/>
    </row>
    <row r="17" spans="1:34" s="14" customFormat="1" ht="24" customHeight="1" x14ac:dyDescent="0.2">
      <c r="A17" s="64"/>
      <c r="B17" s="65"/>
      <c r="C17" s="56"/>
      <c r="D17" s="66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8"/>
    </row>
    <row r="18" spans="1:34" s="14" customFormat="1" ht="24" customHeight="1" x14ac:dyDescent="0.2">
      <c r="A18" s="47"/>
      <c r="B18" s="47"/>
      <c r="C18" s="48"/>
      <c r="D18" s="69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1" t="s">
        <v>2</v>
      </c>
      <c r="B22" s="61" t="s">
        <v>8</v>
      </c>
      <c r="C22" s="61" t="s">
        <v>1</v>
      </c>
      <c r="D22" s="60" t="s">
        <v>6</v>
      </c>
      <c r="E22" s="60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49"/>
      <c r="R22" s="49"/>
      <c r="S22" s="49"/>
      <c r="T22" s="49"/>
      <c r="U22" s="72"/>
      <c r="V22" s="72"/>
      <c r="W22" s="72"/>
      <c r="X22" s="72"/>
      <c r="Y22" s="72"/>
      <c r="Z22" s="72"/>
      <c r="AA22" s="72"/>
      <c r="AB22" s="72"/>
      <c r="AC22" s="31"/>
    </row>
    <row r="23" spans="1:34" s="14" customFormat="1" ht="18" x14ac:dyDescent="0.25">
      <c r="A23" s="61"/>
      <c r="B23" s="61"/>
      <c r="C23" s="6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/>
      <c r="AB23"/>
      <c r="AC23" s="31"/>
    </row>
    <row r="24" spans="1:34" s="17" customFormat="1" ht="18" x14ac:dyDescent="0.25">
      <c r="A24" s="37">
        <v>1</v>
      </c>
      <c r="B24" s="38" t="s">
        <v>20</v>
      </c>
      <c r="C24" s="32">
        <f>1-(((D24*3600)+(LEFT(E24,2)*60)+RIGHT(E24,2))/((60*60*24)*$C$8))</f>
        <v>0.99621415770609323</v>
      </c>
      <c r="D24" s="22" t="str">
        <f>TEXT(SUM(D13:AH13),"[h]")</f>
        <v>2</v>
      </c>
      <c r="E24" s="22" t="str">
        <f>TEXT(SUM(D13:AH13),"mm ss")</f>
        <v>49 00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0.99621415770609323</v>
      </c>
      <c r="G28" s="30"/>
      <c r="H28" s="30"/>
      <c r="I28" s="49"/>
      <c r="J28" s="73"/>
      <c r="K28" s="73"/>
      <c r="L28" s="73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3"/>
      <c r="X28" s="73"/>
      <c r="Y28" s="73"/>
      <c r="Z28" s="49"/>
    </row>
    <row r="29" spans="1:34" ht="18" x14ac:dyDescent="0.25">
      <c r="G29" s="30"/>
      <c r="H29" s="30"/>
      <c r="I29" s="49"/>
      <c r="J29" s="72"/>
      <c r="K29" s="72"/>
      <c r="L29" s="72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2"/>
      <c r="X29" s="72"/>
      <c r="Y29" s="72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Y13 AC13:AH13">
    <cfRule type="cellIs" dxfId="2" priority="3" stopIfTrue="1" operator="greaterThan">
      <formula>0</formula>
    </cfRule>
  </conditionalFormatting>
  <conditionalFormatting sqref="Z13 AB13">
    <cfRule type="cellIs" dxfId="1" priority="2" stopIfTrue="1" operator="greaterThan">
      <formula>0</formula>
    </cfRule>
  </conditionalFormatting>
  <conditionalFormatting sqref="AA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2024-10-30T09:15:48Z</dcterms:modified>
</cp:coreProperties>
</file>