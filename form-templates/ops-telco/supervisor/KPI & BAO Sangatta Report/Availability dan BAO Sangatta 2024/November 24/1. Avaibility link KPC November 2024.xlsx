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ACE02283-1638-43FA-862A-A9CCA16B42C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63" i="11" s="1"/>
  <c r="C50" i="11"/>
  <c r="C48" i="11"/>
  <c r="C46" i="11"/>
</calcChain>
</file>

<file path=xl/sharedStrings.xml><?xml version="1.0" encoding="utf-8"?>
<sst xmlns="http://schemas.openxmlformats.org/spreadsheetml/2006/main" count="111" uniqueCount="55">
  <si>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</si>
  <si>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</si>
  <si>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</si>
  <si>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</si>
  <si>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</si>
  <si>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</si>
  <si>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</si>
  <si>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</si>
  <si>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</si>
  <si>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</si>
  <si>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</si>
  <si>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</si>
  <si>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</si>
  <si>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</si>
  <si>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</si>
  <si>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</si>
  <si>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</si>
  <si>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</si>
  <si>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</si>
  <si>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</si>
  <si>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</si>
  <si>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</si>
  <si>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</si>
  <si>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</si>
  <si>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</si>
  <si>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</si>
  <si>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</si>
  <si>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</si>
  <si>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</si>
  <si>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</si>
  <si>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</si>
  <si>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</si>
  <si>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</si>
  <si>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</si>
  <si>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</si>
  <si>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</si>
  <si>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</si>
  <si>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</si>
  <si>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</si>
  <si>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</si>
  <si>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</si>
  <si>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</si>
  <si>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</si>
  <si>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</si>
  <si>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</si>
  <si>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</si>
  <si>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</si>
  <si>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</si>
  <si>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</si>
  <si>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</si>
  <si>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Availability (Overall)</t>
  </si>
  <si>
    <t>M5 to PITJ</t>
  </si>
  <si>
    <t>PTH to PINANG SOUTH</t>
  </si>
  <si>
    <t xml:space="preserve">Problem Rectifier  Vertiv 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</si>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</sst>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2" sqref="C2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45597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2" t="s">
        <v>2</v>
      </c>
      <c r="B10" s="84" t="s">
        <v>0</v>
      </c>
      <c r="C10" s="84" t="s">
        <v>8</v>
      </c>
      <c r="D10" s="40">
        <f>C7</f>
        <v>45597</v>
      </c>
      <c r="E10" s="40">
        <f>D10+1</f>
        <v>45598</v>
      </c>
      <c r="F10" s="40">
        <f t="shared" ref="F10:AF10" si="0">E10+1</f>
        <v>45599</v>
      </c>
      <c r="G10" s="40">
        <f t="shared" si="0"/>
        <v>45600</v>
      </c>
      <c r="H10" s="40">
        <f t="shared" si="0"/>
        <v>45601</v>
      </c>
      <c r="I10" s="40">
        <f t="shared" si="0"/>
        <v>45602</v>
      </c>
      <c r="J10" s="40">
        <f t="shared" si="0"/>
        <v>45603</v>
      </c>
      <c r="K10" s="40">
        <f t="shared" si="0"/>
        <v>45604</v>
      </c>
      <c r="L10" s="40">
        <f t="shared" si="0"/>
        <v>45605</v>
      </c>
      <c r="M10" s="40">
        <f t="shared" si="0"/>
        <v>45606</v>
      </c>
      <c r="N10" s="40">
        <f t="shared" si="0"/>
        <v>45607</v>
      </c>
      <c r="O10" s="40">
        <f t="shared" si="0"/>
        <v>45608</v>
      </c>
      <c r="P10" s="40">
        <f t="shared" si="0"/>
        <v>45609</v>
      </c>
      <c r="Q10" s="40">
        <f t="shared" si="0"/>
        <v>45610</v>
      </c>
      <c r="R10" s="40">
        <f t="shared" si="0"/>
        <v>45611</v>
      </c>
      <c r="S10" s="40">
        <f t="shared" si="0"/>
        <v>45612</v>
      </c>
      <c r="T10" s="40">
        <f t="shared" si="0"/>
        <v>45613</v>
      </c>
      <c r="U10" s="40">
        <f t="shared" si="0"/>
        <v>45614</v>
      </c>
      <c r="V10" s="40">
        <f t="shared" si="0"/>
        <v>45615</v>
      </c>
      <c r="W10" s="40">
        <f t="shared" si="0"/>
        <v>45616</v>
      </c>
      <c r="X10" s="40">
        <f t="shared" si="0"/>
        <v>45617</v>
      </c>
      <c r="Y10" s="40">
        <f t="shared" si="0"/>
        <v>45618</v>
      </c>
      <c r="Z10" s="40">
        <f t="shared" si="0"/>
        <v>45619</v>
      </c>
      <c r="AA10" s="40">
        <f t="shared" si="0"/>
        <v>45620</v>
      </c>
      <c r="AB10" s="40">
        <f t="shared" si="0"/>
        <v>45621</v>
      </c>
      <c r="AC10" s="40">
        <f t="shared" si="0"/>
        <v>45622</v>
      </c>
      <c r="AD10" s="40">
        <f t="shared" si="0"/>
        <v>45623</v>
      </c>
      <c r="AE10" s="40">
        <f t="shared" si="0"/>
        <v>45624</v>
      </c>
      <c r="AF10" s="40">
        <f t="shared" si="0"/>
        <v>45625</v>
      </c>
      <c r="AG10" s="72">
        <f>AF10+1</f>
        <v>45626</v>
      </c>
    </row>
    <row r="11" spans="1:33" s="1" customFormat="1" x14ac:dyDescent="0.2">
      <c r="A11" s="83"/>
      <c r="B11" s="85"/>
      <c r="C11" s="85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26</v>
      </c>
      <c r="B16" s="27" t="s">
        <v>51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32</v>
      </c>
      <c r="B22" s="43" t="s">
        <v>52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0.12361111111111112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</row>
    <row r="23" spans="1:33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35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45</v>
      </c>
      <c r="B27" s="27" t="s">
        <v>46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32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s="11" customFormat="1" ht="16.5" customHeight="1" x14ac:dyDescent="0.2">
      <c r="A30" s="88"/>
      <c r="B30" s="91" t="s">
        <v>39</v>
      </c>
      <c r="C30" s="73">
        <v>45602</v>
      </c>
      <c r="D30" s="94" t="s">
        <v>53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</row>
    <row r="31" spans="1:33" s="11" customFormat="1" ht="16.5" customHeight="1" x14ac:dyDescent="0.2">
      <c r="A31" s="89"/>
      <c r="B31" s="92"/>
      <c r="C31" s="62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</row>
    <row r="32" spans="1:33" s="11" customFormat="1" ht="16.5" customHeight="1" x14ac:dyDescent="0.2">
      <c r="A32" s="89"/>
      <c r="B32" s="92"/>
      <c r="C32" s="62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</row>
    <row r="33" spans="1:33" s="11" customFormat="1" ht="16.5" customHeight="1" x14ac:dyDescent="0.2">
      <c r="A33" s="89"/>
      <c r="B33" s="92"/>
      <c r="C33" s="62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</row>
    <row r="34" spans="1:33" s="11" customFormat="1" ht="15" customHeight="1" x14ac:dyDescent="0.2">
      <c r="A34" s="89"/>
      <c r="B34" s="92"/>
      <c r="C34" s="62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</row>
    <row r="35" spans="1:33" s="11" customFormat="1" ht="15" customHeight="1" x14ac:dyDescent="0.2">
      <c r="A35" s="89"/>
      <c r="B35" s="92"/>
      <c r="C35" s="62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</row>
    <row r="36" spans="1:33" s="11" customFormat="1" ht="15" customHeight="1" x14ac:dyDescent="0.2">
      <c r="A36" s="90"/>
      <c r="B36" s="93"/>
      <c r="C36" s="62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6" t="s">
        <v>2</v>
      </c>
      <c r="B41" s="86" t="s">
        <v>9</v>
      </c>
      <c r="C41" s="86" t="s">
        <v>1</v>
      </c>
      <c r="D41" s="80" t="s">
        <v>7</v>
      </c>
      <c r="E41" s="81"/>
      <c r="AB41" s="26"/>
      <c r="AC41" s="26"/>
      <c r="AD41" s="26"/>
      <c r="AE41" s="26"/>
    </row>
    <row r="42" spans="1:33" s="11" customFormat="1" x14ac:dyDescent="0.2">
      <c r="A42" s="87"/>
      <c r="B42" s="87"/>
      <c r="C42" s="87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>TEXT(SUM(D13:AG13),"[h]")</f>
        <v>0</v>
      </c>
      <c r="E43" s="16" t="str">
        <f>TEXT(SUM(D13:AG13),"mm ss")</f>
        <v>00 00</v>
      </c>
      <c r="G43" s="76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>TEXT(SUM(D14:AG14),"[h]")</f>
        <v>0</v>
      </c>
      <c r="E44" s="16" t="str">
        <f>TEXT(SUM(D14:AG14),"mm ss")</f>
        <v>00 00</v>
      </c>
      <c r="G44" s="77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>TEXT(SUM(D15:AG15),"[h]")</f>
        <v>0</v>
      </c>
      <c r="E45" s="16" t="str">
        <f>TEXT(SUM(D15:AG15),"mm ss")</f>
        <v>00 00</v>
      </c>
      <c r="G45" s="78"/>
      <c r="H45" s="79"/>
    </row>
    <row r="46" spans="1:33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>TEXT(SUM(D16:AG16),"[h]")</f>
        <v>0</v>
      </c>
      <c r="E46" s="16" t="str">
        <f>TEXT(SUM(D16:AG16),"mm ss")</f>
        <v>00 00</v>
      </c>
      <c r="G46" s="78"/>
    </row>
    <row r="47" spans="1:33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>TEXT(SUM(D17:AG17),"[h]")</f>
        <v>0</v>
      </c>
      <c r="E47" s="16" t="str">
        <f>TEXT(SUM(D17:AG17),"mm ss")</f>
        <v>00 00</v>
      </c>
      <c r="G47" s="17"/>
    </row>
    <row r="48" spans="1:33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>TEXT(SUM(D18:AG18),"[h]")</f>
        <v>0</v>
      </c>
      <c r="E48" s="16" t="str">
        <f>TEXT(SUM(D18:AG18),"mm ss")</f>
        <v>00 00</v>
      </c>
      <c r="G48" s="17"/>
      <c r="J48" s="20"/>
    </row>
    <row r="49" spans="1:33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>TEXT(SUM(D19:AG19),"[h]")</f>
        <v>0</v>
      </c>
      <c r="E49" s="16" t="str">
        <f>TEXT(SUM(D19:AG19),"mm ss")</f>
        <v>00 00</v>
      </c>
      <c r="G49" s="17"/>
    </row>
    <row r="50" spans="1:33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>TEXT(SUM(D20:AG20),"[h]")</f>
        <v>0</v>
      </c>
      <c r="E50" s="16" t="str">
        <f>TEXT(SUM(D20:AG20),"mm ss")</f>
        <v>00 00</v>
      </c>
      <c r="G50" s="17"/>
    </row>
    <row r="51" spans="1:33" s="11" customFormat="1" ht="15.75" x14ac:dyDescent="0.25">
      <c r="A51" s="36" t="s">
        <v>31</v>
      </c>
      <c r="B51" s="27" t="s">
        <v>41</v>
      </c>
      <c r="C51" s="33">
        <f t="shared" si="1"/>
        <v>1</v>
      </c>
      <c r="D51" s="16" t="str">
        <f>TEXT(SUM(D21:AG21),"[h]")</f>
        <v>0</v>
      </c>
      <c r="E51" s="16" t="str">
        <f>TEXT(SUM(D21:AG21),"mm ss")</f>
        <v>00 00</v>
      </c>
      <c r="G51" s="17"/>
      <c r="O51" s="53"/>
    </row>
    <row r="52" spans="1:33" s="11" customFormat="1" ht="15.75" x14ac:dyDescent="0.25">
      <c r="A52" s="36" t="s">
        <v>32</v>
      </c>
      <c r="B52" s="27" t="s">
        <v>44</v>
      </c>
      <c r="C52" s="33">
        <f t="shared" ref="C52" si="2">1-(((D52*3600)+(LEFT(E52,2)*60)+RIGHT(E52,2))/((60*60*24)*$C$8))</f>
        <v>0.99587962962962961</v>
      </c>
      <c r="D52" s="16" t="str">
        <f>TEXT(SUM(D22:AG22),"[h]")</f>
        <v>2</v>
      </c>
      <c r="E52" s="16" t="str">
        <f>TEXT(SUM(D22:AG22),"mm ss")</f>
        <v>58 00</v>
      </c>
      <c r="G52" s="17"/>
      <c r="O52" s="53"/>
    </row>
    <row r="53" spans="1:33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>TEXT(SUM(D23:AG23),"[h]")</f>
        <v>0</v>
      </c>
      <c r="E53" s="16" t="str">
        <f>TEXT(SUM(D23:AG23),"mm ss")</f>
        <v>00 00</v>
      </c>
      <c r="G53" s="17"/>
      <c r="O53" s="53"/>
    </row>
    <row r="54" spans="1:33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>TEXT(SUM(D24:AG24),"[h]")</f>
        <v>0</v>
      </c>
      <c r="E54" s="16" t="str">
        <f>TEXT(SUM(D24:AG24),"mm ss")</f>
        <v>00 00</v>
      </c>
      <c r="G54" s="17"/>
      <c r="O54" s="53"/>
    </row>
    <row r="55" spans="1:33" s="11" customFormat="1" ht="15.75" x14ac:dyDescent="0.25">
      <c r="A55" s="36" t="s">
        <v>36</v>
      </c>
      <c r="B55" s="27" t="s">
        <v>48</v>
      </c>
      <c r="C55" s="28">
        <f t="shared" ref="C55:C56" si="3">1-(((D55*3600)+(LEFT(E55,2)*60)+RIGHT(E55,2))/((60*60*24)*$C$8))</f>
        <v>1</v>
      </c>
      <c r="D55" s="16" t="str">
        <f>TEXT(SUM(D25:AG25),"[h]")</f>
        <v>0</v>
      </c>
      <c r="E55" s="16" t="str">
        <f>TEXT(SUM(D25:AG25),"mm ss")</f>
        <v>00 00</v>
      </c>
      <c r="G55" s="17"/>
      <c r="O55" s="53"/>
    </row>
    <row r="56" spans="1:33" s="13" customFormat="1" ht="15.75" x14ac:dyDescent="0.25">
      <c r="A56" s="52" t="s">
        <v>43</v>
      </c>
      <c r="B56" s="27" t="s">
        <v>38</v>
      </c>
      <c r="C56" s="28">
        <f t="shared" si="3"/>
        <v>1</v>
      </c>
      <c r="D56" s="16" t="str">
        <f>TEXT(SUM(D26:AG26),"[h]")</f>
        <v>0</v>
      </c>
      <c r="E56" s="16" t="str">
        <f>TEXT(SUM(D26:AG26),"mm ss")</f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>TEXT(SUM(D27:AG27),"[h]")</f>
        <v>0</v>
      </c>
      <c r="E57" s="16" t="str">
        <f>TEXT(SUM(D27:AG27),"mm ss")</f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50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49</v>
      </c>
      <c r="C63" s="75">
        <f>(SUM(C43:C57))/(100%*15)</f>
        <v>0.99972530864197529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G30"/>
    <mergeCell ref="D36:AG36"/>
    <mergeCell ref="D31:AG31"/>
    <mergeCell ref="D32:AG32"/>
    <mergeCell ref="D33:AG33"/>
    <mergeCell ref="D34:AG34"/>
    <mergeCell ref="D35:AG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">
    <cfRule type="cellIs" dxfId="1" priority="28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2024-11-11T09:15:36Z</dcterms:modified>
</cp:coreProperties>
</file>