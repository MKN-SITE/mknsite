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November 24\"/>
    </mc:Choice>
  </mc:AlternateContent>
  <xr:revisionPtr revIDLastSave="0" documentId="13_ncr:1_{D5CCFC45-9566-4F5C-9524-9D93591A93B8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B24" i="11"/>
  <c r="C28" i="11" l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<sst xmlns="http://schemas.openxmlformats.org/spreadsheetml/2006/main" count="52" uniqueCount="21">
  <si>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</si>
  <si>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</si>
  <si>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</si>
  <si>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</si>
  <si>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</si>
  <si>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</si>
  <si>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</si>
  <si>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</si>
  <si>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</si>
  <si>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</si>
  <si>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</si>
  <si>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</si>
  <si>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</si>
  <si>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</si>
  <si>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</si>
  <si>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</si>
  <si>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</si>
  <si>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</si>
  <si>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</si>
  <si>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</si>
  <si>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FO cut link backbone ROP-Cyber via Mampang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</si>
</sst>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Normal="100" workbookViewId="0">
      <selection activeCell="C15" sqref="C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10.14062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8">
        <v>45597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0" t="s">
        <v>2</v>
      </c>
      <c r="B10" s="60" t="s">
        <v>0</v>
      </c>
      <c r="C10" s="60" t="s">
        <v>7</v>
      </c>
      <c r="D10" s="56">
        <f>C7</f>
        <v>45597</v>
      </c>
      <c r="E10" s="56">
        <f>D10+1</f>
        <v>45598</v>
      </c>
      <c r="F10" s="56">
        <f t="shared" ref="F10:AG10" si="0">E10+1</f>
        <v>45599</v>
      </c>
      <c r="G10" s="56">
        <f t="shared" si="0"/>
        <v>45600</v>
      </c>
      <c r="H10" s="56">
        <f t="shared" si="0"/>
        <v>45601</v>
      </c>
      <c r="I10" s="56">
        <f t="shared" si="0"/>
        <v>45602</v>
      </c>
      <c r="J10" s="56">
        <f t="shared" si="0"/>
        <v>45603</v>
      </c>
      <c r="K10" s="56">
        <f t="shared" si="0"/>
        <v>45604</v>
      </c>
      <c r="L10" s="56">
        <f t="shared" si="0"/>
        <v>45605</v>
      </c>
      <c r="M10" s="56">
        <f t="shared" si="0"/>
        <v>45606</v>
      </c>
      <c r="N10" s="56">
        <f t="shared" si="0"/>
        <v>45607</v>
      </c>
      <c r="O10" s="56">
        <f t="shared" si="0"/>
        <v>45608</v>
      </c>
      <c r="P10" s="56">
        <f t="shared" si="0"/>
        <v>45609</v>
      </c>
      <c r="Q10" s="56">
        <f t="shared" si="0"/>
        <v>45610</v>
      </c>
      <c r="R10" s="56">
        <f t="shared" si="0"/>
        <v>45611</v>
      </c>
      <c r="S10" s="56">
        <f t="shared" si="0"/>
        <v>45612</v>
      </c>
      <c r="T10" s="56">
        <f t="shared" si="0"/>
        <v>45613</v>
      </c>
      <c r="U10" s="56">
        <f t="shared" si="0"/>
        <v>45614</v>
      </c>
      <c r="V10" s="56">
        <f t="shared" si="0"/>
        <v>45615</v>
      </c>
      <c r="W10" s="56">
        <f t="shared" si="0"/>
        <v>45616</v>
      </c>
      <c r="X10" s="56">
        <f t="shared" si="0"/>
        <v>45617</v>
      </c>
      <c r="Y10" s="56">
        <f t="shared" si="0"/>
        <v>45618</v>
      </c>
      <c r="Z10" s="56">
        <f t="shared" si="0"/>
        <v>45619</v>
      </c>
      <c r="AA10" s="56">
        <f t="shared" si="0"/>
        <v>45620</v>
      </c>
      <c r="AB10" s="56">
        <f t="shared" si="0"/>
        <v>45621</v>
      </c>
      <c r="AC10" s="56">
        <f t="shared" si="0"/>
        <v>45622</v>
      </c>
      <c r="AD10" s="56">
        <f t="shared" si="0"/>
        <v>45623</v>
      </c>
      <c r="AE10" s="56">
        <f t="shared" si="0"/>
        <v>45624</v>
      </c>
      <c r="AF10" s="56">
        <f t="shared" si="0"/>
        <v>45625</v>
      </c>
      <c r="AG10" s="58">
        <f t="shared" si="0"/>
        <v>45626</v>
      </c>
    </row>
    <row r="11" spans="1:33" s="1" customFormat="1" x14ac:dyDescent="0.2">
      <c r="A11" s="61"/>
      <c r="B11" s="61"/>
      <c r="C11" s="61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0.11319444444444444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</row>
    <row r="14" spans="1:33" s="14" customFormat="1" ht="24" customHeight="1" x14ac:dyDescent="0.2">
      <c r="A14" s="64" t="s">
        <v>19</v>
      </c>
      <c r="B14" s="65"/>
      <c r="C14" s="54">
        <v>45619</v>
      </c>
      <c r="D14" s="68" t="s">
        <v>20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s="14" customFormat="1" ht="24" customHeight="1" x14ac:dyDescent="0.2">
      <c r="A15" s="66"/>
      <c r="B15" s="67"/>
      <c r="C15" s="54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s="14" customFormat="1" ht="24" customHeight="1" x14ac:dyDescent="0.2">
      <c r="A16" s="66"/>
      <c r="B16" s="67"/>
      <c r="C16" s="57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4" s="14" customFormat="1" ht="24" customHeight="1" x14ac:dyDescent="0.2">
      <c r="A17" s="66"/>
      <c r="B17" s="67"/>
      <c r="C17" s="55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</row>
    <row r="18" spans="1:34" s="14" customFormat="1" ht="24" customHeight="1" x14ac:dyDescent="0.2">
      <c r="A18" s="51"/>
      <c r="B18" s="51"/>
      <c r="C18" s="52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</row>
    <row r="19" spans="1:34" s="14" customFormat="1" ht="25.5" x14ac:dyDescent="0.2">
      <c r="A19" s="47"/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AH19" s="50"/>
    </row>
    <row r="20" spans="1:34" s="14" customFormat="1" x14ac:dyDescent="0.2">
      <c r="A20" s="15"/>
      <c r="D20" s="16"/>
      <c r="E20" s="15"/>
      <c r="I20" s="26"/>
    </row>
    <row r="21" spans="1:34" s="14" customFormat="1" x14ac:dyDescent="0.2">
      <c r="A21" s="25" t="s">
        <v>11</v>
      </c>
      <c r="D21" s="16"/>
      <c r="E21" s="15"/>
      <c r="AF21" s="32"/>
    </row>
    <row r="22" spans="1:34" s="14" customFormat="1" x14ac:dyDescent="0.2">
      <c r="A22" s="63" t="s">
        <v>2</v>
      </c>
      <c r="B22" s="63" t="s">
        <v>8</v>
      </c>
      <c r="C22" s="63" t="s">
        <v>1</v>
      </c>
      <c r="D22" s="62" t="s">
        <v>6</v>
      </c>
      <c r="E22" s="62"/>
      <c r="AF22" s="32"/>
    </row>
    <row r="23" spans="1:34" s="14" customFormat="1" x14ac:dyDescent="0.2">
      <c r="A23" s="63"/>
      <c r="B23" s="63"/>
      <c r="C23" s="63"/>
      <c r="D23" s="28" t="s">
        <v>9</v>
      </c>
      <c r="E23" s="24" t="s">
        <v>10</v>
      </c>
      <c r="AF23" s="32"/>
    </row>
    <row r="24" spans="1:34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0.99622685185185189</v>
      </c>
      <c r="D24" s="22" t="str">
        <f>TEXT(SUM(D13:AG13),"[h]")</f>
        <v>2</v>
      </c>
      <c r="E24" s="22" t="str">
        <f>TEXT(SUM(D13:AG13),"mm ss")</f>
        <v>43 00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</row>
    <row r="25" spans="1:34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">
      <c r="A26" s="15"/>
      <c r="B26" s="14"/>
      <c r="C26" s="14"/>
      <c r="D26" s="16"/>
      <c r="E26" s="15"/>
      <c r="F26" s="14"/>
      <c r="G26" s="53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7"/>
    </row>
    <row r="27" spans="1:34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spans="1:34" x14ac:dyDescent="0.2">
      <c r="B28" s="14" t="s">
        <v>18</v>
      </c>
      <c r="C28" s="28">
        <f>C24</f>
        <v>0.99622685185185189</v>
      </c>
      <c r="H28" s="37"/>
    </row>
    <row r="30" spans="1:34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9" type="noConversion"/>
  <conditionalFormatting sqref="D13: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2024-11-24T23:55:46Z</dcterms:modified>
</cp:coreProperties>
</file>