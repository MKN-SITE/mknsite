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November 24\"/>
    </mc:Choice>
  </mc:AlternateContent>
  <xr:revisionPtr revIDLastSave="0" documentId="13_ncr:1_{6CC2FAA9-4D53-429E-9127-1258AF2C44ED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E26" i="11"/>
  <c r="D27" i="11"/>
  <c r="D26" i="11"/>
  <c r="C26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B27" i="11" l="1"/>
  <c r="B26" i="11"/>
  <c r="C27" i="11" l="1"/>
  <c r="C32" i="11" l="1"/>
</calcChain>
</file>

<file path=xl/sharedStrings.xml><?xml version="1.0" encoding="utf-8"?>
<sst xmlns="http://schemas.openxmlformats.org/spreadsheetml/2006/main" count="58" uniqueCount="24">
  <si>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</si>
  <si>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</si>
  <si>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</si>
  <si>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</si>
  <si>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</si>
  <si>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</si>
  <si>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</si>
  <si>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</si>
  <si>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</si>
  <si>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</si>
  <si>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</si>
  <si>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</si>
  <si>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</si>
  <si>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</si>
  <si>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</si>
  <si>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</si>
  <si>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</si>
  <si>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</si>
  <si>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Tower System</t>
  </si>
  <si>
    <t>Power System</t>
  </si>
  <si>
    <t>Galaxy TBTS</t>
  </si>
  <si>
    <t>TBTS galaxy</t>
  </si>
  <si>
    <t>REMAKS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</si>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</sst>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81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8"/>
  <sheetViews>
    <sheetView tabSelected="1" zoomScaleNormal="100" workbookViewId="0">
      <selection activeCell="C30" sqref="C30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3" width="9" customWidth="1"/>
  </cols>
  <sheetData>
    <row r="1" spans="1:33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3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3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3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3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3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3" s="3" customFormat="1" x14ac:dyDescent="0.2">
      <c r="A7" s="5" t="s">
        <v>5</v>
      </c>
      <c r="B7" s="6"/>
      <c r="C7" s="32">
        <v>45597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3" s="3" customFormat="1" x14ac:dyDescent="0.2">
      <c r="A8" s="5" t="s">
        <v>6</v>
      </c>
      <c r="B8" s="7"/>
      <c r="C8" s="34" t="s">
        <v>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3" s="3" customFormat="1" x14ac:dyDescent="0.2">
      <c r="A9" s="62"/>
      <c r="B9" s="62"/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</row>
    <row r="10" spans="1:33" s="3" customFormat="1" x14ac:dyDescent="0.2">
      <c r="A10" s="71" t="s">
        <v>2</v>
      </c>
      <c r="B10" s="73" t="s">
        <v>0</v>
      </c>
      <c r="C10" s="73" t="s">
        <v>8</v>
      </c>
      <c r="D10" s="64">
        <f>C7</f>
        <v>45597</v>
      </c>
      <c r="E10" s="64">
        <f>D10+1</f>
        <v>45598</v>
      </c>
      <c r="F10" s="64">
        <f t="shared" ref="F10:AG10" si="0">E10+1</f>
        <v>45599</v>
      </c>
      <c r="G10" s="64">
        <f t="shared" si="0"/>
        <v>45600</v>
      </c>
      <c r="H10" s="64">
        <f t="shared" si="0"/>
        <v>45601</v>
      </c>
      <c r="I10" s="64">
        <f t="shared" si="0"/>
        <v>45602</v>
      </c>
      <c r="J10" s="64">
        <f t="shared" si="0"/>
        <v>45603</v>
      </c>
      <c r="K10" s="64">
        <f t="shared" si="0"/>
        <v>45604</v>
      </c>
      <c r="L10" s="64">
        <f t="shared" si="0"/>
        <v>45605</v>
      </c>
      <c r="M10" s="64">
        <f t="shared" si="0"/>
        <v>45606</v>
      </c>
      <c r="N10" s="64">
        <f t="shared" si="0"/>
        <v>45607</v>
      </c>
      <c r="O10" s="64">
        <f t="shared" si="0"/>
        <v>45608</v>
      </c>
      <c r="P10" s="64">
        <f t="shared" si="0"/>
        <v>45609</v>
      </c>
      <c r="Q10" s="64">
        <f t="shared" si="0"/>
        <v>45610</v>
      </c>
      <c r="R10" s="64">
        <f t="shared" si="0"/>
        <v>45611</v>
      </c>
      <c r="S10" s="64">
        <f t="shared" si="0"/>
        <v>45612</v>
      </c>
      <c r="T10" s="64">
        <f t="shared" si="0"/>
        <v>45613</v>
      </c>
      <c r="U10" s="64">
        <f t="shared" si="0"/>
        <v>45614</v>
      </c>
      <c r="V10" s="64">
        <f t="shared" si="0"/>
        <v>45615</v>
      </c>
      <c r="W10" s="64">
        <f t="shared" si="0"/>
        <v>45616</v>
      </c>
      <c r="X10" s="64">
        <f t="shared" si="0"/>
        <v>45617</v>
      </c>
      <c r="Y10" s="64">
        <f t="shared" si="0"/>
        <v>45618</v>
      </c>
      <c r="Z10" s="64">
        <f t="shared" si="0"/>
        <v>45619</v>
      </c>
      <c r="AA10" s="64">
        <f t="shared" si="0"/>
        <v>45620</v>
      </c>
      <c r="AB10" s="64">
        <f t="shared" si="0"/>
        <v>45621</v>
      </c>
      <c r="AC10" s="64">
        <f t="shared" si="0"/>
        <v>45622</v>
      </c>
      <c r="AD10" s="64">
        <f t="shared" si="0"/>
        <v>45623</v>
      </c>
      <c r="AE10" s="64">
        <f t="shared" si="0"/>
        <v>45624</v>
      </c>
      <c r="AF10" s="64">
        <f t="shared" si="0"/>
        <v>45625</v>
      </c>
      <c r="AG10" s="65">
        <f t="shared" si="0"/>
        <v>45626</v>
      </c>
    </row>
    <row r="11" spans="1:33" s="1" customFormat="1" x14ac:dyDescent="0.2">
      <c r="A11" s="72"/>
      <c r="B11" s="74"/>
      <c r="C11" s="74"/>
      <c r="D11" s="55" t="s">
        <v>7</v>
      </c>
      <c r="E11" s="55" t="s">
        <v>7</v>
      </c>
      <c r="F11" s="55" t="s">
        <v>7</v>
      </c>
      <c r="G11" s="55" t="s">
        <v>7</v>
      </c>
      <c r="H11" s="55" t="s">
        <v>7</v>
      </c>
      <c r="I11" s="55" t="s">
        <v>7</v>
      </c>
      <c r="J11" s="55" t="s">
        <v>7</v>
      </c>
      <c r="K11" s="55" t="s">
        <v>7</v>
      </c>
      <c r="L11" s="55" t="s">
        <v>7</v>
      </c>
      <c r="M11" s="55" t="s">
        <v>7</v>
      </c>
      <c r="N11" s="55" t="s">
        <v>7</v>
      </c>
      <c r="O11" s="55" t="s">
        <v>7</v>
      </c>
      <c r="P11" s="55" t="s">
        <v>7</v>
      </c>
      <c r="Q11" s="55" t="s">
        <v>7</v>
      </c>
      <c r="R11" s="55" t="s">
        <v>7</v>
      </c>
      <c r="S11" s="55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</row>
    <row r="12" spans="1:33" x14ac:dyDescent="0.2">
      <c r="A12" s="37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s="11" customFormat="1" ht="15.75" x14ac:dyDescent="0.25">
      <c r="A13" s="38" t="s">
        <v>17</v>
      </c>
      <c r="B13" s="27" t="s">
        <v>18</v>
      </c>
      <c r="C13" s="54" t="s">
        <v>20</v>
      </c>
      <c r="D13" s="58">
        <v>0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</row>
    <row r="14" spans="1:33" s="11" customFormat="1" ht="15.75" x14ac:dyDescent="0.25">
      <c r="A14" s="38" t="s">
        <v>16</v>
      </c>
      <c r="B14" s="27" t="s">
        <v>19</v>
      </c>
      <c r="C14" s="54" t="s">
        <v>20</v>
      </c>
      <c r="D14" s="58">
        <v>0</v>
      </c>
      <c r="E14" s="58">
        <v>0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</row>
    <row r="15" spans="1:33" s="11" customFormat="1" ht="16.5" customHeight="1" x14ac:dyDescent="0.2">
      <c r="A15" s="59"/>
      <c r="B15" s="60"/>
      <c r="C15" s="61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s="11" customFormat="1" ht="24.95" customHeight="1" x14ac:dyDescent="0.2">
      <c r="A16" s="79">
        <v>3</v>
      </c>
      <c r="B16" s="77" t="s">
        <v>22</v>
      </c>
      <c r="C16" s="51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</row>
    <row r="17" spans="1:33" s="11" customFormat="1" ht="24.95" customHeight="1" x14ac:dyDescent="0.2">
      <c r="A17" s="79"/>
      <c r="B17" s="77"/>
      <c r="C17" s="51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</row>
    <row r="18" spans="1:33" s="11" customFormat="1" ht="24.95" customHeight="1" x14ac:dyDescent="0.2">
      <c r="A18" s="79"/>
      <c r="B18" s="77"/>
      <c r="C18" s="52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</row>
    <row r="19" spans="1:33" s="11" customFormat="1" ht="24.95" customHeight="1" x14ac:dyDescent="0.2">
      <c r="A19" s="80"/>
      <c r="B19" s="78"/>
      <c r="C19" s="52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</row>
    <row r="20" spans="1:33" s="11" customFormat="1" ht="15" x14ac:dyDescent="0.2">
      <c r="A20" s="48"/>
      <c r="B20" s="48"/>
      <c r="C20" s="49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</row>
    <row r="21" spans="1:33" s="11" customFormat="1" ht="15" x14ac:dyDescent="0.2">
      <c r="A21" s="12"/>
      <c r="B21" s="35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</row>
    <row r="22" spans="1:33" s="11" customFormat="1" x14ac:dyDescent="0.2">
      <c r="A22" s="12"/>
      <c r="D22" s="12"/>
      <c r="I22" s="20"/>
    </row>
    <row r="23" spans="1:33" s="11" customFormat="1" x14ac:dyDescent="0.2">
      <c r="A23" s="19" t="s">
        <v>12</v>
      </c>
      <c r="D23" s="12"/>
      <c r="K23" s="43"/>
      <c r="L23" s="43"/>
      <c r="AB23" s="26"/>
    </row>
    <row r="24" spans="1:33" s="11" customFormat="1" x14ac:dyDescent="0.2">
      <c r="A24" s="75" t="s">
        <v>2</v>
      </c>
      <c r="B24" s="75" t="s">
        <v>9</v>
      </c>
      <c r="C24" s="75" t="s">
        <v>1</v>
      </c>
      <c r="D24" s="69" t="s">
        <v>7</v>
      </c>
      <c r="E24" s="70"/>
      <c r="AB24" s="26"/>
    </row>
    <row r="25" spans="1:33" s="11" customFormat="1" x14ac:dyDescent="0.2">
      <c r="A25" s="76"/>
      <c r="B25" s="76"/>
      <c r="C25" s="76"/>
      <c r="D25" s="22" t="s">
        <v>10</v>
      </c>
      <c r="E25" s="18" t="s">
        <v>11</v>
      </c>
      <c r="AB25" s="26"/>
    </row>
    <row r="26" spans="1:33" s="11" customFormat="1" ht="15.75" x14ac:dyDescent="0.25">
      <c r="A26" s="33" t="s">
        <v>17</v>
      </c>
      <c r="B26" s="27" t="str">
        <f>B13</f>
        <v>Tower System</v>
      </c>
      <c r="C26" s="30">
        <f>1-(((D26*3600)+(LEFT(E26,2)*60)+RIGHT(E26,2))/((60*60*24)*$C$8))</f>
        <v>1</v>
      </c>
      <c r="D26" s="16" t="str">
        <f>TEXT(SUM(D13:AG13),"[h]")</f>
        <v>0</v>
      </c>
      <c r="E26" s="16" t="str">
        <f>TEXT(SUM(E13:AG13),"mm ss")</f>
        <v>00 00</v>
      </c>
      <c r="G26" s="17"/>
      <c r="AB26" s="26"/>
    </row>
    <row r="27" spans="1:33" s="11" customFormat="1" ht="15.75" x14ac:dyDescent="0.25">
      <c r="A27" s="57" t="s">
        <v>16</v>
      </c>
      <c r="B27" s="27" t="str">
        <f>B14</f>
        <v>Power System</v>
      </c>
      <c r="C27" s="56">
        <f t="shared" ref="C27" si="1">1-(((D27*3600)+(LEFT(E27,2)*60)+RIGHT(E27,2))/((60*60*24)*$C$8))</f>
        <v>1</v>
      </c>
      <c r="D27" s="16" t="str">
        <f>TEXT(SUM(E14:AG14),"[h]")</f>
        <v>0</v>
      </c>
      <c r="E27" s="16" t="str">
        <f>TEXT(SUM(E14:AG14),"mm ss")</f>
        <v>00 00</v>
      </c>
      <c r="G27" s="17"/>
      <c r="AB27" s="26"/>
    </row>
    <row r="28" spans="1:33" ht="15.75" x14ac:dyDescent="0.25">
      <c r="A28" s="39"/>
      <c r="B28" s="40"/>
      <c r="C28" s="41"/>
      <c r="D28" s="42"/>
      <c r="E28" s="42"/>
      <c r="F28" s="11"/>
      <c r="G28" s="17"/>
      <c r="H28" s="11"/>
      <c r="I28" s="11"/>
      <c r="J28" s="11"/>
      <c r="K28" s="11"/>
      <c r="L28" s="44"/>
      <c r="M28" s="44"/>
      <c r="N28" s="44"/>
      <c r="O28" s="44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spans="1:33" x14ac:dyDescent="0.2">
      <c r="A29" s="12"/>
      <c r="B29" s="11"/>
      <c r="C29" s="21"/>
      <c r="D29" s="12"/>
      <c r="E29" s="11"/>
      <c r="F29" s="11"/>
      <c r="G29" s="11"/>
      <c r="H29" s="11"/>
      <c r="I29" s="11"/>
      <c r="J29" s="11"/>
      <c r="K29" s="11"/>
      <c r="L29" s="44"/>
      <c r="M29" s="44"/>
      <c r="N29" s="44"/>
      <c r="O29" s="44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spans="1:33" x14ac:dyDescent="0.2">
      <c r="A30" s="12"/>
      <c r="B30" s="11"/>
      <c r="C30" s="11"/>
      <c r="D30" s="12"/>
      <c r="E30" s="11"/>
      <c r="F30" s="11"/>
      <c r="G30" s="11"/>
      <c r="H30" s="11"/>
      <c r="I30" s="11"/>
      <c r="J30" s="11"/>
      <c r="K30" s="11"/>
      <c r="L30" s="44"/>
      <c r="M30" s="44"/>
      <c r="N30" s="44"/>
      <c r="O30" s="44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x14ac:dyDescent="0.2">
      <c r="A31" s="12"/>
      <c r="B31" s="20" t="s">
        <v>13</v>
      </c>
      <c r="C31" s="15"/>
      <c r="D31" s="14"/>
      <c r="E31" s="14"/>
      <c r="F31" s="14"/>
      <c r="G31" s="14"/>
      <c r="H31" s="14"/>
      <c r="I31" s="14"/>
      <c r="J31" s="14"/>
      <c r="K31" s="14"/>
      <c r="L31" s="45"/>
      <c r="M31" s="45"/>
      <c r="N31" s="45"/>
      <c r="O31" s="45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x14ac:dyDescent="0.2">
      <c r="A32"/>
      <c r="B32" s="11" t="s">
        <v>21</v>
      </c>
      <c r="C32" s="22">
        <f>(SUM(C26:C27))/(100%*2)</f>
        <v>1</v>
      </c>
      <c r="G32" s="31"/>
      <c r="L32" s="46"/>
      <c r="M32" s="46"/>
      <c r="N32" s="46"/>
      <c r="O32" s="46"/>
    </row>
    <row r="33" spans="1:33" x14ac:dyDescent="0.2">
      <c r="L33" s="46"/>
      <c r="M33" s="46"/>
      <c r="N33" s="46"/>
      <c r="O33" s="46"/>
    </row>
    <row r="34" spans="1:33" x14ac:dyDescent="0.2">
      <c r="L34" s="46"/>
      <c r="M34" s="46"/>
      <c r="N34" s="46"/>
      <c r="O34" s="46"/>
    </row>
    <row r="35" spans="1:33" x14ac:dyDescent="0.2"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46"/>
    </row>
    <row r="36" spans="1:33" x14ac:dyDescent="0.2">
      <c r="A36" s="47"/>
      <c r="B36" s="53"/>
      <c r="E36" s="67"/>
      <c r="F36" s="67"/>
      <c r="G36" s="67"/>
      <c r="H36" s="67"/>
      <c r="I36" s="67"/>
      <c r="J36" s="67"/>
      <c r="K36" s="67"/>
      <c r="L36" s="67"/>
      <c r="M36" s="67"/>
      <c r="N36" s="67"/>
    </row>
    <row r="37" spans="1:33" x14ac:dyDescent="0.2">
      <c r="A37"/>
      <c r="B37" s="11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</row>
    <row r="45" spans="1:33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spans="1:33" x14ac:dyDescent="0.2">
      <c r="A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 spans="1:33" x14ac:dyDescent="0.2">
      <c r="A47"/>
      <c r="E47" s="23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  <row r="48" spans="1:33" x14ac:dyDescent="0.2">
      <c r="A48"/>
      <c r="D48"/>
      <c r="E48" s="23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</row>
  </sheetData>
  <mergeCells count="15">
    <mergeCell ref="A10:A11"/>
    <mergeCell ref="B10:B11"/>
    <mergeCell ref="C10:C11"/>
    <mergeCell ref="A24:A25"/>
    <mergeCell ref="B24:B25"/>
    <mergeCell ref="C24:C25"/>
    <mergeCell ref="B16:B19"/>
    <mergeCell ref="A16:A19"/>
    <mergeCell ref="D17:AG17"/>
    <mergeCell ref="D18:AG18"/>
    <mergeCell ref="D19:AG19"/>
    <mergeCell ref="E35:N36"/>
    <mergeCell ref="D15:AG15"/>
    <mergeCell ref="D24:E24"/>
    <mergeCell ref="D16:AG16"/>
  </mergeCells>
  <phoneticPr fontId="9" type="noConversion"/>
  <conditionalFormatting sqref="D13:AG14">
    <cfRule type="cellIs" dxfId="1" priority="1" stopIfTrue="1" operator="greaterThan">
      <formula>0</formula>
    </cfRule>
  </conditionalFormatting>
  <conditionalFormatting sqref="K23:L23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2024-11-11T09:16:11Z</dcterms:modified>
</cp:coreProperties>
</file>