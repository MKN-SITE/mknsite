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Desember 24\"/>
    </mc:Choice>
  </mc:AlternateContent>
  <xr:revisionPtr revIDLastSave="0" documentId="13_ncr:1_{7CB77620-8F32-48B0-8EAC-36C4DFB027A0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1" l="1"/>
  <c r="E25" i="11" l="1"/>
  <c r="D25" i="11"/>
  <c r="C25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5" i="11" l="1"/>
</calcChain>
</file>

<file path=xl/sharedStrings.xml><?xml version="1.0" encoding="utf-8"?>
<sst xmlns="http://schemas.openxmlformats.org/spreadsheetml/2006/main" count="56" uniqueCount="23">
  <si>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</si>
  <si>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</si>
  <si>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</si>
  <si>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</si>
  <si>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</si>
  <si>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</si>
  <si>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</si>
  <si>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</si>
  <si>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</si>
  <si>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</si>
  <si>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</si>
  <si>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</si>
  <si>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</si>
  <si>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</si>
  <si>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</si>
  <si>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</si>
  <si>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</si>
  <si>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</si>
  <si>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TBTS galaxy</t>
  </si>
  <si>
    <t>REMAKS</t>
  </si>
  <si>
    <t>31</t>
  </si>
  <si>
    <t>TBTS</t>
  </si>
  <si>
    <t>Transportable Base Transreceiver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</si>
</sst>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7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6" fillId="0" borderId="1" xfId="0" applyFont="1" applyBorder="1" applyAlignment="1">
      <alignment horizontal="left" vertical="center"/>
    </xf>
    <xf numFmtId="164" fontId="38" fillId="0" borderId="0" xfId="0" applyFont="1" applyAlignment="1">
      <alignment horizontal="left"/>
    </xf>
    <xf numFmtId="164" fontId="36" fillId="0" borderId="0" xfId="0" applyFont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Normal="100" workbookViewId="0">
      <selection activeCell="C26" sqref="C26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4" width="9" customWidth="1"/>
  </cols>
  <sheetData>
    <row r="1" spans="1:34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1">
        <v>45627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2" t="s"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x14ac:dyDescent="0.2">
      <c r="A9" s="60"/>
      <c r="B9" s="60"/>
      <c r="C9" s="60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</row>
    <row r="10" spans="1:34" s="3" customFormat="1" x14ac:dyDescent="0.2">
      <c r="A10" s="69" t="s">
        <v>2</v>
      </c>
      <c r="B10" s="71" t="s">
        <v>0</v>
      </c>
      <c r="C10" s="71" t="s">
        <v>8</v>
      </c>
      <c r="D10" s="62">
        <f>C7</f>
        <v>45627</v>
      </c>
      <c r="E10" s="62">
        <f>D10+1</f>
        <v>45628</v>
      </c>
      <c r="F10" s="62">
        <f t="shared" ref="F10:AH10" si="0">E10+1</f>
        <v>45629</v>
      </c>
      <c r="G10" s="62">
        <f t="shared" si="0"/>
        <v>45630</v>
      </c>
      <c r="H10" s="62">
        <f t="shared" si="0"/>
        <v>45631</v>
      </c>
      <c r="I10" s="62">
        <f t="shared" si="0"/>
        <v>45632</v>
      </c>
      <c r="J10" s="62">
        <f t="shared" si="0"/>
        <v>45633</v>
      </c>
      <c r="K10" s="62">
        <f t="shared" si="0"/>
        <v>45634</v>
      </c>
      <c r="L10" s="62">
        <f t="shared" si="0"/>
        <v>45635</v>
      </c>
      <c r="M10" s="62">
        <f t="shared" si="0"/>
        <v>45636</v>
      </c>
      <c r="N10" s="62">
        <f t="shared" si="0"/>
        <v>45637</v>
      </c>
      <c r="O10" s="62">
        <f t="shared" si="0"/>
        <v>45638</v>
      </c>
      <c r="P10" s="62">
        <f t="shared" si="0"/>
        <v>45639</v>
      </c>
      <c r="Q10" s="62">
        <f t="shared" si="0"/>
        <v>45640</v>
      </c>
      <c r="R10" s="62">
        <f t="shared" si="0"/>
        <v>45641</v>
      </c>
      <c r="S10" s="62">
        <f t="shared" si="0"/>
        <v>45642</v>
      </c>
      <c r="T10" s="62">
        <f t="shared" si="0"/>
        <v>45643</v>
      </c>
      <c r="U10" s="62">
        <f t="shared" si="0"/>
        <v>45644</v>
      </c>
      <c r="V10" s="62">
        <f t="shared" si="0"/>
        <v>45645</v>
      </c>
      <c r="W10" s="62">
        <f t="shared" si="0"/>
        <v>45646</v>
      </c>
      <c r="X10" s="62">
        <f t="shared" si="0"/>
        <v>45647</v>
      </c>
      <c r="Y10" s="62">
        <f t="shared" si="0"/>
        <v>45648</v>
      </c>
      <c r="Z10" s="62">
        <f t="shared" si="0"/>
        <v>45649</v>
      </c>
      <c r="AA10" s="62">
        <f t="shared" si="0"/>
        <v>45650</v>
      </c>
      <c r="AB10" s="62">
        <f t="shared" si="0"/>
        <v>45651</v>
      </c>
      <c r="AC10" s="62">
        <f t="shared" si="0"/>
        <v>45652</v>
      </c>
      <c r="AD10" s="62">
        <f t="shared" si="0"/>
        <v>45653</v>
      </c>
      <c r="AE10" s="62">
        <f t="shared" si="0"/>
        <v>45654</v>
      </c>
      <c r="AF10" s="62">
        <f t="shared" si="0"/>
        <v>45655</v>
      </c>
      <c r="AG10" s="62">
        <f t="shared" si="0"/>
        <v>45656</v>
      </c>
      <c r="AH10" s="63">
        <f t="shared" si="0"/>
        <v>45657</v>
      </c>
    </row>
    <row r="11" spans="1:34" s="1" customFormat="1" x14ac:dyDescent="0.2">
      <c r="A11" s="70"/>
      <c r="B11" s="72"/>
      <c r="C11" s="72"/>
      <c r="D11" s="53" t="s">
        <v>7</v>
      </c>
      <c r="E11" s="53" t="s">
        <v>7</v>
      </c>
      <c r="F11" s="53" t="s">
        <v>7</v>
      </c>
      <c r="G11" s="53" t="s">
        <v>7</v>
      </c>
      <c r="H11" s="53" t="s">
        <v>7</v>
      </c>
      <c r="I11" s="53" t="s">
        <v>7</v>
      </c>
      <c r="J11" s="53" t="s">
        <v>7</v>
      </c>
      <c r="K11" s="53" t="s">
        <v>7</v>
      </c>
      <c r="L11" s="53" t="s">
        <v>7</v>
      </c>
      <c r="M11" s="53" t="s">
        <v>7</v>
      </c>
      <c r="N11" s="53" t="s">
        <v>7</v>
      </c>
      <c r="O11" s="53" t="s">
        <v>7</v>
      </c>
      <c r="P11" s="53" t="s">
        <v>7</v>
      </c>
      <c r="Q11" s="53" t="s">
        <v>7</v>
      </c>
      <c r="R11" s="53" t="s">
        <v>7</v>
      </c>
      <c r="S11" s="53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35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s="11" customFormat="1" ht="15.75" x14ac:dyDescent="0.25">
      <c r="A13" s="36" t="s">
        <v>17</v>
      </c>
      <c r="B13" s="27" t="s">
        <v>22</v>
      </c>
      <c r="C13" s="52" t="s">
        <v>21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</row>
    <row r="14" spans="1:34" s="11" customFormat="1" ht="16.5" customHeight="1" x14ac:dyDescent="0.2">
      <c r="A14" s="57"/>
      <c r="B14" s="58"/>
      <c r="C14" s="59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</row>
    <row r="15" spans="1:34" s="11" customFormat="1" ht="24.95" customHeight="1" x14ac:dyDescent="0.2">
      <c r="A15" s="77" t="s">
        <v>16</v>
      </c>
      <c r="B15" s="75" t="s">
        <v>19</v>
      </c>
      <c r="C15" s="49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</row>
    <row r="16" spans="1:34" s="11" customFormat="1" ht="24.95" customHeight="1" x14ac:dyDescent="0.2">
      <c r="A16" s="77"/>
      <c r="B16" s="75"/>
      <c r="C16" s="49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</row>
    <row r="17" spans="1:34" s="11" customFormat="1" ht="24.95" customHeight="1" x14ac:dyDescent="0.2">
      <c r="A17" s="77"/>
      <c r="B17" s="75"/>
      <c r="C17" s="50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</row>
    <row r="18" spans="1:34" s="11" customFormat="1" ht="24.95" customHeight="1" x14ac:dyDescent="0.2">
      <c r="A18" s="78"/>
      <c r="B18" s="76"/>
      <c r="C18" s="50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</row>
    <row r="19" spans="1:34" s="11" customFormat="1" ht="15" x14ac:dyDescent="0.2">
      <c r="A19" s="46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</row>
    <row r="20" spans="1:34" s="11" customFormat="1" ht="15" x14ac:dyDescent="0.2">
      <c r="A20" s="12"/>
      <c r="B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</row>
    <row r="21" spans="1:34" s="11" customFormat="1" x14ac:dyDescent="0.2">
      <c r="A21" s="12"/>
      <c r="D21" s="12"/>
      <c r="I21" s="20"/>
    </row>
    <row r="22" spans="1:34" s="11" customFormat="1" x14ac:dyDescent="0.2">
      <c r="A22" s="19" t="s">
        <v>12</v>
      </c>
      <c r="D22" s="12"/>
      <c r="K22" s="41"/>
      <c r="L22" s="41"/>
      <c r="AB22" s="26"/>
    </row>
    <row r="23" spans="1:34" s="11" customFormat="1" x14ac:dyDescent="0.2">
      <c r="A23" s="73" t="s">
        <v>2</v>
      </c>
      <c r="B23" s="73" t="s">
        <v>9</v>
      </c>
      <c r="C23" s="73" t="s">
        <v>1</v>
      </c>
      <c r="D23" s="67" t="s">
        <v>7</v>
      </c>
      <c r="E23" s="68"/>
      <c r="AB23" s="26"/>
    </row>
    <row r="24" spans="1:34" s="11" customFormat="1" x14ac:dyDescent="0.2">
      <c r="A24" s="74"/>
      <c r="B24" s="74"/>
      <c r="C24" s="74"/>
      <c r="D24" s="22" t="s">
        <v>10</v>
      </c>
      <c r="E24" s="18" t="s">
        <v>11</v>
      </c>
      <c r="AB24" s="26"/>
    </row>
    <row r="25" spans="1:34" s="11" customFormat="1" ht="15.75" x14ac:dyDescent="0.25">
      <c r="A25" s="55" t="s">
        <v>17</v>
      </c>
      <c r="B25" s="27" t="str">
        <f>B13</f>
        <v>Transportable Base Transreceiver Station</v>
      </c>
      <c r="C25" s="54">
        <f>1-(((D25*3600)+(LEFT(E25,2)*60)+RIGHT(E25,2))/((60*60*24)*$C$8))</f>
        <v>1</v>
      </c>
      <c r="D25" s="16" t="str">
        <f>TEXT(SUM(D13:AH13),"[h]")</f>
        <v>0</v>
      </c>
      <c r="E25" s="16" t="str">
        <f>TEXT(SUM(E13:AH13),"mm ss")</f>
        <v>00 00</v>
      </c>
      <c r="G25" s="17"/>
      <c r="AB25" s="26"/>
    </row>
    <row r="26" spans="1:34" ht="15.75" x14ac:dyDescent="0.25">
      <c r="A26" s="37"/>
      <c r="B26" s="38"/>
      <c r="C26" s="39"/>
      <c r="D26" s="40"/>
      <c r="E26" s="40"/>
      <c r="F26" s="11"/>
      <c r="G26" s="17"/>
      <c r="H26" s="11"/>
      <c r="I26" s="11"/>
      <c r="J26" s="11"/>
      <c r="K26" s="11"/>
      <c r="L26" s="42"/>
      <c r="M26" s="42"/>
      <c r="N26" s="42"/>
      <c r="O26" s="4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x14ac:dyDescent="0.2">
      <c r="A27" s="12"/>
      <c r="B27" s="11"/>
      <c r="C27" s="21"/>
      <c r="D27" s="12"/>
      <c r="E27" s="11"/>
      <c r="F27" s="11"/>
      <c r="G27" s="11"/>
      <c r="H27" s="11"/>
      <c r="I27" s="11"/>
      <c r="J27" s="11"/>
      <c r="K27" s="11"/>
      <c r="L27" s="42"/>
      <c r="M27" s="42"/>
      <c r="N27" s="42"/>
      <c r="O27" s="4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x14ac:dyDescent="0.2">
      <c r="A28" s="12"/>
      <c r="B28" s="11"/>
      <c r="C28" s="11"/>
      <c r="D28" s="12"/>
      <c r="E28" s="11"/>
      <c r="F28" s="11"/>
      <c r="G28" s="11"/>
      <c r="H28" s="11"/>
      <c r="I28" s="11"/>
      <c r="J28" s="11"/>
      <c r="K28" s="11"/>
      <c r="L28" s="42"/>
      <c r="M28" s="42"/>
      <c r="N28" s="42"/>
      <c r="O28" s="4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x14ac:dyDescent="0.2">
      <c r="A29" s="12"/>
      <c r="B29" s="20" t="s">
        <v>13</v>
      </c>
      <c r="C29" s="15"/>
      <c r="D29" s="14"/>
      <c r="E29" s="14"/>
      <c r="F29" s="14"/>
      <c r="G29" s="14"/>
      <c r="H29" s="14"/>
      <c r="I29" s="14"/>
      <c r="J29" s="14"/>
      <c r="K29" s="14"/>
      <c r="L29" s="43"/>
      <c r="M29" s="43"/>
      <c r="N29" s="43"/>
      <c r="O29" s="4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2">
      <c r="A30"/>
      <c r="B30" s="11" t="s">
        <v>18</v>
      </c>
      <c r="C30" s="22">
        <f>(SUM(C25:C25))/(100%)</f>
        <v>1</v>
      </c>
      <c r="G30" s="30"/>
      <c r="L30" s="44"/>
      <c r="M30" s="44"/>
      <c r="N30" s="44"/>
      <c r="O30" s="44"/>
    </row>
    <row r="31" spans="1:34" x14ac:dyDescent="0.2">
      <c r="L31" s="44"/>
      <c r="M31" s="44"/>
      <c r="N31" s="44"/>
      <c r="O31" s="44"/>
    </row>
    <row r="32" spans="1:34" x14ac:dyDescent="0.2">
      <c r="L32" s="44"/>
      <c r="M32" s="44"/>
      <c r="N32" s="44"/>
      <c r="O32" s="44"/>
    </row>
    <row r="33" spans="1:34" x14ac:dyDescent="0.2"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44"/>
    </row>
    <row r="34" spans="1:34" x14ac:dyDescent="0.2">
      <c r="A34" s="45"/>
      <c r="B34" s="51"/>
      <c r="E34" s="65"/>
      <c r="F34" s="65"/>
      <c r="G34" s="65"/>
      <c r="H34" s="65"/>
      <c r="I34" s="65"/>
      <c r="J34" s="65"/>
      <c r="K34" s="65"/>
      <c r="L34" s="65"/>
      <c r="M34" s="65"/>
      <c r="N34" s="65"/>
    </row>
    <row r="35" spans="1:34" x14ac:dyDescent="0.2">
      <c r="A35"/>
      <c r="B35" s="11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</row>
    <row r="43" spans="1:34" x14ac:dyDescent="0.2">
      <c r="A43"/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 spans="1:34" x14ac:dyDescent="0.2">
      <c r="A44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 spans="1:34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spans="1:34" x14ac:dyDescent="0.2">
      <c r="A46"/>
      <c r="D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</sheetData>
  <mergeCells count="15">
    <mergeCell ref="A10:A11"/>
    <mergeCell ref="B10:B11"/>
    <mergeCell ref="C10:C11"/>
    <mergeCell ref="A23:A24"/>
    <mergeCell ref="B23:B24"/>
    <mergeCell ref="C23:C24"/>
    <mergeCell ref="B15:B18"/>
    <mergeCell ref="A15:A18"/>
    <mergeCell ref="D16:AH16"/>
    <mergeCell ref="D17:AH17"/>
    <mergeCell ref="D18:AH18"/>
    <mergeCell ref="E33:N34"/>
    <mergeCell ref="D14:AG14"/>
    <mergeCell ref="D23:E23"/>
    <mergeCell ref="D15:AH15"/>
  </mergeCells>
  <phoneticPr fontId="9" type="noConversion"/>
  <conditionalFormatting sqref="D13:AH13">
    <cfRule type="cellIs" dxfId="1" priority="1" stopIfTrue="1" operator="greaterThan">
      <formula>0</formula>
    </cfRule>
  </conditionalFormatting>
  <conditionalFormatting sqref="K22:L22">
    <cfRule type="cellIs" dxfId="0" priority="90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2022-07-04T01:07:16Z</cp:lastPrinted>
  <dcterms:created xsi:type="dcterms:W3CDTF">2006-10-16T02:50:45Z</dcterms:created>
  <dcterms:modified xsi:type="dcterms:W3CDTF">2024-12-31T06:26:55Z</dcterms:modified>
</cp:coreProperties>
</file>