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Desember 24\"/>
    </mc:Choice>
  </mc:AlternateContent>
  <xr:revisionPtr revIDLastSave="0" documentId="13_ncr:1_{7C398AFA-35F3-4268-A264-B6F084A0BFC1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<sst xmlns="http://schemas.openxmlformats.org/spreadsheetml/2006/main" count="55" uniqueCount="22">
  <si>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</si>
  <si>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</si>
  <si>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</si>
  <si>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</si>
  <si>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</si>
  <si>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</si>
  <si>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</si>
  <si>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</si>
  <si>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</si>
  <si>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</si>
  <si>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</si>
  <si>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</si>
  <si>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</si>
  <si>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</si>
  <si>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</si>
  <si>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</si>
  <si>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</si>
  <si>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</si>
  <si>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</si>
  <si>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</si>
  <si>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FO cut link backbone ROP-Cyber via Mampang</t>
  </si>
  <si>
    <t>Interface Flapping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</si>
</sst>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7" sqref="D17:AH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45627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19">
        <f>C7</f>
        <v>45627</v>
      </c>
      <c r="E10" s="19">
        <f>D10+1</f>
        <v>45628</v>
      </c>
      <c r="F10" s="19">
        <f t="shared" ref="F10:AH10" si="0">E10+1</f>
        <v>45629</v>
      </c>
      <c r="G10" s="19">
        <f t="shared" si="0"/>
        <v>45630</v>
      </c>
      <c r="H10" s="19">
        <f t="shared" si="0"/>
        <v>45631</v>
      </c>
      <c r="I10" s="19">
        <f t="shared" si="0"/>
        <v>45632</v>
      </c>
      <c r="J10" s="19">
        <f t="shared" si="0"/>
        <v>45633</v>
      </c>
      <c r="K10" s="19">
        <f t="shared" si="0"/>
        <v>45634</v>
      </c>
      <c r="L10" s="19">
        <f t="shared" si="0"/>
        <v>45635</v>
      </c>
      <c r="M10" s="19">
        <f t="shared" si="0"/>
        <v>45636</v>
      </c>
      <c r="N10" s="19">
        <f t="shared" si="0"/>
        <v>45637</v>
      </c>
      <c r="O10" s="19">
        <f t="shared" si="0"/>
        <v>45638</v>
      </c>
      <c r="P10" s="19">
        <f t="shared" si="0"/>
        <v>45639</v>
      </c>
      <c r="Q10" s="19">
        <f t="shared" si="0"/>
        <v>45640</v>
      </c>
      <c r="R10" s="19">
        <f t="shared" si="0"/>
        <v>45641</v>
      </c>
      <c r="S10" s="19">
        <f t="shared" si="0"/>
        <v>45642</v>
      </c>
      <c r="T10" s="19">
        <f t="shared" si="0"/>
        <v>45643</v>
      </c>
      <c r="U10" s="19">
        <f t="shared" si="0"/>
        <v>45644</v>
      </c>
      <c r="V10" s="19">
        <f t="shared" si="0"/>
        <v>45645</v>
      </c>
      <c r="W10" s="19">
        <f t="shared" si="0"/>
        <v>45646</v>
      </c>
      <c r="X10" s="19">
        <f t="shared" si="0"/>
        <v>45647</v>
      </c>
      <c r="Y10" s="19">
        <f t="shared" si="0"/>
        <v>45648</v>
      </c>
      <c r="Z10" s="19">
        <f t="shared" si="0"/>
        <v>45649</v>
      </c>
      <c r="AA10" s="19">
        <f t="shared" si="0"/>
        <v>45650</v>
      </c>
      <c r="AB10" s="19">
        <f t="shared" si="0"/>
        <v>45651</v>
      </c>
      <c r="AC10" s="19">
        <f t="shared" si="0"/>
        <v>45652</v>
      </c>
      <c r="AD10" s="19">
        <f t="shared" si="0"/>
        <v>45653</v>
      </c>
      <c r="AE10" s="19">
        <f t="shared" si="0"/>
        <v>45654</v>
      </c>
      <c r="AF10" s="19">
        <f t="shared" si="0"/>
        <v>45655</v>
      </c>
      <c r="AG10" s="19">
        <f t="shared" si="0"/>
        <v>45656</v>
      </c>
      <c r="AH10" s="56">
        <f t="shared" si="0"/>
        <v>45657</v>
      </c>
    </row>
    <row r="11" spans="1:34" s="1" customFormat="1" x14ac:dyDescent="0.2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0.1125</v>
      </c>
      <c r="R13" s="41">
        <v>8.5416666666666669E-2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3">
        <v>0</v>
      </c>
      <c r="AC13" s="41">
        <v>0</v>
      </c>
      <c r="AD13" s="41">
        <v>1.3888888888888888E-2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2" t="s">
        <v>15</v>
      </c>
      <c r="B14" s="73"/>
      <c r="C14" s="57">
        <v>45640</v>
      </c>
      <c r="D14" s="76" t="s">
        <v>20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8"/>
    </row>
    <row r="15" spans="1:34" s="14" customFormat="1" ht="24" customHeight="1" x14ac:dyDescent="0.2">
      <c r="A15" s="74"/>
      <c r="B15" s="75"/>
      <c r="C15" s="57">
        <v>45641</v>
      </c>
      <c r="D15" s="76" t="s">
        <v>20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8"/>
    </row>
    <row r="16" spans="1:34" s="14" customFormat="1" ht="24" customHeight="1" x14ac:dyDescent="0.2">
      <c r="A16" s="74"/>
      <c r="B16" s="75"/>
      <c r="C16" s="52">
        <v>45653</v>
      </c>
      <c r="D16" s="76" t="s">
        <v>21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8"/>
    </row>
    <row r="17" spans="1:34" s="14" customFormat="1" ht="24" customHeight="1" x14ac:dyDescent="0.2">
      <c r="A17" s="74"/>
      <c r="B17" s="75"/>
      <c r="C17" s="55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8"/>
    </row>
    <row r="18" spans="1:34" s="14" customFormat="1" ht="24" customHeight="1" x14ac:dyDescent="0.2">
      <c r="A18" s="47"/>
      <c r="B18" s="47"/>
      <c r="C18" s="48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1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1" t="s">
        <v>2</v>
      </c>
      <c r="B22" s="71" t="s">
        <v>8</v>
      </c>
      <c r="C22" s="71" t="s">
        <v>1</v>
      </c>
      <c r="D22" s="70" t="s">
        <v>6</v>
      </c>
      <c r="E22" s="70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49"/>
      <c r="R22" s="49"/>
      <c r="S22" s="49"/>
      <c r="T22" s="49"/>
      <c r="U22" s="66"/>
      <c r="V22" s="66"/>
      <c r="W22" s="66"/>
      <c r="X22" s="66"/>
      <c r="Y22" s="66"/>
      <c r="Z22" s="66"/>
      <c r="AA22" s="66"/>
      <c r="AB22" s="66"/>
      <c r="AC22" s="31"/>
    </row>
    <row r="23" spans="1:34" s="14" customFormat="1" ht="18" x14ac:dyDescent="0.25">
      <c r="A23" s="71"/>
      <c r="B23" s="71"/>
      <c r="C23" s="71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0.9931675627240143</v>
      </c>
      <c r="D24" s="22" t="str">
        <f>TEXT(SUM(D13:AH13),"[h]")</f>
        <v>5</v>
      </c>
      <c r="E24" s="22" t="str">
        <f>TEXT(SUM(D13:AH13),"mm ss")</f>
        <v>05 00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0.9931675627240143</v>
      </c>
      <c r="G28" s="30"/>
      <c r="H28" s="30"/>
      <c r="I28" s="49"/>
      <c r="J28" s="67"/>
      <c r="K28" s="67"/>
      <c r="L28" s="6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7"/>
      <c r="X28" s="67"/>
      <c r="Y28" s="67"/>
      <c r="Z28" s="49"/>
    </row>
    <row r="29" spans="1:34" ht="18" x14ac:dyDescent="0.25">
      <c r="G29" s="30"/>
      <c r="H29" s="30"/>
      <c r="I29" s="49"/>
      <c r="J29" s="66"/>
      <c r="K29" s="66"/>
      <c r="L29" s="6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6"/>
      <c r="X29" s="66"/>
      <c r="Y29" s="66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2024-12-31T06:30:35Z</dcterms:modified>
</cp:coreProperties>
</file>